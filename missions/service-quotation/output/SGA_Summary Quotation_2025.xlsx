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amh\Desktop\SGA\AssistantManager\missions\service-quotation\templates\"/>
    </mc:Choice>
  </mc:AlternateContent>
  <bookViews>
    <workbookView xWindow="0" yWindow="0" windowWidth="23040" windowHeight="8136"/>
  </bookViews>
  <sheets>
    <sheet name="DATA LONG - TERM" sheetId="1" r:id="rId1"/>
    <sheet name="DATA SHORT - TERM" sheetId="2" r:id="rId2"/>
    <sheet name="DATA FEE SERVICE" sheetId="4" state="hidden" r:id="rId3"/>
    <sheet name="LT 2025" sheetId="7" state="hidden" r:id="rId4"/>
    <sheet name="ST 2025" sheetId="8" state="hidden" r:id="rId5"/>
    <sheet name="OR 2025" sheetId="9" state="hidden" r:id="rId6"/>
    <sheet name="REPORT" sheetId="11" state="hidden" r:id="rId7"/>
  </sheets>
  <definedNames>
    <definedName name="_xlnm._FilterDatabase" localSheetId="2" hidden="1">'DATA FEE SERVICE'!$A$3:$AO$737</definedName>
    <definedName name="_xlnm._FilterDatabase" localSheetId="0" hidden="1">'DATA LONG - TERM'!$A$3:$N$7</definedName>
    <definedName name="_xlnm._FilterDatabase" localSheetId="1" hidden="1">'DATA SHORT - TERM'!$A$3:$AO$7</definedName>
    <definedName name="_xlnm._FilterDatabase" localSheetId="3" hidden="1">'LT 2025'!$A$2:$AC$139</definedName>
    <definedName name="_xlnm._FilterDatabase" localSheetId="5" hidden="1">'OR 2025'!$A$2:$J$19</definedName>
    <definedName name="_xlnm._FilterDatabase" localSheetId="6" hidden="1">REPORT!$A$3:$AO$72</definedName>
    <definedName name="_xlnm._FilterDatabase" localSheetId="4" hidden="1">'ST 2025'!$A$2:$AK$71</definedName>
  </definedNames>
  <calcPr calcId="162913"/>
</workbook>
</file>

<file path=xl/calcChain.xml><?xml version="1.0" encoding="utf-8"?>
<calcChain xmlns="http://schemas.openxmlformats.org/spreadsheetml/2006/main">
  <c r="E132" i="11" l="1"/>
  <c r="E131" i="11"/>
  <c r="E130" i="11"/>
  <c r="E129" i="11"/>
  <c r="E128" i="11"/>
  <c r="E127" i="11"/>
  <c r="E126" i="11"/>
  <c r="E125" i="11"/>
  <c r="E124" i="11"/>
  <c r="E123" i="11"/>
  <c r="A123" i="11"/>
  <c r="E122" i="11"/>
  <c r="A122" i="11"/>
  <c r="E121" i="11"/>
  <c r="A121" i="11"/>
  <c r="E120" i="11"/>
  <c r="A120" i="11"/>
  <c r="E119" i="11"/>
  <c r="A119" i="11"/>
  <c r="E118" i="11"/>
  <c r="A118" i="11"/>
  <c r="E117" i="11"/>
  <c r="A117" i="11"/>
  <c r="E116" i="11"/>
  <c r="A116" i="11"/>
  <c r="E115" i="11"/>
  <c r="A115" i="11"/>
  <c r="E114" i="11"/>
  <c r="A114" i="11"/>
  <c r="E113" i="11"/>
  <c r="A113" i="11"/>
  <c r="E112" i="11"/>
  <c r="A112" i="11"/>
  <c r="E111" i="11"/>
  <c r="A111" i="11"/>
  <c r="E110" i="11"/>
  <c r="A110" i="11"/>
  <c r="E109" i="11"/>
  <c r="A109" i="11"/>
  <c r="E108" i="11"/>
  <c r="A108" i="11"/>
  <c r="E107" i="11"/>
  <c r="A107" i="11"/>
  <c r="E106" i="11"/>
  <c r="A106" i="11"/>
  <c r="E105" i="11"/>
  <c r="A105" i="11"/>
  <c r="E104" i="11"/>
  <c r="A104" i="11"/>
  <c r="E103" i="11"/>
  <c r="A103" i="11"/>
  <c r="E102" i="11"/>
  <c r="A102" i="11"/>
  <c r="E101" i="11"/>
  <c r="A101" i="11"/>
  <c r="E100" i="11"/>
  <c r="A100" i="11"/>
  <c r="E99" i="11"/>
  <c r="A99" i="11"/>
  <c r="E98" i="11"/>
  <c r="A98" i="11"/>
  <c r="E97" i="11"/>
  <c r="A97" i="11"/>
  <c r="E96" i="11"/>
  <c r="A96" i="11"/>
  <c r="E95" i="11"/>
  <c r="A95" i="11"/>
  <c r="E94" i="11"/>
  <c r="A94" i="11"/>
  <c r="E93" i="11"/>
  <c r="A93" i="11"/>
  <c r="E92" i="11"/>
  <c r="A92" i="11"/>
  <c r="E91" i="11"/>
  <c r="A91" i="11"/>
  <c r="E90" i="11"/>
  <c r="A90" i="11"/>
  <c r="E89" i="11"/>
  <c r="A89" i="11"/>
  <c r="E88" i="11"/>
  <c r="A88" i="11"/>
  <c r="E87" i="11"/>
  <c r="A87" i="11"/>
  <c r="E86" i="11"/>
  <c r="A86" i="11"/>
  <c r="E85" i="11"/>
  <c r="A85" i="11"/>
  <c r="E84" i="11"/>
  <c r="A84" i="11"/>
  <c r="E83" i="11"/>
  <c r="A83" i="11"/>
  <c r="E82" i="11"/>
  <c r="A82" i="11"/>
  <c r="E81" i="11"/>
  <c r="A81" i="11"/>
  <c r="E80" i="11"/>
  <c r="A80" i="11"/>
  <c r="E79" i="11"/>
  <c r="A79" i="11"/>
  <c r="E78" i="11"/>
  <c r="A78" i="11"/>
  <c r="E77" i="11"/>
  <c r="A77" i="11"/>
  <c r="E76" i="11"/>
  <c r="A76" i="11"/>
  <c r="E75" i="11"/>
  <c r="A75" i="11"/>
  <c r="E74" i="11"/>
  <c r="A74" i="11"/>
  <c r="E73" i="11"/>
  <c r="A73" i="11"/>
  <c r="E72" i="11"/>
  <c r="A72" i="11"/>
  <c r="L71" i="11"/>
  <c r="J71" i="11"/>
  <c r="K71" i="11" s="1"/>
  <c r="E71" i="11"/>
  <c r="A71" i="11"/>
  <c r="L70" i="11"/>
  <c r="K70" i="11"/>
  <c r="J70" i="11"/>
  <c r="E70" i="11"/>
  <c r="A70" i="11"/>
  <c r="L69" i="11"/>
  <c r="J69" i="11"/>
  <c r="K69" i="11" s="1"/>
  <c r="E69" i="11"/>
  <c r="A69" i="11"/>
  <c r="L68" i="11"/>
  <c r="J68" i="11"/>
  <c r="K68" i="11" s="1"/>
  <c r="E68" i="11"/>
  <c r="A68" i="11"/>
  <c r="L67" i="11"/>
  <c r="K67" i="11"/>
  <c r="J67" i="11"/>
  <c r="E67" i="11"/>
  <c r="A67" i="11"/>
  <c r="L66" i="11"/>
  <c r="K66" i="11"/>
  <c r="J66" i="11"/>
  <c r="E66" i="11"/>
  <c r="A66" i="11"/>
  <c r="L65" i="11"/>
  <c r="J65" i="11"/>
  <c r="K65" i="11" s="1"/>
  <c r="E65" i="11"/>
  <c r="A65" i="11"/>
  <c r="L64" i="11"/>
  <c r="J64" i="11"/>
  <c r="K64" i="11" s="1"/>
  <c r="E64" i="11"/>
  <c r="A64" i="11"/>
  <c r="L63" i="11"/>
  <c r="J63" i="11"/>
  <c r="E63" i="11"/>
  <c r="A63" i="11"/>
  <c r="L62" i="11"/>
  <c r="K62" i="11"/>
  <c r="J62" i="11"/>
  <c r="E62" i="11"/>
  <c r="A62" i="11"/>
  <c r="L61" i="11"/>
  <c r="K61" i="11"/>
  <c r="J61" i="11"/>
  <c r="E61" i="11"/>
  <c r="A61" i="11"/>
  <c r="L60" i="11"/>
  <c r="J60" i="11"/>
  <c r="K60" i="11" s="1"/>
  <c r="E60" i="11"/>
  <c r="A60" i="11"/>
  <c r="L59" i="11"/>
  <c r="J59" i="11"/>
  <c r="K59" i="11" s="1"/>
  <c r="E59" i="11"/>
  <c r="A59" i="11"/>
  <c r="L58" i="11"/>
  <c r="K58" i="11"/>
  <c r="J58" i="11"/>
  <c r="E58" i="11"/>
  <c r="A58" i="11"/>
  <c r="L57" i="11"/>
  <c r="K57" i="11"/>
  <c r="J57" i="11"/>
  <c r="E57" i="11"/>
  <c r="A57" i="11"/>
  <c r="L56" i="11"/>
  <c r="J56" i="11"/>
  <c r="K56" i="11" s="1"/>
  <c r="E56" i="11"/>
  <c r="A56" i="11"/>
  <c r="L55" i="11"/>
  <c r="J55" i="11"/>
  <c r="K55" i="11" s="1"/>
  <c r="E55" i="11"/>
  <c r="A55" i="11"/>
  <c r="L54" i="11"/>
  <c r="K54" i="11"/>
  <c r="J54" i="11"/>
  <c r="E54" i="11"/>
  <c r="A54" i="11"/>
  <c r="L53" i="11"/>
  <c r="K53" i="11"/>
  <c r="J53" i="11"/>
  <c r="E53" i="11"/>
  <c r="A53" i="11"/>
  <c r="L52" i="11"/>
  <c r="J52" i="11"/>
  <c r="K52" i="11" s="1"/>
  <c r="E52" i="11"/>
  <c r="A52" i="11"/>
  <c r="L51" i="11"/>
  <c r="J51" i="11"/>
  <c r="K51" i="11" s="1"/>
  <c r="E51" i="11"/>
  <c r="A51" i="11"/>
  <c r="L50" i="11"/>
  <c r="E50" i="11"/>
  <c r="A50" i="11"/>
  <c r="L49" i="11"/>
  <c r="K49" i="11"/>
  <c r="J49" i="11"/>
  <c r="E49" i="11"/>
  <c r="A49" i="11"/>
  <c r="L48" i="11"/>
  <c r="K48" i="11"/>
  <c r="E48" i="11"/>
  <c r="A48" i="11"/>
  <c r="L47" i="11"/>
  <c r="J47" i="11"/>
  <c r="K47" i="11" s="1"/>
  <c r="E47" i="11"/>
  <c r="A47" i="11"/>
  <c r="L46" i="11"/>
  <c r="J46" i="11"/>
  <c r="K46" i="11" s="1"/>
  <c r="E46" i="11"/>
  <c r="A46" i="11"/>
  <c r="L45" i="11"/>
  <c r="K45" i="11"/>
  <c r="J45" i="11"/>
  <c r="E45" i="11"/>
  <c r="A45" i="11"/>
  <c r="L44" i="11"/>
  <c r="K44" i="11"/>
  <c r="J44" i="11"/>
  <c r="E44" i="11"/>
  <c r="A44" i="11"/>
  <c r="L43" i="11"/>
  <c r="K43" i="11"/>
  <c r="E43" i="11"/>
  <c r="A43" i="11"/>
  <c r="L42" i="11"/>
  <c r="K42" i="11"/>
  <c r="E42" i="11"/>
  <c r="A42" i="11"/>
  <c r="L41" i="11"/>
  <c r="K41" i="11"/>
  <c r="E41" i="11"/>
  <c r="A41" i="11"/>
  <c r="L40" i="11"/>
  <c r="K40" i="11"/>
  <c r="J40" i="11"/>
  <c r="E40" i="11"/>
  <c r="A40" i="11"/>
  <c r="L39" i="11"/>
  <c r="J39" i="11"/>
  <c r="K39" i="11" s="1"/>
  <c r="E39" i="11"/>
  <c r="A39" i="11"/>
  <c r="L38" i="11"/>
  <c r="J38" i="11"/>
  <c r="K38" i="11" s="1"/>
  <c r="E38" i="11"/>
  <c r="A38" i="11"/>
  <c r="L37" i="11"/>
  <c r="E37" i="11"/>
  <c r="A37" i="11"/>
  <c r="L36" i="11"/>
  <c r="J36" i="11"/>
  <c r="K36" i="11" s="1"/>
  <c r="E36" i="11"/>
  <c r="A36" i="11"/>
  <c r="L35" i="11"/>
  <c r="J35" i="11"/>
  <c r="K35" i="11" s="1"/>
  <c r="E35" i="11"/>
  <c r="A35" i="11"/>
  <c r="L34" i="11"/>
  <c r="K34" i="11"/>
  <c r="J34" i="11"/>
  <c r="E34" i="11"/>
  <c r="A34" i="11"/>
  <c r="L33" i="11"/>
  <c r="E33" i="11"/>
  <c r="A33" i="11"/>
  <c r="L32" i="11"/>
  <c r="J32" i="11"/>
  <c r="K32" i="11" s="1"/>
  <c r="E32" i="11"/>
  <c r="A32" i="11"/>
  <c r="L31" i="11"/>
  <c r="K31" i="11"/>
  <c r="J31" i="11"/>
  <c r="E31" i="11"/>
  <c r="A31" i="11"/>
  <c r="L30" i="11"/>
  <c r="K30" i="11"/>
  <c r="J30" i="11"/>
  <c r="E30" i="11"/>
  <c r="A30" i="11"/>
  <c r="L29" i="11"/>
  <c r="K29" i="11"/>
  <c r="E29" i="11"/>
  <c r="A29" i="11"/>
  <c r="L28" i="11"/>
  <c r="J28" i="11"/>
  <c r="K28" i="11" s="1"/>
  <c r="E28" i="11"/>
  <c r="A28" i="11"/>
  <c r="L27" i="11"/>
  <c r="E27" i="11"/>
  <c r="A27" i="11"/>
  <c r="L26" i="11"/>
  <c r="E26" i="11"/>
  <c r="A26" i="11"/>
  <c r="L25" i="11"/>
  <c r="J25" i="11"/>
  <c r="K25" i="11" s="1"/>
  <c r="E25" i="11"/>
  <c r="A25" i="11"/>
  <c r="L24" i="11"/>
  <c r="J24" i="11"/>
  <c r="K24" i="11" s="1"/>
  <c r="E24" i="11"/>
  <c r="A24" i="11"/>
  <c r="L23" i="11"/>
  <c r="K23" i="11"/>
  <c r="J23" i="11"/>
  <c r="E23" i="11"/>
  <c r="A23" i="11"/>
  <c r="L22" i="11"/>
  <c r="J22" i="11"/>
  <c r="K22" i="11" s="1"/>
  <c r="E22" i="11"/>
  <c r="A22" i="11"/>
  <c r="L21" i="11"/>
  <c r="J21" i="11"/>
  <c r="K21" i="11" s="1"/>
  <c r="E21" i="11"/>
  <c r="A21" i="11"/>
  <c r="L20" i="11"/>
  <c r="E20" i="11"/>
  <c r="A20" i="11"/>
  <c r="L19" i="11"/>
  <c r="J19" i="11"/>
  <c r="K19" i="11" s="1"/>
  <c r="E19" i="11"/>
  <c r="A19" i="11"/>
  <c r="L18" i="11"/>
  <c r="K18" i="11"/>
  <c r="E18" i="11"/>
  <c r="A18" i="11"/>
  <c r="L17" i="11"/>
  <c r="J17" i="11"/>
  <c r="K17" i="11" s="1"/>
  <c r="E17" i="11"/>
  <c r="A17" i="11"/>
  <c r="L16" i="11"/>
  <c r="J16" i="11"/>
  <c r="K16" i="11" s="1"/>
  <c r="E16" i="11"/>
  <c r="A16" i="11"/>
  <c r="L15" i="11"/>
  <c r="K15" i="11"/>
  <c r="J15" i="11"/>
  <c r="E15" i="11"/>
  <c r="A15" i="11"/>
  <c r="L14" i="11"/>
  <c r="K14" i="11"/>
  <c r="J14" i="11"/>
  <c r="E14" i="11"/>
  <c r="A14" i="11"/>
  <c r="L13" i="11"/>
  <c r="K13" i="11"/>
  <c r="J13" i="11"/>
  <c r="E13" i="11"/>
  <c r="A13" i="11"/>
  <c r="L12" i="11"/>
  <c r="J12" i="11"/>
  <c r="H12" i="11"/>
  <c r="K12" i="11" s="1"/>
  <c r="E12" i="11"/>
  <c r="A12" i="11"/>
  <c r="L11" i="11"/>
  <c r="J11" i="11"/>
  <c r="K11" i="11" s="1"/>
  <c r="E11" i="11"/>
  <c r="A11" i="11"/>
  <c r="L10" i="11"/>
  <c r="J10" i="11"/>
  <c r="K10" i="11" s="1"/>
  <c r="E10" i="11"/>
  <c r="A10" i="11"/>
  <c r="L9" i="11"/>
  <c r="J9" i="11"/>
  <c r="K9" i="11" s="1"/>
  <c r="E9" i="11"/>
  <c r="A9" i="11"/>
  <c r="L8" i="11"/>
  <c r="K8" i="11"/>
  <c r="J8" i="11"/>
  <c r="E8" i="11"/>
  <c r="A8" i="11"/>
  <c r="L7" i="11"/>
  <c r="J7" i="11"/>
  <c r="K7" i="11" s="1"/>
  <c r="E7" i="11"/>
  <c r="A7" i="11"/>
  <c r="L6" i="11"/>
  <c r="J6" i="11"/>
  <c r="K6" i="11" s="1"/>
  <c r="E6" i="11"/>
  <c r="A6" i="11"/>
  <c r="L5" i="11"/>
  <c r="J5" i="11"/>
  <c r="K5" i="11" s="1"/>
  <c r="E5" i="11"/>
  <c r="A5" i="11"/>
  <c r="L4" i="11"/>
  <c r="K4" i="11"/>
  <c r="J4" i="11"/>
  <c r="E4" i="11"/>
  <c r="A4" i="11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G3" i="9"/>
  <c r="H3" i="9" s="1"/>
  <c r="A3" i="9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I76" i="8"/>
  <c r="K76" i="8" s="1"/>
  <c r="D76" i="8"/>
  <c r="A76" i="8"/>
  <c r="K75" i="8"/>
  <c r="I75" i="8"/>
  <c r="D75" i="8"/>
  <c r="A75" i="8"/>
  <c r="I74" i="8"/>
  <c r="K74" i="8" s="1"/>
  <c r="D74" i="8"/>
  <c r="A74" i="8"/>
  <c r="K73" i="8"/>
  <c r="I73" i="8"/>
  <c r="D73" i="8"/>
  <c r="A73" i="8"/>
  <c r="I72" i="8"/>
  <c r="K72" i="8" s="1"/>
  <c r="D72" i="8"/>
  <c r="A72" i="8"/>
  <c r="K71" i="8"/>
  <c r="I71" i="8"/>
  <c r="D71" i="8"/>
  <c r="A71" i="8"/>
  <c r="I70" i="8"/>
  <c r="K70" i="8" s="1"/>
  <c r="D70" i="8"/>
  <c r="A70" i="8"/>
  <c r="K69" i="8"/>
  <c r="I69" i="8"/>
  <c r="D69" i="8"/>
  <c r="A69" i="8"/>
  <c r="I68" i="8"/>
  <c r="K68" i="8" s="1"/>
  <c r="D68" i="8"/>
  <c r="A68" i="8"/>
  <c r="K67" i="8"/>
  <c r="I67" i="8"/>
  <c r="D67" i="8"/>
  <c r="A67" i="8"/>
  <c r="I66" i="8"/>
  <c r="K66" i="8" s="1"/>
  <c r="D66" i="8"/>
  <c r="A66" i="8"/>
  <c r="K65" i="8"/>
  <c r="I65" i="8"/>
  <c r="D65" i="8"/>
  <c r="A65" i="8"/>
  <c r="I64" i="8"/>
  <c r="K64" i="8" s="1"/>
  <c r="D64" i="8"/>
  <c r="A64" i="8"/>
  <c r="K63" i="8"/>
  <c r="I63" i="8"/>
  <c r="D63" i="8"/>
  <c r="A63" i="8"/>
  <c r="I62" i="8"/>
  <c r="D62" i="8"/>
  <c r="A62" i="8"/>
  <c r="I61" i="8"/>
  <c r="K61" i="8" s="1"/>
  <c r="D61" i="8"/>
  <c r="A61" i="8"/>
  <c r="K60" i="8"/>
  <c r="I60" i="8"/>
  <c r="D60" i="8"/>
  <c r="A60" i="8"/>
  <c r="I59" i="8"/>
  <c r="K59" i="8" s="1"/>
  <c r="D59" i="8"/>
  <c r="A59" i="8"/>
  <c r="K58" i="8"/>
  <c r="I58" i="8"/>
  <c r="D58" i="8"/>
  <c r="A58" i="8"/>
  <c r="I57" i="8"/>
  <c r="K57" i="8" s="1"/>
  <c r="D57" i="8"/>
  <c r="A57" i="8"/>
  <c r="K56" i="8"/>
  <c r="I56" i="8"/>
  <c r="D56" i="8"/>
  <c r="A56" i="8"/>
  <c r="I55" i="8"/>
  <c r="K55" i="8" s="1"/>
  <c r="D55" i="8"/>
  <c r="A55" i="8"/>
  <c r="K54" i="8"/>
  <c r="I54" i="8"/>
  <c r="D54" i="8"/>
  <c r="A54" i="8"/>
  <c r="I53" i="8"/>
  <c r="K53" i="8" s="1"/>
  <c r="D53" i="8"/>
  <c r="A53" i="8"/>
  <c r="K52" i="8"/>
  <c r="I52" i="8"/>
  <c r="D52" i="8"/>
  <c r="A52" i="8"/>
  <c r="I51" i="8"/>
  <c r="K51" i="8" s="1"/>
  <c r="D51" i="8"/>
  <c r="A51" i="8"/>
  <c r="K50" i="8"/>
  <c r="I50" i="8"/>
  <c r="D50" i="8"/>
  <c r="A50" i="8"/>
  <c r="D49" i="8"/>
  <c r="A49" i="8"/>
  <c r="I48" i="8"/>
  <c r="K48" i="8" s="1"/>
  <c r="D48" i="8"/>
  <c r="A48" i="8"/>
  <c r="K47" i="8"/>
  <c r="D47" i="8"/>
  <c r="A47" i="8"/>
  <c r="K46" i="8"/>
  <c r="I46" i="8"/>
  <c r="D46" i="8"/>
  <c r="A46" i="8"/>
  <c r="I45" i="8"/>
  <c r="K45" i="8" s="1"/>
  <c r="D45" i="8"/>
  <c r="A45" i="8"/>
  <c r="K44" i="8"/>
  <c r="I44" i="8"/>
  <c r="D44" i="8"/>
  <c r="A44" i="8"/>
  <c r="I43" i="8"/>
  <c r="K43" i="8" s="1"/>
  <c r="D43" i="8"/>
  <c r="A43" i="8"/>
  <c r="K42" i="8"/>
  <c r="D42" i="8"/>
  <c r="A42" i="8"/>
  <c r="K41" i="8"/>
  <c r="D41" i="8"/>
  <c r="A41" i="8"/>
  <c r="K40" i="8"/>
  <c r="D40" i="8"/>
  <c r="A40" i="8"/>
  <c r="I39" i="8"/>
  <c r="K39" i="8" s="1"/>
  <c r="D39" i="8"/>
  <c r="A39" i="8"/>
  <c r="I38" i="8"/>
  <c r="K38" i="8" s="1"/>
  <c r="D38" i="8"/>
  <c r="A38" i="8"/>
  <c r="I37" i="8"/>
  <c r="K37" i="8" s="1"/>
  <c r="D37" i="8"/>
  <c r="A37" i="8"/>
  <c r="D36" i="8"/>
  <c r="A36" i="8"/>
  <c r="I35" i="8"/>
  <c r="K35" i="8" s="1"/>
  <c r="D35" i="8"/>
  <c r="A35" i="8"/>
  <c r="K34" i="8"/>
  <c r="I34" i="8"/>
  <c r="D34" i="8"/>
  <c r="A34" i="8"/>
  <c r="I33" i="8"/>
  <c r="K33" i="8" s="1"/>
  <c r="D33" i="8"/>
  <c r="A33" i="8"/>
  <c r="D32" i="8"/>
  <c r="A32" i="8"/>
  <c r="I31" i="8"/>
  <c r="K31" i="8" s="1"/>
  <c r="D31" i="8"/>
  <c r="A31" i="8"/>
  <c r="I30" i="8"/>
  <c r="K30" i="8" s="1"/>
  <c r="D30" i="8"/>
  <c r="A30" i="8"/>
  <c r="I29" i="8"/>
  <c r="K29" i="8" s="1"/>
  <c r="D29" i="8"/>
  <c r="A29" i="8"/>
  <c r="K28" i="8"/>
  <c r="D28" i="8"/>
  <c r="A28" i="8"/>
  <c r="I27" i="8"/>
  <c r="K27" i="8" s="1"/>
  <c r="D27" i="8"/>
  <c r="A27" i="8"/>
  <c r="D26" i="8"/>
  <c r="A26" i="8"/>
  <c r="D25" i="8"/>
  <c r="A25" i="8"/>
  <c r="I24" i="8"/>
  <c r="K24" i="8" s="1"/>
  <c r="D24" i="8"/>
  <c r="A24" i="8"/>
  <c r="K23" i="8"/>
  <c r="I23" i="8"/>
  <c r="D23" i="8"/>
  <c r="A23" i="8"/>
  <c r="I22" i="8"/>
  <c r="K22" i="8" s="1"/>
  <c r="D22" i="8"/>
  <c r="A22" i="8"/>
  <c r="K21" i="8"/>
  <c r="I21" i="8"/>
  <c r="D21" i="8"/>
  <c r="A21" i="8"/>
  <c r="I20" i="8"/>
  <c r="K20" i="8" s="1"/>
  <c r="D20" i="8"/>
  <c r="A20" i="8"/>
  <c r="D19" i="8"/>
  <c r="A19" i="8"/>
  <c r="K18" i="8"/>
  <c r="I18" i="8"/>
  <c r="D18" i="8"/>
  <c r="A18" i="8"/>
  <c r="K17" i="8"/>
  <c r="D17" i="8"/>
  <c r="A17" i="8"/>
  <c r="I16" i="8"/>
  <c r="K16" i="8" s="1"/>
  <c r="D16" i="8"/>
  <c r="A16" i="8"/>
  <c r="I15" i="8"/>
  <c r="K15" i="8" s="1"/>
  <c r="D15" i="8"/>
  <c r="A15" i="8"/>
  <c r="I14" i="8"/>
  <c r="K14" i="8" s="1"/>
  <c r="D14" i="8"/>
  <c r="A14" i="8"/>
  <c r="I13" i="8"/>
  <c r="K13" i="8" s="1"/>
  <c r="D13" i="8"/>
  <c r="A13" i="8"/>
  <c r="I12" i="8"/>
  <c r="K12" i="8" s="1"/>
  <c r="D12" i="8"/>
  <c r="A12" i="8"/>
  <c r="I11" i="8"/>
  <c r="G11" i="8"/>
  <c r="K11" i="8" s="1"/>
  <c r="D11" i="8"/>
  <c r="A11" i="8"/>
  <c r="K10" i="8"/>
  <c r="I10" i="8"/>
  <c r="D10" i="8"/>
  <c r="A10" i="8"/>
  <c r="K9" i="8"/>
  <c r="I9" i="8"/>
  <c r="D9" i="8"/>
  <c r="A9" i="8"/>
  <c r="K8" i="8"/>
  <c r="I8" i="8"/>
  <c r="D8" i="8"/>
  <c r="A8" i="8"/>
  <c r="K7" i="8"/>
  <c r="I7" i="8"/>
  <c r="D7" i="8"/>
  <c r="A7" i="8"/>
  <c r="K6" i="8"/>
  <c r="I6" i="8"/>
  <c r="D6" i="8"/>
  <c r="A6" i="8"/>
  <c r="K5" i="8"/>
  <c r="I5" i="8"/>
  <c r="D5" i="8"/>
  <c r="A5" i="8"/>
  <c r="K4" i="8"/>
  <c r="I4" i="8"/>
  <c r="D4" i="8"/>
  <c r="A4" i="8"/>
  <c r="K3" i="8"/>
  <c r="I3" i="8"/>
  <c r="D3" i="8"/>
  <c r="A3" i="8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D96" i="7"/>
  <c r="D95" i="7"/>
  <c r="A95" i="7"/>
  <c r="D94" i="7"/>
  <c r="A94" i="7"/>
  <c r="D93" i="7"/>
  <c r="A93" i="7" s="1"/>
  <c r="D92" i="7"/>
  <c r="D91" i="7"/>
  <c r="A91" i="7"/>
  <c r="D90" i="7"/>
  <c r="A90" i="7"/>
  <c r="D89" i="7"/>
  <c r="A89" i="7" s="1"/>
  <c r="D88" i="7"/>
  <c r="D87" i="7"/>
  <c r="A87" i="7"/>
  <c r="D86" i="7"/>
  <c r="A86" i="7"/>
  <c r="D85" i="7"/>
  <c r="A85" i="7" s="1"/>
  <c r="D84" i="7"/>
  <c r="D83" i="7"/>
  <c r="A83" i="7"/>
  <c r="D82" i="7"/>
  <c r="A82" i="7"/>
  <c r="D81" i="7"/>
  <c r="A81" i="7" s="1"/>
  <c r="D80" i="7"/>
  <c r="D79" i="7"/>
  <c r="A79" i="7"/>
  <c r="D78" i="7"/>
  <c r="A78" i="7"/>
  <c r="D77" i="7"/>
  <c r="A77" i="7" s="1"/>
  <c r="D76" i="7"/>
  <c r="D75" i="7"/>
  <c r="A75" i="7"/>
  <c r="D74" i="7"/>
  <c r="A74" i="7"/>
  <c r="D73" i="7"/>
  <c r="A73" i="7" s="1"/>
  <c r="D72" i="7"/>
  <c r="D71" i="7"/>
  <c r="A71" i="7"/>
  <c r="D70" i="7"/>
  <c r="A70" i="7"/>
  <c r="D69" i="7"/>
  <c r="A69" i="7" s="1"/>
  <c r="D68" i="7"/>
  <c r="D67" i="7"/>
  <c r="A67" i="7"/>
  <c r="D66" i="7"/>
  <c r="A66" i="7"/>
  <c r="D65" i="7"/>
  <c r="A65" i="7" s="1"/>
  <c r="D64" i="7"/>
  <c r="D63" i="7"/>
  <c r="A63" i="7"/>
  <c r="D62" i="7"/>
  <c r="A62" i="7"/>
  <c r="D61" i="7"/>
  <c r="A61" i="7" s="1"/>
  <c r="D60" i="7"/>
  <c r="D59" i="7"/>
  <c r="A59" i="7"/>
  <c r="D58" i="7"/>
  <c r="A58" i="7"/>
  <c r="D57" i="7"/>
  <c r="A57" i="7" s="1"/>
  <c r="D56" i="7"/>
  <c r="D55" i="7"/>
  <c r="A55" i="7"/>
  <c r="D54" i="7"/>
  <c r="A54" i="7"/>
  <c r="D53" i="7"/>
  <c r="A53" i="7" s="1"/>
  <c r="D52" i="7"/>
  <c r="D51" i="7"/>
  <c r="A51" i="7"/>
  <c r="D50" i="7"/>
  <c r="A50" i="7"/>
  <c r="D49" i="7"/>
  <c r="A49" i="7" s="1"/>
  <c r="D48" i="7"/>
  <c r="D47" i="7"/>
  <c r="A47" i="7"/>
  <c r="D46" i="7"/>
  <c r="A46" i="7"/>
  <c r="D45" i="7"/>
  <c r="A45" i="7" s="1"/>
  <c r="D44" i="7"/>
  <c r="A44" i="7"/>
  <c r="D43" i="7"/>
  <c r="A43" i="7"/>
  <c r="D42" i="7"/>
  <c r="A42" i="7"/>
  <c r="D41" i="7"/>
  <c r="A41" i="7" s="1"/>
  <c r="D40" i="7"/>
  <c r="A40" i="7"/>
  <c r="D39" i="7"/>
  <c r="A39" i="7"/>
  <c r="D38" i="7"/>
  <c r="A38" i="7"/>
  <c r="D37" i="7"/>
  <c r="A37" i="7" s="1"/>
  <c r="D36" i="7"/>
  <c r="A36" i="7"/>
  <c r="D35" i="7"/>
  <c r="A35" i="7"/>
  <c r="D34" i="7"/>
  <c r="A34" i="7"/>
  <c r="D33" i="7"/>
  <c r="A33" i="7" s="1"/>
  <c r="D32" i="7"/>
  <c r="A32" i="7"/>
  <c r="D31" i="7"/>
  <c r="A31" i="7"/>
  <c r="D30" i="7"/>
  <c r="A30" i="7"/>
  <c r="D29" i="7"/>
  <c r="A29" i="7" s="1"/>
  <c r="D28" i="7"/>
  <c r="A28" i="7"/>
  <c r="D27" i="7"/>
  <c r="A27" i="7"/>
  <c r="D26" i="7"/>
  <c r="A26" i="7"/>
  <c r="D25" i="7"/>
  <c r="A25" i="7" s="1"/>
  <c r="D24" i="7"/>
  <c r="A24" i="7"/>
  <c r="D23" i="7"/>
  <c r="A23" i="7"/>
  <c r="D22" i="7"/>
  <c r="A22" i="7"/>
  <c r="D21" i="7"/>
  <c r="A21" i="7" s="1"/>
  <c r="D20" i="7"/>
  <c r="A20" i="7"/>
  <c r="D19" i="7"/>
  <c r="A19" i="7"/>
  <c r="D18" i="7"/>
  <c r="A18" i="7"/>
  <c r="D17" i="7"/>
  <c r="A17" i="7" s="1"/>
  <c r="D16" i="7"/>
  <c r="A16" i="7"/>
  <c r="D15" i="7"/>
  <c r="A15" i="7"/>
  <c r="D14" i="7"/>
  <c r="A14" i="7"/>
  <c r="D13" i="7"/>
  <c r="A13" i="7" s="1"/>
  <c r="D12" i="7"/>
  <c r="A12" i="7"/>
  <c r="D11" i="7"/>
  <c r="A11" i="7"/>
  <c r="D10" i="7"/>
  <c r="A10" i="7"/>
  <c r="D9" i="7"/>
  <c r="A9" i="7" s="1"/>
  <c r="D8" i="7"/>
  <c r="A8" i="7"/>
  <c r="D7" i="7"/>
  <c r="A7" i="7"/>
  <c r="D6" i="7"/>
  <c r="A6" i="7"/>
  <c r="D5" i="7"/>
  <c r="A5" i="7" s="1"/>
  <c r="D4" i="7"/>
  <c r="A4" i="7"/>
  <c r="D3" i="7"/>
  <c r="A96" i="7" s="1"/>
  <c r="A3" i="7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L282" i="4"/>
  <c r="K282" i="4"/>
  <c r="E282" i="4"/>
  <c r="A282" i="4"/>
  <c r="K281" i="4"/>
  <c r="L281" i="4" s="1"/>
  <c r="E281" i="4"/>
  <c r="A281" i="4"/>
  <c r="L280" i="4"/>
  <c r="K280" i="4"/>
  <c r="E280" i="4"/>
  <c r="A280" i="4"/>
  <c r="L279" i="4"/>
  <c r="K279" i="4"/>
  <c r="E279" i="4"/>
  <c r="A279" i="4"/>
  <c r="K278" i="4"/>
  <c r="L278" i="4" s="1"/>
  <c r="E278" i="4"/>
  <c r="A278" i="4"/>
  <c r="K277" i="4"/>
  <c r="L277" i="4" s="1"/>
  <c r="E277" i="4"/>
  <c r="A277" i="4"/>
  <c r="K276" i="4"/>
  <c r="L276" i="4" s="1"/>
  <c r="E276" i="4"/>
  <c r="A276" i="4"/>
  <c r="K275" i="4"/>
  <c r="L275" i="4" s="1"/>
  <c r="E275" i="4"/>
  <c r="A275" i="4"/>
  <c r="L274" i="4"/>
  <c r="E274" i="4"/>
  <c r="A274" i="4"/>
  <c r="K273" i="4"/>
  <c r="L273" i="4" s="1"/>
  <c r="E273" i="4"/>
  <c r="A273" i="4"/>
  <c r="L272" i="4"/>
  <c r="K272" i="4"/>
  <c r="E272" i="4"/>
  <c r="A272" i="4"/>
  <c r="K271" i="4"/>
  <c r="L271" i="4" s="1"/>
  <c r="E271" i="4"/>
  <c r="A271" i="4"/>
  <c r="L270" i="4"/>
  <c r="K270" i="4"/>
  <c r="E270" i="4"/>
  <c r="A270" i="4"/>
  <c r="K269" i="4"/>
  <c r="L269" i="4" s="1"/>
  <c r="E269" i="4"/>
  <c r="A269" i="4"/>
  <c r="L268" i="4"/>
  <c r="K268" i="4"/>
  <c r="E268" i="4"/>
  <c r="A268" i="4"/>
  <c r="L267" i="4"/>
  <c r="K267" i="4"/>
  <c r="E267" i="4"/>
  <c r="A267" i="4"/>
  <c r="K266" i="4"/>
  <c r="L266" i="4" s="1"/>
  <c r="E266" i="4"/>
  <c r="A266" i="4"/>
  <c r="K265" i="4"/>
  <c r="L265" i="4" s="1"/>
  <c r="E265" i="4"/>
  <c r="A265" i="4"/>
  <c r="L264" i="4"/>
  <c r="K264" i="4"/>
  <c r="E264" i="4"/>
  <c r="A264" i="4"/>
  <c r="L263" i="4"/>
  <c r="E263" i="4"/>
  <c r="A263" i="4"/>
  <c r="L262" i="4"/>
  <c r="K262" i="4"/>
  <c r="E262" i="4"/>
  <c r="A262" i="4"/>
  <c r="K261" i="4"/>
  <c r="L261" i="4" s="1"/>
  <c r="E261" i="4"/>
  <c r="A261" i="4"/>
  <c r="L260" i="4"/>
  <c r="K260" i="4"/>
  <c r="E260" i="4"/>
  <c r="A260" i="4"/>
  <c r="K259" i="4"/>
  <c r="L259" i="4" s="1"/>
  <c r="E259" i="4"/>
  <c r="A259" i="4"/>
  <c r="L258" i="4"/>
  <c r="K258" i="4"/>
  <c r="E258" i="4"/>
  <c r="A258" i="4"/>
  <c r="K257" i="4"/>
  <c r="L257" i="4" s="1"/>
  <c r="E257" i="4"/>
  <c r="A257" i="4"/>
  <c r="K256" i="4"/>
  <c r="L256" i="4" s="1"/>
  <c r="E256" i="4"/>
  <c r="A256" i="4"/>
  <c r="L255" i="4"/>
  <c r="K255" i="4"/>
  <c r="E255" i="4"/>
  <c r="A255" i="4"/>
  <c r="K254" i="4"/>
  <c r="L254" i="4" s="1"/>
  <c r="E254" i="4"/>
  <c r="A254" i="4"/>
  <c r="L253" i="4"/>
  <c r="K253" i="4"/>
  <c r="E253" i="4"/>
  <c r="A253" i="4"/>
  <c r="L252" i="4"/>
  <c r="K252" i="4"/>
  <c r="E252" i="4"/>
  <c r="A252" i="4"/>
  <c r="L251" i="4"/>
  <c r="K251" i="4"/>
  <c r="E251" i="4"/>
  <c r="A251" i="4"/>
  <c r="K250" i="4"/>
  <c r="L250" i="4" s="1"/>
  <c r="E250" i="4"/>
  <c r="A250" i="4"/>
  <c r="K249" i="4"/>
  <c r="L249" i="4" s="1"/>
  <c r="E249" i="4"/>
  <c r="A249" i="4"/>
  <c r="K248" i="4"/>
  <c r="L248" i="4" s="1"/>
  <c r="E248" i="4"/>
  <c r="A248" i="4"/>
  <c r="L247" i="4"/>
  <c r="K247" i="4"/>
  <c r="E247" i="4"/>
  <c r="A247" i="4"/>
  <c r="K246" i="4"/>
  <c r="L246" i="4" s="1"/>
  <c r="E246" i="4"/>
  <c r="A246" i="4"/>
  <c r="L245" i="4"/>
  <c r="K245" i="4"/>
  <c r="E245" i="4"/>
  <c r="A245" i="4"/>
  <c r="K244" i="4"/>
  <c r="L244" i="4" s="1"/>
  <c r="E244" i="4"/>
  <c r="A244" i="4"/>
  <c r="L243" i="4"/>
  <c r="K243" i="4"/>
  <c r="E243" i="4"/>
  <c r="A243" i="4"/>
  <c r="K242" i="4"/>
  <c r="L242" i="4" s="1"/>
  <c r="E242" i="4"/>
  <c r="A242" i="4"/>
  <c r="K241" i="4"/>
  <c r="L241" i="4" s="1"/>
  <c r="E241" i="4"/>
  <c r="A241" i="4"/>
  <c r="K240" i="4"/>
  <c r="L240" i="4" s="1"/>
  <c r="E240" i="4"/>
  <c r="A240" i="4"/>
  <c r="L239" i="4"/>
  <c r="K239" i="4"/>
  <c r="E239" i="4"/>
  <c r="A239" i="4"/>
  <c r="K238" i="4"/>
  <c r="L238" i="4" s="1"/>
  <c r="E238" i="4"/>
  <c r="A238" i="4"/>
  <c r="L237" i="4"/>
  <c r="K237" i="4"/>
  <c r="E237" i="4"/>
  <c r="A237" i="4"/>
  <c r="L236" i="4"/>
  <c r="K236" i="4"/>
  <c r="E236" i="4"/>
  <c r="A236" i="4"/>
  <c r="L235" i="4"/>
  <c r="E235" i="4"/>
  <c r="A235" i="4"/>
  <c r="L234" i="4"/>
  <c r="K234" i="4"/>
  <c r="E234" i="4"/>
  <c r="A234" i="4"/>
  <c r="K233" i="4"/>
  <c r="L233" i="4" s="1"/>
  <c r="E233" i="4"/>
  <c r="A233" i="4"/>
  <c r="L232" i="4"/>
  <c r="K232" i="4"/>
  <c r="E232" i="4"/>
  <c r="A232" i="4"/>
  <c r="K231" i="4"/>
  <c r="L231" i="4" s="1"/>
  <c r="E231" i="4"/>
  <c r="A231" i="4"/>
  <c r="L230" i="4"/>
  <c r="K230" i="4"/>
  <c r="E230" i="4"/>
  <c r="A230" i="4"/>
  <c r="L229" i="4"/>
  <c r="K229" i="4"/>
  <c r="E229" i="4"/>
  <c r="A229" i="4"/>
  <c r="K228" i="4"/>
  <c r="L228" i="4" s="1"/>
  <c r="E228" i="4"/>
  <c r="A228" i="4"/>
  <c r="K227" i="4"/>
  <c r="L227" i="4" s="1"/>
  <c r="E227" i="4"/>
  <c r="A227" i="4"/>
  <c r="L226" i="4"/>
  <c r="K226" i="4"/>
  <c r="E226" i="4"/>
  <c r="A226" i="4"/>
  <c r="K225" i="4"/>
  <c r="L225" i="4" s="1"/>
  <c r="E225" i="4"/>
  <c r="A225" i="4"/>
  <c r="L224" i="4"/>
  <c r="K224" i="4"/>
  <c r="E224" i="4"/>
  <c r="A224" i="4"/>
  <c r="K223" i="4"/>
  <c r="L223" i="4" s="1"/>
  <c r="E223" i="4"/>
  <c r="A223" i="4"/>
  <c r="L222" i="4"/>
  <c r="K222" i="4"/>
  <c r="E222" i="4"/>
  <c r="A222" i="4"/>
  <c r="L221" i="4"/>
  <c r="K221" i="4"/>
  <c r="E221" i="4"/>
  <c r="A221" i="4"/>
  <c r="K220" i="4"/>
  <c r="L220" i="4" s="1"/>
  <c r="E220" i="4"/>
  <c r="A220" i="4"/>
  <c r="L219" i="4"/>
  <c r="E219" i="4"/>
  <c r="A219" i="4"/>
  <c r="K218" i="4"/>
  <c r="L218" i="4" s="1"/>
  <c r="E218" i="4"/>
  <c r="A218" i="4"/>
  <c r="L217" i="4"/>
  <c r="K217" i="4"/>
  <c r="E217" i="4"/>
  <c r="A217" i="4"/>
  <c r="L216" i="4"/>
  <c r="K216" i="4"/>
  <c r="E216" i="4"/>
  <c r="A216" i="4"/>
  <c r="K215" i="4"/>
  <c r="L215" i="4" s="1"/>
  <c r="E215" i="4"/>
  <c r="A215" i="4"/>
  <c r="K214" i="4"/>
  <c r="L214" i="4" s="1"/>
  <c r="E214" i="4"/>
  <c r="A214" i="4"/>
  <c r="L213" i="4"/>
  <c r="K213" i="4"/>
  <c r="E213" i="4"/>
  <c r="A213" i="4"/>
  <c r="K212" i="4"/>
  <c r="L212" i="4" s="1"/>
  <c r="E212" i="4"/>
  <c r="A212" i="4"/>
  <c r="L211" i="4"/>
  <c r="K211" i="4"/>
  <c r="E211" i="4"/>
  <c r="A211" i="4"/>
  <c r="K210" i="4"/>
  <c r="L210" i="4" s="1"/>
  <c r="E210" i="4"/>
  <c r="A210" i="4"/>
  <c r="L209" i="4"/>
  <c r="K209" i="4"/>
  <c r="E209" i="4"/>
  <c r="A209" i="4"/>
  <c r="L208" i="4"/>
  <c r="K208" i="4"/>
  <c r="E208" i="4"/>
  <c r="A208" i="4"/>
  <c r="K207" i="4"/>
  <c r="L207" i="4" s="1"/>
  <c r="E207" i="4"/>
  <c r="A207" i="4"/>
  <c r="L206" i="4"/>
  <c r="K206" i="4"/>
  <c r="E206" i="4"/>
  <c r="A206" i="4"/>
  <c r="K205" i="4"/>
  <c r="L205" i="4" s="1"/>
  <c r="E205" i="4"/>
  <c r="A205" i="4"/>
  <c r="L204" i="4"/>
  <c r="K204" i="4"/>
  <c r="E204" i="4"/>
  <c r="A204" i="4"/>
  <c r="K203" i="4"/>
  <c r="L203" i="4" s="1"/>
  <c r="E203" i="4"/>
  <c r="A203" i="4"/>
  <c r="L202" i="4"/>
  <c r="K202" i="4"/>
  <c r="E202" i="4"/>
  <c r="A202" i="4"/>
  <c r="L201" i="4"/>
  <c r="K201" i="4"/>
  <c r="E201" i="4"/>
  <c r="A201" i="4"/>
  <c r="K200" i="4"/>
  <c r="L200" i="4" s="1"/>
  <c r="E200" i="4"/>
  <c r="A200" i="4"/>
  <c r="E199" i="4"/>
  <c r="A199" i="4"/>
  <c r="L198" i="4"/>
  <c r="E198" i="4"/>
  <c r="A198" i="4"/>
  <c r="L197" i="4"/>
  <c r="E197" i="4"/>
  <c r="A197" i="4"/>
  <c r="K196" i="4"/>
  <c r="L196" i="4" s="1"/>
  <c r="E196" i="4"/>
  <c r="A196" i="4"/>
  <c r="K195" i="4"/>
  <c r="L195" i="4" s="1"/>
  <c r="E195" i="4"/>
  <c r="A195" i="4"/>
  <c r="L194" i="4"/>
  <c r="K194" i="4"/>
  <c r="E194" i="4"/>
  <c r="A194" i="4"/>
  <c r="K193" i="4"/>
  <c r="L193" i="4" s="1"/>
  <c r="E193" i="4"/>
  <c r="A193" i="4"/>
  <c r="L192" i="4"/>
  <c r="K192" i="4"/>
  <c r="E192" i="4"/>
  <c r="A192" i="4"/>
  <c r="L191" i="4"/>
  <c r="K191" i="4"/>
  <c r="E191" i="4"/>
  <c r="A191" i="4"/>
  <c r="L190" i="4"/>
  <c r="K190" i="4"/>
  <c r="E190" i="4"/>
  <c r="A190" i="4"/>
  <c r="K189" i="4"/>
  <c r="L189" i="4" s="1"/>
  <c r="E189" i="4"/>
  <c r="A189" i="4"/>
  <c r="K188" i="4"/>
  <c r="L188" i="4" s="1"/>
  <c r="E188" i="4"/>
  <c r="A188" i="4"/>
  <c r="L187" i="4"/>
  <c r="K187" i="4"/>
  <c r="E187" i="4"/>
  <c r="A187" i="4"/>
  <c r="L186" i="4"/>
  <c r="K186" i="4"/>
  <c r="E186" i="4"/>
  <c r="A186" i="4"/>
  <c r="L185" i="4"/>
  <c r="K185" i="4"/>
  <c r="E185" i="4"/>
  <c r="A185" i="4"/>
  <c r="L184" i="4"/>
  <c r="K184" i="4"/>
  <c r="E184" i="4"/>
  <c r="A184" i="4"/>
  <c r="K183" i="4"/>
  <c r="L183" i="4" s="1"/>
  <c r="E183" i="4"/>
  <c r="A183" i="4"/>
  <c r="K182" i="4"/>
  <c r="L182" i="4" s="1"/>
  <c r="E182" i="4"/>
  <c r="A182" i="4"/>
  <c r="L181" i="4"/>
  <c r="K181" i="4"/>
  <c r="E181" i="4"/>
  <c r="A181" i="4"/>
  <c r="K180" i="4"/>
  <c r="L180" i="4" s="1"/>
  <c r="E180" i="4"/>
  <c r="A180" i="4"/>
  <c r="L179" i="4"/>
  <c r="K179" i="4"/>
  <c r="E179" i="4"/>
  <c r="A179" i="4"/>
  <c r="K178" i="4"/>
  <c r="L178" i="4" s="1"/>
  <c r="E178" i="4"/>
  <c r="A178" i="4"/>
  <c r="L177" i="4"/>
  <c r="K177" i="4"/>
  <c r="E177" i="4"/>
  <c r="A177" i="4"/>
  <c r="L176" i="4"/>
  <c r="K176" i="4"/>
  <c r="E176" i="4"/>
  <c r="A176" i="4"/>
  <c r="K175" i="4"/>
  <c r="L175" i="4" s="1"/>
  <c r="E175" i="4"/>
  <c r="A175" i="4"/>
  <c r="K174" i="4"/>
  <c r="L174" i="4" s="1"/>
  <c r="E174" i="4"/>
  <c r="A174" i="4"/>
  <c r="K173" i="4"/>
  <c r="L173" i="4" s="1"/>
  <c r="E173" i="4"/>
  <c r="A173" i="4"/>
  <c r="K172" i="4"/>
  <c r="L172" i="4" s="1"/>
  <c r="E172" i="4"/>
  <c r="A172" i="4"/>
  <c r="L171" i="4"/>
  <c r="K171" i="4"/>
  <c r="E171" i="4"/>
  <c r="A171" i="4"/>
  <c r="L170" i="4"/>
  <c r="K170" i="4"/>
  <c r="E170" i="4"/>
  <c r="A170" i="4"/>
  <c r="L169" i="4"/>
  <c r="K169" i="4"/>
  <c r="E169" i="4"/>
  <c r="A169" i="4"/>
  <c r="L168" i="4"/>
  <c r="K168" i="4"/>
  <c r="E168" i="4"/>
  <c r="A168" i="4"/>
  <c r="K167" i="4"/>
  <c r="L167" i="4" s="1"/>
  <c r="E167" i="4"/>
  <c r="A167" i="4"/>
  <c r="K166" i="4"/>
  <c r="L166" i="4" s="1"/>
  <c r="E166" i="4"/>
  <c r="A166" i="4"/>
  <c r="L165" i="4"/>
  <c r="K165" i="4"/>
  <c r="E165" i="4"/>
  <c r="A165" i="4"/>
  <c r="K164" i="4"/>
  <c r="L164" i="4" s="1"/>
  <c r="E164" i="4"/>
  <c r="A164" i="4"/>
  <c r="L163" i="4"/>
  <c r="K163" i="4"/>
  <c r="E163" i="4"/>
  <c r="A163" i="4"/>
  <c r="K162" i="4"/>
  <c r="L162" i="4" s="1"/>
  <c r="E162" i="4"/>
  <c r="A162" i="4"/>
  <c r="L161" i="4"/>
  <c r="K161" i="4"/>
  <c r="E161" i="4"/>
  <c r="A161" i="4"/>
  <c r="L160" i="4"/>
  <c r="K160" i="4"/>
  <c r="E160" i="4"/>
  <c r="A160" i="4"/>
  <c r="L159" i="4"/>
  <c r="K159" i="4"/>
  <c r="E159" i="4"/>
  <c r="A159" i="4"/>
  <c r="K158" i="4"/>
  <c r="L158" i="4" s="1"/>
  <c r="E158" i="4"/>
  <c r="A158" i="4"/>
  <c r="K157" i="4"/>
  <c r="L157" i="4" s="1"/>
  <c r="E157" i="4"/>
  <c r="A157" i="4"/>
  <c r="K156" i="4"/>
  <c r="L156" i="4" s="1"/>
  <c r="E156" i="4"/>
  <c r="A156" i="4"/>
  <c r="L155" i="4"/>
  <c r="K155" i="4"/>
  <c r="E155" i="4"/>
  <c r="A155" i="4"/>
  <c r="L154" i="4"/>
  <c r="K154" i="4"/>
  <c r="E154" i="4"/>
  <c r="A154" i="4"/>
  <c r="L153" i="4"/>
  <c r="K153" i="4"/>
  <c r="E153" i="4"/>
  <c r="A153" i="4"/>
  <c r="K152" i="4"/>
  <c r="L152" i="4" s="1"/>
  <c r="E152" i="4"/>
  <c r="A152" i="4"/>
  <c r="K151" i="4"/>
  <c r="L151" i="4" s="1"/>
  <c r="E151" i="4"/>
  <c r="A151" i="4"/>
  <c r="K150" i="4"/>
  <c r="L150" i="4" s="1"/>
  <c r="E150" i="4"/>
  <c r="A150" i="4"/>
  <c r="L149" i="4"/>
  <c r="K149" i="4"/>
  <c r="E149" i="4"/>
  <c r="A149" i="4"/>
  <c r="K148" i="4"/>
  <c r="L148" i="4" s="1"/>
  <c r="E148" i="4"/>
  <c r="A148" i="4"/>
  <c r="L147" i="4"/>
  <c r="K147" i="4"/>
  <c r="E147" i="4"/>
  <c r="A147" i="4"/>
  <c r="K146" i="4"/>
  <c r="L146" i="4" s="1"/>
  <c r="E146" i="4"/>
  <c r="A146" i="4"/>
  <c r="L145" i="4"/>
  <c r="K145" i="4"/>
  <c r="E145" i="4"/>
  <c r="A145" i="4"/>
  <c r="L144" i="4"/>
  <c r="K144" i="4"/>
  <c r="E144" i="4"/>
  <c r="A144" i="4"/>
  <c r="L143" i="4"/>
  <c r="K143" i="4"/>
  <c r="E143" i="4"/>
  <c r="A143" i="4"/>
  <c r="K142" i="4"/>
  <c r="L142" i="4" s="1"/>
  <c r="E142" i="4"/>
  <c r="A142" i="4"/>
  <c r="K141" i="4"/>
  <c r="L141" i="4" s="1"/>
  <c r="E141" i="4"/>
  <c r="A141" i="4"/>
  <c r="K140" i="4"/>
  <c r="L140" i="4" s="1"/>
  <c r="E140" i="4"/>
  <c r="A140" i="4"/>
  <c r="L139" i="4"/>
  <c r="K139" i="4"/>
  <c r="E139" i="4"/>
  <c r="A139" i="4"/>
  <c r="L138" i="4"/>
  <c r="K138" i="4"/>
  <c r="E138" i="4"/>
  <c r="A138" i="4"/>
  <c r="L137" i="4"/>
  <c r="K137" i="4"/>
  <c r="E137" i="4"/>
  <c r="A137" i="4"/>
  <c r="K136" i="4"/>
  <c r="L136" i="4" s="1"/>
  <c r="E136" i="4"/>
  <c r="A136" i="4"/>
  <c r="K135" i="4"/>
  <c r="L135" i="4" s="1"/>
  <c r="E135" i="4"/>
  <c r="A135" i="4"/>
  <c r="K134" i="4"/>
  <c r="L134" i="4" s="1"/>
  <c r="E134" i="4"/>
  <c r="A134" i="4"/>
  <c r="L133" i="4"/>
  <c r="K133" i="4"/>
  <c r="E133" i="4"/>
  <c r="A133" i="4"/>
  <c r="K132" i="4"/>
  <c r="L132" i="4" s="1"/>
  <c r="E132" i="4"/>
  <c r="A132" i="4"/>
  <c r="K131" i="4"/>
  <c r="L131" i="4" s="1"/>
  <c r="E131" i="4"/>
  <c r="A131" i="4"/>
  <c r="L130" i="4"/>
  <c r="K130" i="4"/>
  <c r="E130" i="4"/>
  <c r="A130" i="4"/>
  <c r="L129" i="4"/>
  <c r="K129" i="4"/>
  <c r="E129" i="4"/>
  <c r="A129" i="4"/>
  <c r="L128" i="4"/>
  <c r="K128" i="4"/>
  <c r="E128" i="4"/>
  <c r="A128" i="4"/>
  <c r="L127" i="4"/>
  <c r="K127" i="4"/>
  <c r="E127" i="4"/>
  <c r="A127" i="4"/>
  <c r="K126" i="4"/>
  <c r="L126" i="4" s="1"/>
  <c r="E126" i="4"/>
  <c r="A126" i="4"/>
  <c r="K125" i="4"/>
  <c r="L125" i="4" s="1"/>
  <c r="E125" i="4"/>
  <c r="A125" i="4"/>
  <c r="K124" i="4"/>
  <c r="L124" i="4" s="1"/>
  <c r="E124" i="4"/>
  <c r="A124" i="4"/>
  <c r="L123" i="4"/>
  <c r="K123" i="4"/>
  <c r="E123" i="4"/>
  <c r="A123" i="4"/>
  <c r="K122" i="4"/>
  <c r="L122" i="4" s="1"/>
  <c r="E122" i="4"/>
  <c r="A122" i="4"/>
  <c r="L121" i="4"/>
  <c r="K121" i="4"/>
  <c r="E121" i="4"/>
  <c r="A121" i="4"/>
  <c r="L120" i="4"/>
  <c r="K120" i="4"/>
  <c r="E120" i="4"/>
  <c r="A120" i="4"/>
  <c r="L119" i="4"/>
  <c r="K119" i="4"/>
  <c r="E119" i="4"/>
  <c r="A119" i="4"/>
  <c r="L118" i="4"/>
  <c r="K118" i="4"/>
  <c r="E118" i="4"/>
  <c r="A118" i="4"/>
  <c r="L117" i="4"/>
  <c r="K117" i="4"/>
  <c r="E117" i="4"/>
  <c r="A117" i="4"/>
  <c r="K116" i="4"/>
  <c r="L116" i="4" s="1"/>
  <c r="E116" i="4"/>
  <c r="A116" i="4"/>
  <c r="L115" i="4"/>
  <c r="K115" i="4"/>
  <c r="E115" i="4"/>
  <c r="A115" i="4"/>
  <c r="K114" i="4"/>
  <c r="L114" i="4" s="1"/>
  <c r="E114" i="4"/>
  <c r="A114" i="4"/>
  <c r="L113" i="4"/>
  <c r="K113" i="4"/>
  <c r="E113" i="4"/>
  <c r="A113" i="4"/>
  <c r="K112" i="4"/>
  <c r="L112" i="4" s="1"/>
  <c r="E112" i="4"/>
  <c r="A112" i="4"/>
  <c r="L111" i="4"/>
  <c r="K111" i="4"/>
  <c r="E111" i="4"/>
  <c r="A111" i="4"/>
  <c r="L110" i="4"/>
  <c r="K110" i="4"/>
  <c r="E110" i="4"/>
  <c r="A110" i="4"/>
  <c r="L109" i="4"/>
  <c r="K109" i="4"/>
  <c r="E109" i="4"/>
  <c r="A109" i="4"/>
  <c r="K108" i="4"/>
  <c r="L108" i="4" s="1"/>
  <c r="E108" i="4"/>
  <c r="A108" i="4"/>
  <c r="K107" i="4"/>
  <c r="L107" i="4" s="1"/>
  <c r="E107" i="4"/>
  <c r="A107" i="4"/>
  <c r="L106" i="4"/>
  <c r="K106" i="4"/>
  <c r="E106" i="4"/>
  <c r="A106" i="4"/>
  <c r="L105" i="4"/>
  <c r="K105" i="4"/>
  <c r="E105" i="4"/>
  <c r="A105" i="4"/>
  <c r="L104" i="4"/>
  <c r="K104" i="4"/>
  <c r="E104" i="4"/>
  <c r="A104" i="4"/>
  <c r="L103" i="4"/>
  <c r="K103" i="4"/>
  <c r="E103" i="4"/>
  <c r="A103" i="4"/>
  <c r="L102" i="4"/>
  <c r="K102" i="4"/>
  <c r="E102" i="4"/>
  <c r="A102" i="4"/>
  <c r="K101" i="4"/>
  <c r="L101" i="4" s="1"/>
  <c r="E101" i="4"/>
  <c r="A101" i="4"/>
  <c r="K100" i="4"/>
  <c r="L100" i="4" s="1"/>
  <c r="E100" i="4"/>
  <c r="A100" i="4"/>
  <c r="K99" i="4"/>
  <c r="L99" i="4" s="1"/>
  <c r="E99" i="4"/>
  <c r="A99" i="4"/>
  <c r="L98" i="4"/>
  <c r="K98" i="4"/>
  <c r="E98" i="4"/>
  <c r="A98" i="4"/>
  <c r="L97" i="4"/>
  <c r="K97" i="4"/>
  <c r="E97" i="4"/>
  <c r="A97" i="4"/>
  <c r="L96" i="4"/>
  <c r="K96" i="4"/>
  <c r="E96" i="4"/>
  <c r="A96" i="4"/>
  <c r="L95" i="4"/>
  <c r="K95" i="4"/>
  <c r="E95" i="4"/>
  <c r="A95" i="4"/>
  <c r="L94" i="4"/>
  <c r="K94" i="4"/>
  <c r="E94" i="4"/>
  <c r="A94" i="4"/>
  <c r="K93" i="4"/>
  <c r="L93" i="4" s="1"/>
  <c r="E93" i="4"/>
  <c r="A93" i="4"/>
  <c r="K92" i="4"/>
  <c r="L92" i="4" s="1"/>
  <c r="E92" i="4"/>
  <c r="A92" i="4"/>
  <c r="K91" i="4"/>
  <c r="L91" i="4" s="1"/>
  <c r="E91" i="4"/>
  <c r="A91" i="4"/>
  <c r="L90" i="4"/>
  <c r="K90" i="4"/>
  <c r="E90" i="4"/>
  <c r="A90" i="4"/>
  <c r="L89" i="4"/>
  <c r="K89" i="4"/>
  <c r="E89" i="4"/>
  <c r="A89" i="4"/>
  <c r="L88" i="4"/>
  <c r="K88" i="4"/>
  <c r="E88" i="4"/>
  <c r="A88" i="4"/>
  <c r="L87" i="4"/>
  <c r="K87" i="4"/>
  <c r="E87" i="4"/>
  <c r="A87" i="4"/>
  <c r="L86" i="4"/>
  <c r="K86" i="4"/>
  <c r="E86" i="4"/>
  <c r="A86" i="4"/>
  <c r="K85" i="4"/>
  <c r="L85" i="4" s="1"/>
  <c r="E85" i="4"/>
  <c r="A85" i="4"/>
  <c r="K84" i="4"/>
  <c r="L84" i="4" s="1"/>
  <c r="E84" i="4"/>
  <c r="A84" i="4"/>
  <c r="K83" i="4"/>
  <c r="L83" i="4" s="1"/>
  <c r="E83" i="4"/>
  <c r="A83" i="4"/>
  <c r="P82" i="4"/>
  <c r="K82" i="4"/>
  <c r="L82" i="4" s="1"/>
  <c r="E82" i="4"/>
  <c r="A82" i="4"/>
  <c r="P81" i="4"/>
  <c r="L81" i="4"/>
  <c r="K81" i="4"/>
  <c r="E81" i="4"/>
  <c r="A81" i="4"/>
  <c r="P80" i="4"/>
  <c r="L80" i="4" s="1"/>
  <c r="K80" i="4"/>
  <c r="E80" i="4"/>
  <c r="A80" i="4"/>
  <c r="P79" i="4"/>
  <c r="K79" i="4"/>
  <c r="L79" i="4" s="1"/>
  <c r="E79" i="4"/>
  <c r="A79" i="4"/>
  <c r="P78" i="4"/>
  <c r="K78" i="4"/>
  <c r="L78" i="4" s="1"/>
  <c r="E78" i="4"/>
  <c r="A78" i="4"/>
  <c r="P77" i="4"/>
  <c r="L77" i="4"/>
  <c r="K77" i="4"/>
  <c r="E77" i="4"/>
  <c r="A77" i="4"/>
  <c r="P76" i="4"/>
  <c r="L76" i="4" s="1"/>
  <c r="K76" i="4"/>
  <c r="E76" i="4"/>
  <c r="A76" i="4"/>
  <c r="P75" i="4"/>
  <c r="K75" i="4"/>
  <c r="L75" i="4" s="1"/>
  <c r="E75" i="4"/>
  <c r="A75" i="4"/>
  <c r="P74" i="4"/>
  <c r="K74" i="4"/>
  <c r="L74" i="4" s="1"/>
  <c r="E74" i="4"/>
  <c r="A74" i="4"/>
  <c r="P73" i="4"/>
  <c r="L73" i="4"/>
  <c r="K73" i="4"/>
  <c r="E73" i="4"/>
  <c r="A73" i="4"/>
  <c r="L72" i="4"/>
  <c r="K72" i="4"/>
  <c r="E72" i="4"/>
  <c r="A72" i="4"/>
  <c r="P71" i="4"/>
  <c r="L71" i="4"/>
  <c r="K71" i="4"/>
  <c r="E71" i="4"/>
  <c r="A71" i="4"/>
  <c r="P70" i="4"/>
  <c r="L70" i="4" s="1"/>
  <c r="K70" i="4"/>
  <c r="E70" i="4"/>
  <c r="A70" i="4"/>
  <c r="P69" i="4"/>
  <c r="K69" i="4"/>
  <c r="L69" i="4" s="1"/>
  <c r="E69" i="4"/>
  <c r="A69" i="4"/>
  <c r="P68" i="4"/>
  <c r="L68" i="4"/>
  <c r="K68" i="4"/>
  <c r="E68" i="4"/>
  <c r="A68" i="4"/>
  <c r="P67" i="4"/>
  <c r="L67" i="4"/>
  <c r="K67" i="4"/>
  <c r="E67" i="4"/>
  <c r="A67" i="4"/>
  <c r="P66" i="4"/>
  <c r="L66" i="4" s="1"/>
  <c r="K66" i="4"/>
  <c r="E66" i="4"/>
  <c r="A66" i="4"/>
  <c r="P65" i="4"/>
  <c r="K65" i="4"/>
  <c r="L65" i="4" s="1"/>
  <c r="E65" i="4"/>
  <c r="A65" i="4"/>
  <c r="P64" i="4"/>
  <c r="L64" i="4"/>
  <c r="K64" i="4"/>
  <c r="E64" i="4"/>
  <c r="A64" i="4"/>
  <c r="E63" i="4"/>
  <c r="A63" i="4"/>
  <c r="P62" i="4"/>
  <c r="L62" i="4" s="1"/>
  <c r="K62" i="4"/>
  <c r="E62" i="4"/>
  <c r="A62" i="4"/>
  <c r="P61" i="4"/>
  <c r="K61" i="4"/>
  <c r="L61" i="4" s="1"/>
  <c r="E61" i="4"/>
  <c r="A61" i="4"/>
  <c r="P60" i="4"/>
  <c r="L60" i="4" s="1"/>
  <c r="N60" i="4"/>
  <c r="K60" i="4"/>
  <c r="E60" i="4"/>
  <c r="A60" i="4"/>
  <c r="P59" i="4"/>
  <c r="N59" i="4"/>
  <c r="K59" i="4"/>
  <c r="E59" i="4"/>
  <c r="A59" i="4"/>
  <c r="P58" i="4"/>
  <c r="L58" i="4"/>
  <c r="K58" i="4"/>
  <c r="E58" i="4"/>
  <c r="A58" i="4"/>
  <c r="P57" i="4"/>
  <c r="L57" i="4" s="1"/>
  <c r="K57" i="4"/>
  <c r="E57" i="4"/>
  <c r="A57" i="4"/>
  <c r="P56" i="4"/>
  <c r="K56" i="4"/>
  <c r="L56" i="4" s="1"/>
  <c r="E56" i="4"/>
  <c r="A56" i="4"/>
  <c r="P55" i="4"/>
  <c r="K55" i="4"/>
  <c r="L55" i="4" s="1"/>
  <c r="E55" i="4"/>
  <c r="A55" i="4"/>
  <c r="P54" i="4"/>
  <c r="L54" i="4"/>
  <c r="K54" i="4"/>
  <c r="E54" i="4"/>
  <c r="A54" i="4"/>
  <c r="P53" i="4"/>
  <c r="L53" i="4" s="1"/>
  <c r="K53" i="4"/>
  <c r="E53" i="4"/>
  <c r="A53" i="4"/>
  <c r="P52" i="4"/>
  <c r="K52" i="4"/>
  <c r="L52" i="4" s="1"/>
  <c r="E52" i="4"/>
  <c r="A52" i="4"/>
  <c r="P51" i="4"/>
  <c r="K51" i="4"/>
  <c r="L51" i="4" s="1"/>
  <c r="E51" i="4"/>
  <c r="A51" i="4"/>
  <c r="P50" i="4"/>
  <c r="L50" i="4"/>
  <c r="K50" i="4"/>
  <c r="E50" i="4"/>
  <c r="A50" i="4"/>
  <c r="P49" i="4"/>
  <c r="L49" i="4" s="1"/>
  <c r="K49" i="4"/>
  <c r="E49" i="4"/>
  <c r="A49" i="4"/>
  <c r="P48" i="4"/>
  <c r="K48" i="4"/>
  <c r="L48" i="4" s="1"/>
  <c r="E48" i="4"/>
  <c r="A48" i="4"/>
  <c r="P47" i="4"/>
  <c r="K47" i="4"/>
  <c r="L47" i="4" s="1"/>
  <c r="E47" i="4"/>
  <c r="A47" i="4"/>
  <c r="P46" i="4"/>
  <c r="L46" i="4"/>
  <c r="K46" i="4"/>
  <c r="E46" i="4"/>
  <c r="A46" i="4"/>
  <c r="P45" i="4"/>
  <c r="L45" i="4" s="1"/>
  <c r="K45" i="4"/>
  <c r="E45" i="4"/>
  <c r="A45" i="4"/>
  <c r="P44" i="4"/>
  <c r="K44" i="4"/>
  <c r="L44" i="4" s="1"/>
  <c r="E44" i="4"/>
  <c r="A44" i="4"/>
  <c r="P43" i="4"/>
  <c r="K43" i="4"/>
  <c r="L43" i="4" s="1"/>
  <c r="E43" i="4"/>
  <c r="A43" i="4"/>
  <c r="P42" i="4"/>
  <c r="N42" i="4"/>
  <c r="L42" i="4"/>
  <c r="K42" i="4"/>
  <c r="E42" i="4"/>
  <c r="A42" i="4"/>
  <c r="P41" i="4"/>
  <c r="N41" i="4"/>
  <c r="L41" i="4"/>
  <c r="K41" i="4"/>
  <c r="E41" i="4"/>
  <c r="A41" i="4"/>
  <c r="P40" i="4"/>
  <c r="N40" i="4"/>
  <c r="K40" i="4"/>
  <c r="L40" i="4" s="1"/>
  <c r="E40" i="4"/>
  <c r="A40" i="4"/>
  <c r="P39" i="4"/>
  <c r="N39" i="4"/>
  <c r="L39" i="4"/>
  <c r="K39" i="4"/>
  <c r="E39" i="4"/>
  <c r="A39" i="4"/>
  <c r="P38" i="4"/>
  <c r="N38" i="4"/>
  <c r="L38" i="4"/>
  <c r="K38" i="4"/>
  <c r="E38" i="4"/>
  <c r="A38" i="4"/>
  <c r="P37" i="4"/>
  <c r="N37" i="4"/>
  <c r="K37" i="4"/>
  <c r="L37" i="4" s="1"/>
  <c r="E37" i="4"/>
  <c r="A37" i="4"/>
  <c r="P36" i="4"/>
  <c r="L36" i="4" s="1"/>
  <c r="N36" i="4"/>
  <c r="K36" i="4"/>
  <c r="E36" i="4"/>
  <c r="A36" i="4"/>
  <c r="P35" i="4"/>
  <c r="N35" i="4"/>
  <c r="K35" i="4"/>
  <c r="L35" i="4" s="1"/>
  <c r="E35" i="4"/>
  <c r="A35" i="4"/>
  <c r="P34" i="4"/>
  <c r="N34" i="4"/>
  <c r="L34" i="4"/>
  <c r="K34" i="4"/>
  <c r="E34" i="4"/>
  <c r="A34" i="4"/>
  <c r="P33" i="4"/>
  <c r="N33" i="4"/>
  <c r="L33" i="4"/>
  <c r="K33" i="4"/>
  <c r="E33" i="4"/>
  <c r="A33" i="4"/>
  <c r="P32" i="4"/>
  <c r="N32" i="4"/>
  <c r="K32" i="4"/>
  <c r="L32" i="4" s="1"/>
  <c r="E32" i="4"/>
  <c r="A32" i="4"/>
  <c r="P31" i="4"/>
  <c r="N31" i="4"/>
  <c r="L31" i="4"/>
  <c r="K31" i="4"/>
  <c r="E31" i="4"/>
  <c r="A31" i="4"/>
  <c r="P30" i="4"/>
  <c r="N30" i="4"/>
  <c r="L30" i="4"/>
  <c r="K30" i="4"/>
  <c r="E30" i="4"/>
  <c r="A30" i="4"/>
  <c r="P29" i="4"/>
  <c r="N29" i="4"/>
  <c r="K29" i="4"/>
  <c r="L29" i="4" s="1"/>
  <c r="E29" i="4"/>
  <c r="A29" i="4"/>
  <c r="P28" i="4"/>
  <c r="L28" i="4" s="1"/>
  <c r="N28" i="4"/>
  <c r="K28" i="4"/>
  <c r="E28" i="4"/>
  <c r="A28" i="4"/>
  <c r="P27" i="4"/>
  <c r="N27" i="4"/>
  <c r="K27" i="4"/>
  <c r="E27" i="4"/>
  <c r="A27" i="4"/>
  <c r="P26" i="4"/>
  <c r="N26" i="4"/>
  <c r="L26" i="4"/>
  <c r="K26" i="4"/>
  <c r="E26" i="4"/>
  <c r="A26" i="4"/>
  <c r="P25" i="4"/>
  <c r="N25" i="4"/>
  <c r="L25" i="4"/>
  <c r="K25" i="4"/>
  <c r="E25" i="4"/>
  <c r="A25" i="4"/>
  <c r="P24" i="4"/>
  <c r="N24" i="4"/>
  <c r="K24" i="4"/>
  <c r="L24" i="4" s="1"/>
  <c r="E24" i="4"/>
  <c r="A24" i="4"/>
  <c r="P23" i="4"/>
  <c r="N23" i="4"/>
  <c r="L23" i="4"/>
  <c r="K23" i="4"/>
  <c r="E23" i="4"/>
  <c r="A23" i="4"/>
  <c r="P22" i="4"/>
  <c r="N22" i="4"/>
  <c r="L22" i="4"/>
  <c r="K22" i="4"/>
  <c r="E22" i="4"/>
  <c r="A22" i="4"/>
  <c r="P21" i="4"/>
  <c r="N21" i="4"/>
  <c r="K21" i="4"/>
  <c r="L21" i="4" s="1"/>
  <c r="E21" i="4"/>
  <c r="A21" i="4"/>
  <c r="P20" i="4"/>
  <c r="L20" i="4" s="1"/>
  <c r="N20" i="4"/>
  <c r="K20" i="4"/>
  <c r="E20" i="4"/>
  <c r="A20" i="4"/>
  <c r="P19" i="4"/>
  <c r="N19" i="4"/>
  <c r="K19" i="4"/>
  <c r="E19" i="4"/>
  <c r="A19" i="4"/>
  <c r="P18" i="4"/>
  <c r="N18" i="4"/>
  <c r="L18" i="4"/>
  <c r="K18" i="4"/>
  <c r="E18" i="4"/>
  <c r="A18" i="4"/>
  <c r="P17" i="4"/>
  <c r="N17" i="4"/>
  <c r="L17" i="4"/>
  <c r="K17" i="4"/>
  <c r="E17" i="4"/>
  <c r="A17" i="4"/>
  <c r="P16" i="4"/>
  <c r="N16" i="4"/>
  <c r="K16" i="4"/>
  <c r="L16" i="4" s="1"/>
  <c r="E16" i="4"/>
  <c r="A16" i="4"/>
  <c r="P15" i="4"/>
  <c r="N15" i="4"/>
  <c r="L15" i="4"/>
  <c r="K15" i="4"/>
  <c r="E15" i="4"/>
  <c r="A15" i="4"/>
  <c r="P14" i="4"/>
  <c r="N14" i="4"/>
  <c r="L14" i="4"/>
  <c r="K14" i="4"/>
  <c r="E14" i="4"/>
  <c r="A14" i="4"/>
  <c r="P13" i="4"/>
  <c r="N13" i="4"/>
  <c r="K13" i="4"/>
  <c r="L13" i="4" s="1"/>
  <c r="E13" i="4"/>
  <c r="A13" i="4"/>
  <c r="P12" i="4"/>
  <c r="L12" i="4" s="1"/>
  <c r="N12" i="4"/>
  <c r="K12" i="4"/>
  <c r="E12" i="4"/>
  <c r="A12" i="4"/>
  <c r="P11" i="4"/>
  <c r="N11" i="4"/>
  <c r="K11" i="4"/>
  <c r="E11" i="4"/>
  <c r="A11" i="4"/>
  <c r="P10" i="4"/>
  <c r="N10" i="4"/>
  <c r="L10" i="4"/>
  <c r="K10" i="4"/>
  <c r="E10" i="4"/>
  <c r="A10" i="4"/>
  <c r="P9" i="4"/>
  <c r="N9" i="4"/>
  <c r="L9" i="4"/>
  <c r="K9" i="4"/>
  <c r="E9" i="4"/>
  <c r="A9" i="4"/>
  <c r="P8" i="4"/>
  <c r="N8" i="4"/>
  <c r="K8" i="4"/>
  <c r="L8" i="4" s="1"/>
  <c r="E8" i="4"/>
  <c r="A8" i="4"/>
  <c r="P7" i="4"/>
  <c r="N7" i="4"/>
  <c r="L7" i="4"/>
  <c r="K7" i="4"/>
  <c r="E7" i="4"/>
  <c r="A7" i="4"/>
  <c r="P6" i="4"/>
  <c r="N6" i="4"/>
  <c r="L6" i="4"/>
  <c r="K6" i="4"/>
  <c r="E6" i="4"/>
  <c r="A6" i="4"/>
  <c r="P5" i="4"/>
  <c r="N5" i="4"/>
  <c r="K5" i="4"/>
  <c r="E5" i="4"/>
  <c r="A5" i="4"/>
  <c r="P4" i="4"/>
  <c r="L4" i="4" s="1"/>
  <c r="N4" i="4"/>
  <c r="K4" i="4"/>
  <c r="E4" i="4"/>
  <c r="A4" i="4"/>
  <c r="L3" i="4"/>
  <c r="I3" i="4"/>
  <c r="P7" i="2"/>
  <c r="N7" i="2"/>
  <c r="L7" i="2"/>
  <c r="J7" i="2"/>
  <c r="K7" i="2" s="1"/>
  <c r="E7" i="2"/>
  <c r="A7" i="2"/>
  <c r="P6" i="2"/>
  <c r="N6" i="2"/>
  <c r="L6" i="2"/>
  <c r="J6" i="2"/>
  <c r="K6" i="2" s="1"/>
  <c r="E6" i="2"/>
  <c r="A6" i="2"/>
  <c r="P5" i="2"/>
  <c r="N5" i="2"/>
  <c r="L5" i="2"/>
  <c r="J5" i="2"/>
  <c r="K5" i="2" s="1"/>
  <c r="E5" i="2"/>
  <c r="A5" i="2"/>
  <c r="N4" i="2"/>
  <c r="L4" i="2"/>
  <c r="J4" i="2"/>
  <c r="K4" i="2" s="1"/>
  <c r="E4" i="2"/>
  <c r="A4" i="2"/>
  <c r="H3" i="2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H10" i="1"/>
  <c r="A10" i="1"/>
  <c r="H9" i="1"/>
  <c r="A9" i="1"/>
  <c r="H8" i="1"/>
  <c r="A8" i="1"/>
  <c r="M7" i="1"/>
  <c r="K7" i="1"/>
  <c r="H7" i="1"/>
  <c r="A7" i="1"/>
  <c r="M6" i="1"/>
  <c r="K6" i="1"/>
  <c r="H6" i="1"/>
  <c r="A6" i="1"/>
  <c r="M5" i="1"/>
  <c r="K5" i="1"/>
  <c r="H5" i="1"/>
  <c r="A5" i="1"/>
  <c r="M4" i="1"/>
  <c r="K4" i="1"/>
  <c r="H4" i="1"/>
  <c r="A4" i="1"/>
  <c r="K3" i="2" l="1"/>
  <c r="J3" i="2"/>
  <c r="K3" i="4"/>
  <c r="L19" i="4"/>
  <c r="L11" i="4"/>
  <c r="L59" i="4"/>
  <c r="L27" i="4"/>
  <c r="L5" i="4"/>
  <c r="A48" i="7"/>
  <c r="A52" i="7"/>
  <c r="A56" i="7"/>
  <c r="A60" i="7"/>
  <c r="A64" i="7"/>
  <c r="A68" i="7"/>
  <c r="A72" i="7"/>
  <c r="A76" i="7"/>
  <c r="A80" i="7"/>
  <c r="A84" i="7"/>
  <c r="A88" i="7"/>
  <c r="A92" i="7"/>
  <c r="C14" i="11"/>
  <c r="C140" i="4"/>
  <c r="C56" i="4"/>
  <c r="C275" i="4"/>
  <c r="C143" i="4"/>
  <c r="C28" i="4"/>
  <c r="C233" i="4"/>
  <c r="C126" i="4"/>
  <c r="C72" i="4"/>
  <c r="C74" i="4"/>
  <c r="C67" i="11"/>
  <c r="C41" i="4"/>
  <c r="C58" i="4"/>
  <c r="C172" i="4"/>
  <c r="C4" i="11"/>
  <c r="C40" i="4"/>
  <c r="C203" i="4"/>
  <c r="C160" i="4"/>
  <c r="C179" i="4"/>
  <c r="C71" i="11"/>
  <c r="C80" i="4"/>
  <c r="C94" i="4"/>
  <c r="C7" i="11"/>
  <c r="C63" i="4"/>
  <c r="C111" i="4"/>
  <c r="C128" i="4"/>
  <c r="C33" i="11"/>
  <c r="C16" i="11"/>
  <c r="C87" i="4"/>
  <c r="C88" i="4"/>
  <c r="C98" i="4"/>
  <c r="C142" i="4"/>
  <c r="C49" i="4"/>
  <c r="C182" i="4"/>
  <c r="C29" i="11"/>
  <c r="C16" i="1"/>
  <c r="C272" i="4"/>
  <c r="C263" i="4"/>
  <c r="C218" i="4"/>
  <c r="C14" i="1"/>
  <c r="C77" i="4"/>
  <c r="C69" i="4"/>
  <c r="C193" i="4"/>
  <c r="C81" i="4"/>
  <c r="C17" i="4"/>
  <c r="C75" i="4"/>
  <c r="C55" i="4"/>
  <c r="C155" i="4"/>
  <c r="C200" i="4"/>
  <c r="C120" i="4"/>
  <c r="C19" i="11"/>
  <c r="C7" i="1"/>
  <c r="E7" i="1"/>
  <c r="C40" i="11"/>
  <c r="C220" i="4"/>
  <c r="C35" i="4"/>
  <c r="C83" i="4"/>
  <c r="C210" i="4"/>
  <c r="C224" i="4"/>
  <c r="C186" i="4"/>
  <c r="C255" i="4"/>
  <c r="C175" i="4"/>
  <c r="C241" i="4"/>
  <c r="C36" i="11"/>
  <c r="C108" i="4"/>
  <c r="C254" i="4"/>
  <c r="C22" i="4"/>
  <c r="C21" i="4"/>
  <c r="C69" i="11"/>
  <c r="C8" i="4"/>
  <c r="C113" i="4"/>
  <c r="C39" i="11"/>
  <c r="C37" i="4"/>
  <c r="C191" i="4"/>
  <c r="C47" i="4"/>
  <c r="C131" i="4"/>
  <c r="C238" i="4"/>
  <c r="C212" i="4"/>
  <c r="C14" i="4"/>
  <c r="C178" i="4"/>
  <c r="C18" i="11"/>
  <c r="C48" i="4"/>
  <c r="C117" i="4"/>
  <c r="C11" i="11"/>
  <c r="C198" i="4"/>
  <c r="C24" i="4"/>
  <c r="C248" i="4"/>
  <c r="C103" i="4"/>
  <c r="C188" i="4"/>
  <c r="C105" i="4"/>
  <c r="C99" i="4"/>
  <c r="C10" i="11"/>
  <c r="C119" i="4"/>
  <c r="C11" i="4"/>
  <c r="C216" i="4"/>
  <c r="C50" i="4"/>
  <c r="C269" i="4"/>
  <c r="C199" i="4"/>
  <c r="C271" i="4"/>
  <c r="C64" i="11"/>
  <c r="C129" i="4"/>
  <c r="C114" i="4"/>
  <c r="F5" i="1"/>
  <c r="C266" i="4"/>
  <c r="C196" i="4"/>
  <c r="C15" i="4"/>
  <c r="C93" i="4"/>
  <c r="C95" i="4"/>
  <c r="C168" i="4"/>
  <c r="C134" i="4"/>
  <c r="C54" i="11"/>
  <c r="C61" i="11"/>
  <c r="C264" i="4"/>
  <c r="C253" i="4"/>
  <c r="C195" i="4"/>
  <c r="C70" i="11"/>
  <c r="C151" i="4"/>
  <c r="C28" i="11"/>
  <c r="E6" i="1"/>
  <c r="C63" i="11"/>
  <c r="C68" i="11"/>
  <c r="C132" i="4"/>
  <c r="C149" i="4"/>
  <c r="C42" i="11"/>
  <c r="C97" i="4"/>
  <c r="F6" i="1"/>
  <c r="C107" i="4"/>
  <c r="C84" i="4"/>
  <c r="C164" i="4"/>
  <c r="C67" i="4"/>
  <c r="C17" i="11"/>
  <c r="C161" i="4"/>
  <c r="C76" i="4"/>
  <c r="C265" i="4"/>
  <c r="C53" i="4"/>
  <c r="C25" i="4"/>
  <c r="C4" i="4"/>
  <c r="C51" i="4"/>
  <c r="C59" i="4"/>
  <c r="C133" i="4"/>
  <c r="C9" i="11"/>
  <c r="C5" i="2"/>
  <c r="C8" i="1"/>
  <c r="C60" i="11"/>
  <c r="C282" i="4"/>
  <c r="C136" i="4"/>
  <c r="C180" i="4"/>
  <c r="C127" i="4"/>
  <c r="C23" i="4"/>
  <c r="C22" i="11"/>
  <c r="C250" i="4"/>
  <c r="C130" i="4"/>
  <c r="C18" i="4"/>
  <c r="C270" i="4"/>
  <c r="C91" i="4"/>
  <c r="C39" i="4"/>
  <c r="C90" i="4"/>
  <c r="C257" i="4"/>
  <c r="C12" i="4"/>
  <c r="C8" i="11"/>
  <c r="C116" i="4"/>
  <c r="C213" i="4"/>
  <c r="C45" i="4"/>
  <c r="C121" i="4"/>
  <c r="C65" i="4"/>
  <c r="C47" i="11"/>
  <c r="C227" i="4"/>
  <c r="C185" i="4"/>
  <c r="C135" i="4"/>
  <c r="C174" i="4"/>
  <c r="C204" i="4"/>
  <c r="C34" i="11"/>
  <c r="C36" i="4"/>
  <c r="C145" i="4"/>
  <c r="C245" i="4"/>
  <c r="C15" i="11"/>
  <c r="C13" i="1"/>
  <c r="C58" i="11"/>
  <c r="C205" i="4"/>
  <c r="C61" i="4"/>
  <c r="F4" i="1"/>
  <c r="C78" i="4"/>
  <c r="C10" i="4"/>
  <c r="C169" i="4"/>
  <c r="C13" i="4"/>
  <c r="C9" i="1"/>
  <c r="C144" i="4"/>
  <c r="C25" i="11"/>
  <c r="C27" i="4"/>
  <c r="C44" i="4"/>
  <c r="C19" i="4"/>
  <c r="C215" i="4"/>
  <c r="C159" i="4"/>
  <c r="C20" i="4"/>
  <c r="C181" i="4"/>
  <c r="C26" i="11"/>
  <c r="C125" i="4"/>
  <c r="C226" i="4"/>
  <c r="C201" i="4"/>
  <c r="C9" i="4"/>
  <c r="C4" i="2"/>
  <c r="C70" i="4"/>
  <c r="C27" i="11"/>
  <c r="C34" i="4"/>
  <c r="C280" i="4"/>
  <c r="C115" i="4"/>
  <c r="C23" i="11"/>
  <c r="C231" i="4"/>
  <c r="C165" i="4"/>
  <c r="C109" i="4"/>
  <c r="C110" i="4"/>
  <c r="C281" i="4"/>
  <c r="C31" i="11"/>
  <c r="C53" i="11"/>
  <c r="C66" i="4"/>
  <c r="C225" i="4"/>
  <c r="C251" i="4"/>
  <c r="C44" i="11"/>
  <c r="C228" i="4"/>
  <c r="C153" i="4"/>
  <c r="C183" i="4"/>
  <c r="C62" i="4"/>
  <c r="C64" i="4"/>
  <c r="C4" i="1"/>
  <c r="C190" i="4"/>
  <c r="F7" i="1"/>
  <c r="C106" i="4"/>
  <c r="C46" i="11"/>
  <c r="C10" i="1"/>
  <c r="C242" i="4"/>
  <c r="C150" i="4"/>
  <c r="C197" i="4"/>
  <c r="C176" i="4"/>
  <c r="C16" i="4"/>
  <c r="C166" i="4"/>
  <c r="C30" i="4"/>
  <c r="C239" i="4"/>
  <c r="C48" i="11"/>
  <c r="C96" i="4"/>
  <c r="C6" i="11"/>
  <c r="C158" i="4"/>
  <c r="C41" i="11"/>
  <c r="C258" i="4"/>
  <c r="C170" i="4"/>
  <c r="C11" i="1"/>
  <c r="C68" i="4"/>
  <c r="C118" i="4"/>
  <c r="C146" i="4"/>
  <c r="C268" i="4"/>
  <c r="C122" i="4"/>
  <c r="C194" i="4"/>
  <c r="C154" i="4"/>
  <c r="C57" i="4"/>
  <c r="C211" i="4"/>
  <c r="C15" i="1"/>
  <c r="C6" i="4"/>
  <c r="C173" i="4"/>
  <c r="C279" i="4"/>
  <c r="C32" i="11"/>
  <c r="C60" i="4"/>
  <c r="C274" i="4"/>
  <c r="C52" i="11"/>
  <c r="C59" i="11"/>
  <c r="C57" i="11"/>
  <c r="C42" i="4"/>
  <c r="C112" i="4"/>
  <c r="C232" i="4"/>
  <c r="C51" i="11"/>
  <c r="C52" i="4"/>
  <c r="C101" i="4"/>
  <c r="C223" i="4"/>
  <c r="C65" i="11"/>
  <c r="C104" i="4"/>
  <c r="C86" i="4"/>
  <c r="C152" i="4"/>
  <c r="C6" i="2"/>
  <c r="C222" i="4"/>
  <c r="C202" i="4"/>
  <c r="C137" i="4"/>
  <c r="C100" i="4"/>
  <c r="C13" i="11"/>
  <c r="C7" i="4"/>
  <c r="C162" i="4"/>
  <c r="C30" i="11"/>
  <c r="C141" i="4"/>
  <c r="C7" i="2"/>
  <c r="C221" i="4"/>
  <c r="C256" i="4"/>
  <c r="C219" i="4"/>
  <c r="C33" i="4"/>
  <c r="C171" i="4"/>
  <c r="C62" i="11"/>
  <c r="C234" i="4"/>
  <c r="C32" i="4"/>
  <c r="C45" i="11"/>
  <c r="C35" i="11"/>
  <c r="C184" i="4"/>
  <c r="C20" i="11"/>
  <c r="C249" i="4"/>
  <c r="C177" i="4"/>
  <c r="C49" i="11"/>
  <c r="C12" i="1"/>
  <c r="C243" i="4"/>
  <c r="C89" i="4"/>
  <c r="C229" i="4"/>
  <c r="C157" i="4"/>
  <c r="E4" i="1"/>
  <c r="C85" i="4"/>
  <c r="C230" i="4"/>
  <c r="C24" i="11"/>
  <c r="C56" i="11"/>
  <c r="C236" i="4"/>
  <c r="C5" i="1"/>
  <c r="C29" i="4"/>
  <c r="C240" i="4"/>
  <c r="C247" i="4"/>
  <c r="C214" i="4"/>
  <c r="C246" i="4"/>
  <c r="C38" i="4"/>
  <c r="C6" i="1"/>
  <c r="C21" i="11"/>
  <c r="C92" i="4"/>
  <c r="C31" i="4"/>
  <c r="C235" i="4"/>
  <c r="C82" i="4"/>
  <c r="C123" i="4"/>
  <c r="C54" i="4"/>
  <c r="C5" i="11"/>
  <c r="C37" i="11"/>
  <c r="E5" i="1"/>
  <c r="C5" i="4"/>
  <c r="C38" i="11"/>
  <c r="C244" i="4"/>
  <c r="C71" i="4"/>
  <c r="C79" i="4"/>
  <c r="C50" i="11"/>
  <c r="C12" i="11"/>
  <c r="C139" i="4"/>
  <c r="C267" i="4"/>
  <c r="C163" i="4"/>
  <c r="C46" i="4"/>
  <c r="C66" i="11"/>
  <c r="C167" i="4"/>
  <c r="C43" i="11"/>
  <c r="C138" i="4"/>
  <c r="C217" i="4"/>
  <c r="C26" i="4"/>
  <c r="C147" i="4"/>
  <c r="C187" i="4"/>
  <c r="C148" i="4"/>
  <c r="C43" i="4"/>
  <c r="C273" i="4"/>
  <c r="C55" i="11"/>
  <c r="C102" i="4"/>
  <c r="C209" i="4"/>
  <c r="C252" i="4"/>
  <c r="C237" i="4"/>
  <c r="C192" i="4"/>
  <c r="C156" i="4"/>
  <c r="C124" i="4"/>
  <c r="C73" i="4"/>
</calcChain>
</file>

<file path=xl/sharedStrings.xml><?xml version="1.0" encoding="utf-8"?>
<sst xmlns="http://schemas.openxmlformats.org/spreadsheetml/2006/main" count="2283" uniqueCount="638">
  <si>
    <t>STT</t>
  </si>
  <si>
    <t>MÃ CÔNG TY</t>
  </si>
  <si>
    <t>THÔNG TIN KHÁCH HÀNG</t>
  </si>
  <si>
    <t>GHI CHÚ</t>
  </si>
  <si>
    <t>DỊCH VỤ</t>
  </si>
  <si>
    <t>PHỤ PHÍ</t>
  </si>
  <si>
    <t>BÁO GIÁ</t>
  </si>
  <si>
    <t>Mã số thuế</t>
  </si>
  <si>
    <t>Số hợp đồng</t>
  </si>
  <si>
    <t>Tình trạng</t>
  </si>
  <si>
    <t>Số thứ tự</t>
  </si>
  <si>
    <t>Số hiệu</t>
  </si>
  <si>
    <t>ĐVT</t>
  </si>
  <si>
    <t>Hóa đơn</t>
  </si>
  <si>
    <t>Ngày thực hiện</t>
  </si>
  <si>
    <t>Ngày hiệu lực</t>
  </si>
  <si>
    <t>2CE</t>
  </si>
  <si>
    <t>Premium</t>
  </si>
  <si>
    <t>001</t>
  </si>
  <si>
    <t>Quý</t>
  </si>
  <si>
    <t>DONE</t>
  </si>
  <si>
    <t>2HITACHI</t>
  </si>
  <si>
    <t>002</t>
  </si>
  <si>
    <t>2M</t>
  </si>
  <si>
    <t>003</t>
  </si>
  <si>
    <t>Cancel</t>
  </si>
  <si>
    <t>ADE</t>
  </si>
  <si>
    <t>004</t>
  </si>
  <si>
    <t>AN PHU 2</t>
  </si>
  <si>
    <t>005</t>
  </si>
  <si>
    <t>AVB</t>
  </si>
  <si>
    <t>006</t>
  </si>
  <si>
    <t>BA SAO</t>
  </si>
  <si>
    <t>007</t>
  </si>
  <si>
    <t>BEAUT</t>
  </si>
  <si>
    <t>008</t>
  </si>
  <si>
    <t>BRACON</t>
  </si>
  <si>
    <t>009</t>
  </si>
  <si>
    <t>BRANDHOUSE</t>
  </si>
  <si>
    <t>010</t>
  </si>
  <si>
    <t>BUTTERFLY</t>
  </si>
  <si>
    <t>011</t>
  </si>
  <si>
    <t>C&amp;V</t>
  </si>
  <si>
    <t>012</t>
  </si>
  <si>
    <t>COIN68</t>
  </si>
  <si>
    <t>013</t>
  </si>
  <si>
    <t>DADA</t>
  </si>
  <si>
    <t>014</t>
  </si>
  <si>
    <t>DADN</t>
  </si>
  <si>
    <t>015</t>
  </si>
  <si>
    <t>DASH</t>
  </si>
  <si>
    <t>016</t>
  </si>
  <si>
    <t>DNB</t>
  </si>
  <si>
    <t>017</t>
  </si>
  <si>
    <t>DNH</t>
  </si>
  <si>
    <t>018</t>
  </si>
  <si>
    <t>DONG LOC</t>
  </si>
  <si>
    <t>019</t>
  </si>
  <si>
    <t>EFFOCUS</t>
  </si>
  <si>
    <t>020</t>
  </si>
  <si>
    <t>GIA HAO</t>
  </si>
  <si>
    <t>021</t>
  </si>
  <si>
    <t>GREENLIFE</t>
  </si>
  <si>
    <t>022</t>
  </si>
  <si>
    <t>HAPPY</t>
  </si>
  <si>
    <t>023</t>
  </si>
  <si>
    <t>HASA</t>
  </si>
  <si>
    <t>024</t>
  </si>
  <si>
    <t>HOANG PHUC</t>
  </si>
  <si>
    <t>025</t>
  </si>
  <si>
    <t>HPKK</t>
  </si>
  <si>
    <t>026</t>
  </si>
  <si>
    <t>HTECH</t>
  </si>
  <si>
    <t>027</t>
  </si>
  <si>
    <t>ICD</t>
  </si>
  <si>
    <t>028</t>
  </si>
  <si>
    <t>KIM PHUC</t>
  </si>
  <si>
    <t>029</t>
  </si>
  <si>
    <t>KZ</t>
  </si>
  <si>
    <t>030</t>
  </si>
  <si>
    <t>LAI</t>
  </si>
  <si>
    <t>031</t>
  </si>
  <si>
    <t>LEGO</t>
  </si>
  <si>
    <t>032</t>
  </si>
  <si>
    <t>LEMON GOLD</t>
  </si>
  <si>
    <t>033</t>
  </si>
  <si>
    <t>MAI HOA PHU</t>
  </si>
  <si>
    <t>034</t>
  </si>
  <si>
    <t>MAPLE</t>
  </si>
  <si>
    <t>035</t>
  </si>
  <si>
    <t>MARKI US</t>
  </si>
  <si>
    <t>036</t>
  </si>
  <si>
    <t>MARKIM</t>
  </si>
  <si>
    <t>037</t>
  </si>
  <si>
    <t>MY KHOA NGUYEN</t>
  </si>
  <si>
    <t>038</t>
  </si>
  <si>
    <t>NAI NAI</t>
  </si>
  <si>
    <t>039</t>
  </si>
  <si>
    <t>NAKI</t>
  </si>
  <si>
    <t>040</t>
  </si>
  <si>
    <t>NAM SON</t>
  </si>
  <si>
    <t>041</t>
  </si>
  <si>
    <t>NGAN THIEN AN</t>
  </si>
  <si>
    <t>042</t>
  </si>
  <si>
    <t>NHA TRUNG TAM</t>
  </si>
  <si>
    <t>043</t>
  </si>
  <si>
    <t>NORTH</t>
  </si>
  <si>
    <t>044</t>
  </si>
  <si>
    <t>NTC</t>
  </si>
  <si>
    <t>045</t>
  </si>
  <si>
    <t>PHAT DAT</t>
  </si>
  <si>
    <t>046</t>
  </si>
  <si>
    <t>RICH</t>
  </si>
  <si>
    <t>047</t>
  </si>
  <si>
    <t>RONG VANG</t>
  </si>
  <si>
    <t>048</t>
  </si>
  <si>
    <t>SELLAZ</t>
  </si>
  <si>
    <t>049</t>
  </si>
  <si>
    <t>SMARTDATA</t>
  </si>
  <si>
    <t>050</t>
  </si>
  <si>
    <t>SON MINH</t>
  </si>
  <si>
    <t>051</t>
  </si>
  <si>
    <t>SOVERNEW</t>
  </si>
  <si>
    <t>052</t>
  </si>
  <si>
    <t>SPLITTING ME</t>
  </si>
  <si>
    <t>053</t>
  </si>
  <si>
    <t>TDT</t>
  </si>
  <si>
    <t>054</t>
  </si>
  <si>
    <t>THAM HUONG</t>
  </si>
  <si>
    <t>055</t>
  </si>
  <si>
    <t>THANH NIEN</t>
  </si>
  <si>
    <t>056</t>
  </si>
  <si>
    <t>THANH TIN</t>
  </si>
  <si>
    <t>057</t>
  </si>
  <si>
    <t>THE PHAN</t>
  </si>
  <si>
    <t>058</t>
  </si>
  <si>
    <t>THIEN BACH</t>
  </si>
  <si>
    <t>059</t>
  </si>
  <si>
    <t>THIEN MA</t>
  </si>
  <si>
    <t>060</t>
  </si>
  <si>
    <t>THUY VAN</t>
  </si>
  <si>
    <t>061</t>
  </si>
  <si>
    <t>TOAN QUOC</t>
  </si>
  <si>
    <t>062</t>
  </si>
  <si>
    <t>TR2</t>
  </si>
  <si>
    <t>063</t>
  </si>
  <si>
    <t>TRI GEM</t>
  </si>
  <si>
    <t>064</t>
  </si>
  <si>
    <t>TRUNG SON</t>
  </si>
  <si>
    <t>065</t>
  </si>
  <si>
    <t>TRY</t>
  </si>
  <si>
    <t>066</t>
  </si>
  <si>
    <t>UD</t>
  </si>
  <si>
    <t>067</t>
  </si>
  <si>
    <t>VAN PHUC LAND</t>
  </si>
  <si>
    <t>068</t>
  </si>
  <si>
    <t>VIET HUNG</t>
  </si>
  <si>
    <t>069</t>
  </si>
  <si>
    <t>VINEPRO</t>
  </si>
  <si>
    <t>070</t>
  </si>
  <si>
    <t>WOODY</t>
  </si>
  <si>
    <t>071</t>
  </si>
  <si>
    <t>X-HEALTH</t>
  </si>
  <si>
    <t>072</t>
  </si>
  <si>
    <t>XIN YOU HUA</t>
  </si>
  <si>
    <t>073</t>
  </si>
  <si>
    <t>YING</t>
  </si>
  <si>
    <t>074</t>
  </si>
  <si>
    <t>YURI</t>
  </si>
  <si>
    <t>075</t>
  </si>
  <si>
    <t>HUNG PHAT</t>
  </si>
  <si>
    <t>076</t>
  </si>
  <si>
    <t>TVT</t>
  </si>
  <si>
    <t>077</t>
  </si>
  <si>
    <t>TRY - CN1</t>
  </si>
  <si>
    <t>078</t>
  </si>
  <si>
    <t>2CE - CN1</t>
  </si>
  <si>
    <t>079</t>
  </si>
  <si>
    <t>Long term 2 - Premium</t>
  </si>
  <si>
    <t>080</t>
  </si>
  <si>
    <t>081</t>
  </si>
  <si>
    <t>GREENMARK</t>
  </si>
  <si>
    <t>Long term 2 - Platinum</t>
  </si>
  <si>
    <t>082</t>
  </si>
  <si>
    <t>ANCIENTX</t>
  </si>
  <si>
    <t>083</t>
  </si>
  <si>
    <t>084</t>
  </si>
  <si>
    <t>085</t>
  </si>
  <si>
    <t>THE LIMITS</t>
  </si>
  <si>
    <t>086</t>
  </si>
  <si>
    <t>TAM CAO VIET</t>
  </si>
  <si>
    <t>LT2 - Standard
Loại hình THƯƠNG MẠI
Xuất 20 tờ hóa đơn/tháng
Nhân sự khoảng 5 NS
Doanh thu:  khoảng 1-2 tỷ/tháng</t>
  </si>
  <si>
    <t>087</t>
  </si>
  <si>
    <t>BCT Q2 + BCTC 2025</t>
  </si>
  <si>
    <t>088</t>
  </si>
  <si>
    <t>089</t>
  </si>
  <si>
    <t>090</t>
  </si>
  <si>
    <t xml:space="preserve">BCT Q2 </t>
  </si>
  <si>
    <t>091</t>
  </si>
  <si>
    <t>092</t>
  </si>
  <si>
    <t>Q1: 0đ - hỗ trợ khách hàng
Q2: 0đ - hỗ trợ khách hàng
BCTC 2025: 1.000.000đ</t>
  </si>
  <si>
    <t>093</t>
  </si>
  <si>
    <t>094</t>
  </si>
  <si>
    <t>CHI TRUNG</t>
  </si>
  <si>
    <t>095</t>
  </si>
  <si>
    <t>SKY NICE</t>
  </si>
  <si>
    <t>096</t>
  </si>
  <si>
    <t>HUNG GIA PHAT</t>
  </si>
  <si>
    <t xml:space="preserve">Long term 2 - Premium </t>
  </si>
  <si>
    <t>097</t>
  </si>
  <si>
    <t>DONG MINH</t>
  </si>
  <si>
    <t>098</t>
  </si>
  <si>
    <t>HAPPY - CN1</t>
  </si>
  <si>
    <t>099</t>
  </si>
  <si>
    <t>KEY</t>
  </si>
  <si>
    <t>100</t>
  </si>
  <si>
    <t>101</t>
  </si>
  <si>
    <t>NATAVINA</t>
  </si>
  <si>
    <t>0111317161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</si>
  <si>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</si>
  <si>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</si>
  <si>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</si>
  <si>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</si>
  <si>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</si>
  <si>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</si>
  <si>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</si>
  <si>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</si>
  <si>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</si>
  <si>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</si>
  <si>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</si>
  <si>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</si>
  <si>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</si>
  <si>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</si>
  <si>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</si>
  <si>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</si>
  <si>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</si>
  <si>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</si>
  <si>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</si>
  <si>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</si>
  <si>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</si>
  <si>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</si>
  <si>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</si>
  <si>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</si>
  <si>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BÁO GIÁ CHI TIẾT</t>
  </si>
  <si>
    <t>THANH TOÁN</t>
  </si>
  <si>
    <t>MÃ KH</t>
  </si>
  <si>
    <t>MÃ SỐ THUẾ</t>
  </si>
  <si>
    <t>NO.</t>
  </si>
  <si>
    <t>SỐ HIỆU</t>
  </si>
  <si>
    <t>NGÀY THỰC HIỆN</t>
  </si>
  <si>
    <t>DIỄN GIẢI</t>
  </si>
  <si>
    <t>ĐƠN GIÁ</t>
  </si>
  <si>
    <t>VAT</t>
  </si>
  <si>
    <t>TIỀN THUẾ</t>
  </si>
  <si>
    <t>TỔNG TIỀN</t>
  </si>
  <si>
    <t>NGÀY ĐẾN HẠN</t>
  </si>
  <si>
    <t>TÌNH TRẠNG</t>
  </si>
  <si>
    <t>NGÀY HIỆU LỰC</t>
  </si>
  <si>
    <t>CHIẾT KHẤU</t>
  </si>
  <si>
    <t>SỐ TIỀN CHIẾT KHẤU</t>
  </si>
  <si>
    <t>(Ký)</t>
  </si>
  <si>
    <t>Dịch vụ hồ sơ nhân sự - Premium</t>
  </si>
  <si>
    <t>Dịch vụ hồ sơ nhân sự - Premium
Dịch vụ hồ sơ pháp chế - Premium</t>
  </si>
  <si>
    <t>Dịch vụ hồ sơ nhân sự - Premium
Dịch vụ hồ sơ pháp chế - Standard</t>
  </si>
  <si>
    <t xml:space="preserve">LAI </t>
  </si>
  <si>
    <t>Dịch vụ hồ sơ pháp chế - Premium</t>
  </si>
  <si>
    <t>SVN</t>
  </si>
  <si>
    <t>Gia hạn chữ ký số 2 năm_Viettel
Mua mới 100 số Chứng từ khấu trừ thuế TNCN_Viettel</t>
  </si>
  <si>
    <t>Gia hạn chữ ký số 1 năm_Viettel</t>
  </si>
  <si>
    <t>Gia hạn chữ ký số 6 tháng_Viettel</t>
  </si>
  <si>
    <t>Mua mới 300 số HDDT_Viettel
Gia hạn HSM 2 năm_Viettel
Thay đổi ngành nghề chính
Bổ sung ngành nghề</t>
  </si>
  <si>
    <t>Đóng mã số thuế doanh nghiệp</t>
  </si>
  <si>
    <t>Mở khóa Mã số Thuế</t>
  </si>
  <si>
    <t>Thay đổi địa chỉ  
Gia hạn chữ ký số 1 năm_Viettel</t>
  </si>
  <si>
    <t>Mở khóa Mã số Thuế doanh nghiệp</t>
  </si>
  <si>
    <t>Gia hạn HSM 1 năm_Viettel</t>
  </si>
  <si>
    <t>Viettel_Đăng ký mới chữ ký số 1 năm</t>
  </si>
  <si>
    <t>Viettel_Gia hạn chữ ký số 3 năm</t>
  </si>
  <si>
    <t>Viettel_Đăng ký gói chứng từ Thuế TNCN 200 số</t>
  </si>
  <si>
    <t>SANG TAO XANH</t>
  </si>
  <si>
    <t>DINH ANH</t>
  </si>
  <si>
    <t>Thành lập doanh nghiệp</t>
  </si>
  <si>
    <t>Mr. Long</t>
  </si>
  <si>
    <t>Chuyển địa chỉ</t>
  </si>
  <si>
    <t>Viettel_Đăng ký chữ ký số 1 năm</t>
  </si>
  <si>
    <t>Thay đổi thông tin đăng ký kinh doanh</t>
  </si>
  <si>
    <t>Thay đổi thông tin đăng ký kinh doanh
Chuyển nhượng + Thay đổi DDPL</t>
  </si>
  <si>
    <t>Thành lập doanh nghiệp
Thuê văn phòng 01 năm</t>
  </si>
  <si>
    <t>MAPLES</t>
  </si>
  <si>
    <t>Thay đổi thông tin công ty:
Tạm ngừng kinh doanh 01 năm</t>
  </si>
  <si>
    <t>3F LAB</t>
  </si>
  <si>
    <t>Thay đổi thông tin công ty:
Thay đổi DDPL</t>
  </si>
  <si>
    <t>Báo giá sai so với BGNY 2025
Thiệt hại: 1,571,000đ
Đã xử lý với KH</t>
  </si>
  <si>
    <t>Dịch vụ hồ sơ nhân sự - Standard</t>
  </si>
  <si>
    <t>Tạm ứng 5tr 18/04</t>
  </si>
  <si>
    <t>HAPPY COLORS</t>
  </si>
  <si>
    <t>Thay đổi thông tin công ty:
Thay đổi ngành nghề chính</t>
  </si>
  <si>
    <t>Thay đổi thông tin công ty:
Cập nhật CCCD của DDPL
Chuyển nhượng vốn góp
Chuyển đổi loại hình Công ty - TNHH 1 TV
Tạm ngừng kinh doanh 01 năm</t>
  </si>
  <si>
    <t>HOMII DECOR</t>
  </si>
  <si>
    <t>Thay đổi thông tin công ty:
Tăng thành viên góp vốn
Chuyển đổi loại hình Công ty - TNHH 2 TV
Bổ sung ngành nghề</t>
  </si>
  <si>
    <t>HOMII DECOR - 0316322081</t>
  </si>
  <si>
    <t>Thay đổi thông tin công ty:
Bổ sung ngành nghề</t>
  </si>
  <si>
    <t xml:space="preserve">BEAUT </t>
  </si>
  <si>
    <t>Thay đổi thông tin công ty:
Cập nhật CCCD của DDPL</t>
  </si>
  <si>
    <t>Dịch vụ hồ sơ nhân sự - Platinum</t>
  </si>
  <si>
    <t>Đăng ký mới chữ ký số 1 năm_Viettel</t>
  </si>
  <si>
    <t>Đăng ký phát hành 300 số HDDT</t>
  </si>
  <si>
    <t>GREENLIIFE</t>
  </si>
  <si>
    <t xml:space="preserve">Mua mới 100 số Chứng từ khấu trừ thuế TNCN_Viettel	</t>
  </si>
  <si>
    <t>Thay đổi thông tin công ty:
Chuyển nhượng vốn góp
Thay đổi loại hình
Thay đổi DDPL</t>
  </si>
  <si>
    <t>AN PHU</t>
  </si>
  <si>
    <t>DAO XANH</t>
  </si>
  <si>
    <t>PHO DONG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</si>
  <si>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</si>
  <si>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</si>
  <si>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</si>
  <si>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</si>
  <si>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</si>
  <si>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</si>
  <si>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</si>
  <si>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</si>
  <si>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</si>
  <si>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</si>
  <si>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</si>
  <si>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</si>
  <si>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</si>
  <si>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</si>
  <si>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</si>
  <si>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</si>
  <si>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</si>
  <si>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</si>
  <si>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</si>
  <si>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</si>
  <si>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</si>
  <si>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</si>
  <si>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</si>
  <si>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</si>
  <si>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</si>
  <si>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</si>
  <si>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</si>
  <si>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</si>
  <si>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</si>
  <si>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</si>
  <si>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</si>
  <si>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</si>
  <si>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</si>
  <si>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</si>
  <si>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</si>
  <si>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</si>
  <si>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</si>
  <si>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</si>
  <si>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</si>
  <si>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</si>
  <si>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</si>
  <si>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</si>
  <si>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</si>
  <si>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CLAW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</si>
  <si>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</si>
  <si>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</si>
  <si>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</si>
  <si>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</si>
  <si>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</si>
  <si>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</si>
  <si>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</si>
  <si>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</si>
  <si>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</si>
  <si>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</si>
  <si>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</si>
  <si>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</si>
  <si>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</si>
  <si>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</si>
  <si>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</si>
  <si>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</si>
  <si>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</si>
  <si>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</si>
  <si>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</si>
  <si>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</si>
  <si>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</si>
  <si>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</si>
  <si>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Tạm ngừng kinh doanh 01 năm</t>
  </si>
  <si>
    <t>167</t>
  </si>
  <si>
    <t>168</t>
  </si>
  <si>
    <t>Progressing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</si>
  <si>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</si>
  <si>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</si>
  <si>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</si>
  <si>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</si>
  <si>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</si>
  <si>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</si>
  <si>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</si>
  <si>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</si>
  <si>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</si>
  <si>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</si>
  <si>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</si>
  <si>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Bổ sung ngành nghề</t>
  </si>
  <si>
    <t>SPICY BOX LOTTE CT</t>
  </si>
  <si>
    <t>SPICY BOX QN</t>
  </si>
  <si>
    <t>SPICY BOX SENSE CT</t>
  </si>
  <si>
    <t>SPICY BOX TV</t>
  </si>
  <si>
    <t>NGÀY THANH TOÁN</t>
  </si>
  <si>
    <t>Dịch vụ quản lý hồ sơ doanh nghiệp tháng 1/2025 
LT2 - Premium:</t>
  </si>
  <si>
    <t>Dịch vụ quản lý hồ sơ doanh nghiệp tháng 2/2025 
LT2 - Premium:</t>
  </si>
  <si>
    <t>Dịch vụ quản lý hồ sơ doanh nghiệp tháng tháng 1/2025 
LT1 - Premium:</t>
  </si>
  <si>
    <t>Dịch vụ quản lý hồ sơ doanh nghiệp Quý 1/2025 
LT1 - Standard</t>
  </si>
  <si>
    <t>Dịch vụ quản lý hồ sơ doanh nghiệp tháng 3/2025 
LT1 - Premium:</t>
  </si>
  <si>
    <t>Dịch vụ quản lý hồ sơ doanh nghiệp tháng tháng 2/2025 
LT1 - Premium:</t>
  </si>
  <si>
    <t>Dịch vụ quản lý hồ sơ doanh nghiệp tháng tháng 3/2025 
LT1 - Premium:</t>
  </si>
  <si>
    <t>Dịch vụ quản lý hồ sơ doanh nghiệp tháng Quý 1/2025 
LT1 - Premium:</t>
  </si>
  <si>
    <t>Dịch vụ quản lý hồ sơ doanh nghiệp tháng Quý 1/2025 
LT1 - Platinum</t>
  </si>
  <si>
    <t xml:space="preserve">BCTCQuyết toán năm 2025 + BCTK </t>
  </si>
  <si>
    <t>Dịch vụ quản lý hồ sơ doanh nghiệp Quý 2/2025 
LT1 - Standard</t>
  </si>
  <si>
    <t>Dịch vụ quản lý hồ sơ doanh nghiệp Quý 1/2025 
LT1 - Premium:</t>
  </si>
  <si>
    <t>Dịch vụ quản lý hồ sơ doanh nghiệp tháng 1/2025 
LT1 - Premium:</t>
  </si>
  <si>
    <t>Dịch vụ quản lý hồ sơ doanh nghiệp tháng 2/2025 
LT1 - Premium:</t>
  </si>
  <si>
    <t xml:space="preserve">Dịch vụ quản lý hồ sơ doanh nghiệp quý 2/2025 
Quyết toán năm 2025 + BCTK </t>
  </si>
  <si>
    <t>Dịch vụ quản lý hồ sơ doanh nghiệp quý 1/2025
Dịch vụ quản lý hồ sơ doanh nghiệp quý 2/2025
Quyết toán năm 2025 + BCTK 
Thay đổi thông tin doanh nghiệp: Tạm ngưng 1 năm</t>
  </si>
  <si>
    <t xml:space="preserve">Dịch vụ quản lý hồ sơ doanh nghiệp quý 2/2025 </t>
  </si>
  <si>
    <t xml:space="preserve"> THIEN BACH</t>
  </si>
  <si>
    <t>Dịch vụ quản lý hồ sơ doanh nghiệp tháng 4/2025 
LT1 - Premium:</t>
  </si>
  <si>
    <t>Dịch vụ quản lý hồ sơ doanh nghiệp tháng 5/2025 
LT1 - Premium:</t>
  </si>
  <si>
    <t>Dịch vụ quản lý hồ sơ doanh nghiệp Quý 1/2025 
LT1 - Standard
Dịch vụ quản lý hồ sơ doanh nghiệp Quý 2/2025 
LT1 - Standard</t>
  </si>
  <si>
    <t>Dịch vụ quản lý hồ sơ doanh nghiệp tháng 5/2025 
LT1 - Premium</t>
  </si>
  <si>
    <t>Dịch vụ quản lý hồ sơ doanh nghiệp tháng 6/2025 
LT1 - Premium</t>
  </si>
  <si>
    <t>Dịch vụ quản lý hồ sơ doanh nghiệp Quý 2/2025 
LT1 - Premium</t>
  </si>
  <si>
    <t>Dịch vụ quản lý hồ sơ doanh nghiệp Quý 1/2025 
LT1 - Premium
Dịch vụ HCNS Quý 1/2025
Dịch vụ quản lý hồ sơ doanh nghiệp Quý 2/2025 
LT1 - Premium
Dịch vụ HCNS Quý 2/2025
Dịch vụ quản lý hồ sơ doanh nghiệp Quý 3/2025 
LT1 - Premium
Dịch vụ HCNS Quý 3/2025</t>
  </si>
  <si>
    <t>Dịch vụ quản lý hồ sơ doanh nghiệp Quý 2/2025 
LT1 - Platinum</t>
  </si>
  <si>
    <t>Dịch vụ quản lý hồ sơ doanh nghiệp Tháng 8/2025 
LT2 - Premium</t>
  </si>
  <si>
    <t>Dịch vụ quản lý hồ sơ doanh nghiệp Quý 1/2025 
LT1 - Premium
Dịch vụ quản lý hồ sơ doanh nghiệp Quý 2/2025 
LT1 - Premium
Bộ hồ sơ thanh lý tài sản</t>
  </si>
  <si>
    <t>Dịch vụ quản lý hồ sơ doanh nghiệp Quý 1/2025 
LT1 - Premium
Dịch vụ quản lý hồ sơ doanh nghiệp Quý 2/2025 
LT1 - Premium
Tạm ngưng kinh doanh 1 năm</t>
  </si>
  <si>
    <t>Dịch vụ quản lý hồ sơ doanh nghiệp Tháng 7/2025 
LT2 - Premium
Dịch vụ quản lý hồ sơ doanh nghiệp Tháng 8/2025 
LT2 - Premium</t>
  </si>
  <si>
    <t>Dịch vụ quản lý hồ sơ doanh nghiệp Quý 2/2025 
LT1 - Premium
HỒ SƠ HCNS tháng 4,5,6,7,8</t>
  </si>
  <si>
    <t>12/18/2025</t>
  </si>
  <si>
    <t>Dịch vụ quản lý hồ sơ doanh nghiệp Quý 2/2025 
LT1 - Premium
Dịch vụ quản lý hồ sơ doanh nghiệp Quý 3/2025 
LT1 - Premium</t>
  </si>
  <si>
    <t>Cập nhật CCCD của DDPL</t>
  </si>
  <si>
    <t>Dịch vụ quản lý hồ sơ doanh nghiệp Quý 1/2025 
LT1 - Standard
Dịch vụ quản lý hồ sơ doanh nghiệp Quý 2/2025 
LT1 - Standard
Dịch vụ quản lý hồ sơ doanh nghiệp Quý 3/2025 
LT1 - Standard</t>
  </si>
  <si>
    <t>Dịch vụ quản lý hồ sơ doanh nghiệp Quý 2/2025 
LT1 - Premium
Dịch vụ quản lý hồ sơ doanh nghiệp Quý 3/2025 
LT1 - Premium
Dịch vụ BCTC 2025</t>
  </si>
  <si>
    <t>Dịch vụ quản lý hồ sơ doanh nghiệp Quý 2/2025 
LT1 - Premium
Dịch vụ hồ sơ nhân sự Tháng 7 - Standard</t>
  </si>
  <si>
    <t>Dịch vụ quản lý hồ sơ doanh nghiệp Quý 1/2025 
LT1 - Premium
Dịch vụ quản lý hồ sơ doanh nghiệp Quý 2/2025 
LT1 - Premium</t>
  </si>
  <si>
    <t>Dịch vụ quản lý hồ sơ doanh nghiệp Quý 2/2025 
LT1 - Premium
Dịch vụ HCNS tháng 4,5,6,7,8/2025</t>
  </si>
  <si>
    <t>Dịch vụ quản lý hồ sơ doanh nghiệp Quý 2/2025 
LT1 - Premium
Dịch vụ hồ sơ nhân sự tháng 07/2025</t>
  </si>
  <si>
    <t xml:space="preserve">Dịch vụ quản lý hồ sơ doanh nghiệp Quý 1,2,3,4/2025 
LT1 - Standard
Quyết toán năm 2025 + BCTK </t>
  </si>
  <si>
    <t>Dịch vụ quản lý hồ sơ doanh nghiệp Quý 1, 2, 3/2025 
LT1 - Standard</t>
  </si>
  <si>
    <t>Dịch vụ quản lý hồ sơ doanh nghiệp Quý 1, 2, 3/2025 
LT1 - Premium</t>
  </si>
  <si>
    <t>Dịch vụ quản lý hồ sơ doanh nghiệp Quý 2/2025 
LT1 - Standard
Dịch vụ quản lý hồ sơ doanh nghiệp Quý 2/2025 
LT1 - Standard</t>
  </si>
  <si>
    <t>Dịch vụ quản lý hồ sơ doanh nghiệp Tháng 4/2025 
LT1 - Premium
Dịch vụ hồ sơ HCNS Tháng 4/2025
Dịch vụ hồ sơ Pháp chế Tháng 4/2025
Dịch vụ quản lý hồ sơ doanh nghiệp Tháng 5/2025 
LT2 - Premium
Dịch vụ quản lý hồ sơ doanh nghiệp Tháng 6/2025 
LT2 - Premium
Dịch vụ quản lý hồ sơ doanh nghiệp Tháng 7/2025 
LT2 - Premium
Dịch vụ quản lý hồ sơ doanh nghiệp Tháng 8/2025 
LT2 - Premium</t>
  </si>
  <si>
    <t>Dịch vụ quản lý hồ sơ doanh nghiệp tháng 7/2025 
LT1 - Premium</t>
  </si>
  <si>
    <t>Dịch vụ quản lý hồ sơ doanh nghiệp Quý 2/2025 
LT1 - Premium
Thay đổi thông tin công ty</t>
  </si>
  <si>
    <t>Dịch vụ quản lý hồ sơ doanh nghiệp Quý 2/2025 
LT1 - Premium
BCTC 2025</t>
  </si>
  <si>
    <t>Dịch vụ quản lý hồ sơ doanh nghiệp Quý 2/2025 
LT1 - Premium
DỊCH VỤ HỒ SƠ HCNS Tháng 4,5,6,7/2025
DỊCH VỤ HỒ SƠ PHÁP CHẾ: 6,7/2025</t>
  </si>
  <si>
    <t>Dịch vụ quản lý hồ sơ doanh nghiệp tháng 8/2025 
LT1 - Premium</t>
  </si>
  <si>
    <t>DỊCH VỤ HỒ SƠ HCNS Tháng 7, 8/2025
DỊCH VỤ HỒ SƠ PHÁP CHẾ: 7, 8/2025</t>
  </si>
  <si>
    <t>Dịch vụ quản lý hồ sơ doanh nghiệp Quý 3/2025 
LT1 - Premium
BCTC 2025</t>
  </si>
  <si>
    <t>Dịch vụ cho thuê văn phòng tháng 5,6,7,8/2025
Văn phòng chia sẻ
Dịch vụ cho thuê văn phòng 9,10/2025
Chỗ ngồi linh hoạt</t>
  </si>
  <si>
    <t>Dịch vụ quản lý hồ sơ doanh nghiệp Quý 3/2025 
LT1 - Premium</t>
  </si>
  <si>
    <t>Dịch vụ quản lý hồ sơ doanh nghiệp Quý 3/2025 
LT1 - Standard</t>
  </si>
  <si>
    <t>Dịch vụ quản lý hồ sơ doanh nghiệp tháng Quý 3/2025 
LT1 - Premium:</t>
  </si>
  <si>
    <t>Dịch vụ quản lý hồ sơ doanh nghiệp Tháng 9/2025 
LT2 - Premium</t>
  </si>
  <si>
    <t>Dịch vụ chỗ ngồi văn phòng linh hoạt</t>
  </si>
  <si>
    <t>Dịch vụ quản lý hồ sơ doanh nghiệp Quý 3/2025 
LT1 - Premium
DỊCH VỤ HỒ SƠ HCNS Tháng 9
DỊCH VỤ HỒ SƠ PHÁP CHẾ Tháng 9</t>
  </si>
  <si>
    <t>Dịch vụ quản lý hồ sơ doanh nghiệp Tháng 10/2025 
LT2 - Premium
DỊCH VỤ HỒ SƠ HCNS Tháng 9</t>
  </si>
  <si>
    <t>Dịch vụ quản lý hồ sơ doanh nghiệp tháng 9/2025 
LT1 - Premium
Dịch vụ hồ sơ nhân sự - Premium</t>
  </si>
  <si>
    <t>Dịch vụ quản lý hồ sơ doanh nghiệp Quý 3/2025 
LT1 - Platinum
Cập nhật địa chỉ</t>
  </si>
  <si>
    <t>Dịch vụ quản lý hồ sơ doanh nghiệp Quý 3/2025 
LT1 - Premium
Dịch vụ hồ sơ nhân sự</t>
  </si>
  <si>
    <t>Dịch vụ quản lý hồ sơ doanh nghiệp Quý 3/2025 
LT1 - Premium
Dịch vụ hồ sơ HCNS tháng 9</t>
  </si>
  <si>
    <t>Dịch vụ quản lý hồ sơ doanh nghiệp Quý 3/2025 
LT1 - Standard
Công nợ 2024</t>
  </si>
  <si>
    <t>180</t>
  </si>
  <si>
    <t>181</t>
  </si>
  <si>
    <t>Dịch vụ BHXH tháng 7
Dịch vụ BHXH tháng 8
Dịch vụ BHXH tháng 9</t>
  </si>
  <si>
    <t>182</t>
  </si>
  <si>
    <t>Dịch vụ quản lý hồ sơ doanh nghiệp Tháng 9/2025 
LT2 - Premium
Dịch vụ quản lý hồ sơ doanh nghiệp Tháng 10/2025 
LT2 - Premium</t>
  </si>
  <si>
    <t>183</t>
  </si>
  <si>
    <t>Dịch vụ quản lý hồ sơ doanh nghiệp tháng 10/2025 
LT1 - Premium
Dịch vụ hồ sơ nhân sự - Premium</t>
  </si>
  <si>
    <t>184</t>
  </si>
  <si>
    <t xml:space="preserve">Dịch vụ quản lý hồ sơ doanh nghiệp Quý 4/2025 
LT1 - Premium
Quyết toán năm 2025 + BCTK </t>
  </si>
  <si>
    <t>185</t>
  </si>
  <si>
    <t>186</t>
  </si>
  <si>
    <t>Dịch vụ quản lý hồ sơ doanh nghiệp Quý 3/2025 
LT1 - Premium
Dịch vụ hồ sơ nhân sự - Premium Quý 3/2025</t>
  </si>
  <si>
    <t>BAO VY</t>
  </si>
  <si>
    <t>034090011865</t>
  </si>
  <si>
    <t>187</t>
  </si>
  <si>
    <t>Dịch vụ QUẢN LÝ HỒ SƠ HỘ KINH DOANH
Long term 1 - Premium</t>
  </si>
  <si>
    <t>188</t>
  </si>
  <si>
    <t>189</t>
  </si>
  <si>
    <t xml:space="preserve">Dịch vụ quản lý hồ sơ doanh nghiệp Quý 3/2025 
LT1 - Premium
Quyết toán năm 2025 + BCTK </t>
  </si>
  <si>
    <t>190</t>
  </si>
  <si>
    <t>191</t>
  </si>
  <si>
    <t>Dịch vụ cho thuê văn phòng 11,12/2025
Chỗ ngồi linh hoạt</t>
  </si>
  <si>
    <t>192</t>
  </si>
  <si>
    <t>Dịch vụ quản lý hồ sơ doanh nghiệp Quý 1/2025 
LT1 - Premium</t>
  </si>
  <si>
    <t>193</t>
  </si>
  <si>
    <t>194</t>
  </si>
  <si>
    <t>Dịch vụ quản lý hồ sơ doanh nghiệp Quý 4/2025 
LT1 - Premium
Dịch vụ hồ sơ nhân sự - Standard tháng 7/2025</t>
  </si>
  <si>
    <t>195</t>
  </si>
  <si>
    <t>Dịch vụ quản lý hồ sơ doanh nghiệp Tháng 10/2025 
LT1 - Premium
DỊCH VỤ HỒ SƠ HCNS Tháng 10</t>
  </si>
  <si>
    <t>196</t>
  </si>
  <si>
    <t>Dịch vụ quản lý hồ sơ doanh nghiệp Tháng 11/2025 
LT1 - Premium
DỊCH VỤ HỒ SƠ HCNS Tháng 11</t>
  </si>
  <si>
    <t>197</t>
  </si>
  <si>
    <t>Dịch vụ quản lý hồ sơ doanh nghiệp tháng 11/2025 
LT1 - Premium
Dịch vụ hồ sơ nhân sự - Premium</t>
  </si>
  <si>
    <t>198</t>
  </si>
  <si>
    <t>DỊCH VỤ HỒ SƠ HCNS Tháng 10
DỊCH VỤ HỒ SƠ PHÁP CHẾ Tháng 10
DỊCH VỤ HỒ SƠ HCNS Tháng 11
DỊCH VỤ HỒ SƠ PHÁP CHẾ Tháng 11</t>
  </si>
  <si>
    <t>199</t>
  </si>
  <si>
    <t>Dịch vụ hồ sơ HCNS tháng 10
Dịch vụ hồ sơ HCNS tháng 11
Dịch vụ hồ sơ HCNS tháng 12</t>
  </si>
  <si>
    <t>200</t>
  </si>
  <si>
    <t>Chỗ ngồi cố định tháng 11/2025
Cọc thuê chỗ ngồi cố định</t>
  </si>
  <si>
    <t>201</t>
  </si>
  <si>
    <t>Chỗ ngồi cố định tháng 12/2025</t>
  </si>
  <si>
    <t>202</t>
  </si>
  <si>
    <t>DỊCH VỤ HỒ SƠ HCNS Tháng 10
DỊCH VỤ HỒ SƠ HCNS Tháng 11</t>
  </si>
  <si>
    <t>203</t>
  </si>
  <si>
    <t>083091003319</t>
  </si>
  <si>
    <t>204</t>
  </si>
  <si>
    <t>Dịch vụ QUẢN LÝ HỒ SƠ HỘ KINH DOANH tháng 11
Long term 1 - Premium</t>
  </si>
  <si>
    <t>SPICY BOX CT</t>
  </si>
  <si>
    <t>034196013507</t>
  </si>
  <si>
    <t>205</t>
  </si>
  <si>
    <t>206</t>
  </si>
  <si>
    <t>207</t>
  </si>
  <si>
    <t>Dịch vụ quản lý hồ sơ doanh nghiệp Quý 4/2025 LT1 - Premium
Quyết toán năm 2025 + BCTK</t>
  </si>
  <si>
    <t>208</t>
  </si>
  <si>
    <t>Dịch vụ quản lý hồ sơ doanh nghiệp Quý 4/2025 LT1 - Standard
Quyết toán năm 2025 + BCTK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</si>
  <si>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</si>
  <si>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</si>
  <si>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</si>
  <si>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</si>
  <si>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</si>
  <si>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</si>
  <si>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</si>
  <si>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</si>
  <si>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</si>
  <si>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Dịch vụ quản lý hồ sơ doanh nghiệp Quý 4/2025 LT1 - Premium</t>
  </si>
  <si>
    <t>218</t>
  </si>
  <si>
    <t>Dịch vụ quản lý hồ sơ doanh nghiệp Quý 3/2025 LT1 - Platinum
Dịch vụ quản lý hồ sơ doanh nghiệp Quý 4/2025 LT1 - Platinum
Quyết toán năm 2025 + BCTK</t>
  </si>
  <si>
    <t>219</t>
  </si>
  <si>
    <t>Dịch vụ quản lý hồ sơ doanh nghiệp Quý 4/2025 LT1 - Platinum
Quyết toán năm 2025 + BCTK
DỊCH VỤ HỒ SƠ HCNS Tháng 9
DỊCH VỤ HỒ SƠ PHÁP CHẾ Tháng 9</t>
  </si>
  <si>
    <t>220</t>
  </si>
  <si>
    <t>Dịch vụ quản lý hồ sơ doanh nghiệp Quý 4/2025 LT1 - Premium
Quyết toán năm 2025 + BCTC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</si>
  <si>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</si>
  <si>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</si>
  <si>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</si>
  <si>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</si>
  <si>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</si>
  <si>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</si>
  <si>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</si>
  <si>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</si>
  <si>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</si>
  <si>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</si>
  <si>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</si>
  <si>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Dịch vụ quản lý hồ sơ doanh nghiệp Tháng 11/2025 
LT2 - Premium
Dịch vụ quản lý hồ sơ doanh nghiệp Tháng 12/2025 
LT2 - Premium</t>
  </si>
  <si>
    <t>232</t>
  </si>
  <si>
    <t>233</t>
  </si>
  <si>
    <t>Dịch vụ quản lý hồ sơ doanh nghiệp Tháng 12/2025 
LT1 - Premium
DỊCH VỤ HỒ SƠ HCNS Tháng 12</t>
  </si>
  <si>
    <t>234</t>
  </si>
  <si>
    <t>235</t>
  </si>
  <si>
    <t>Dịch vụ quản lý hồ sơ doanh nghiệp Quý 4/2025 
LT1 - Premium
Quyết toán năm 2025 + BCTC
Dịch vụ hồ sơ nhân sự - Premium Quý 4/2025</t>
  </si>
  <si>
    <t>236</t>
  </si>
  <si>
    <t>237</t>
  </si>
  <si>
    <t>238</t>
  </si>
  <si>
    <t>239</t>
  </si>
  <si>
    <t>240</t>
  </si>
  <si>
    <t>241</t>
  </si>
  <si>
    <t>Dịch vụ quản lý hồ sơ doanh nghiệp Quý 4/2025 LT1 - Platinum
Quyết toán năm 2025 + BCTK</t>
  </si>
  <si>
    <t>242</t>
  </si>
  <si>
    <t>243</t>
  </si>
  <si>
    <t>244</t>
  </si>
  <si>
    <t>Dịch vụ quản lý hồ sơ doanh nghiệp Quý 4/2025 LT1 - Premium
Quyết toán năm 2025 + BCTC
Dịch vụ hồ sơ pháp chế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</si>
  <si>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</si>
  <si>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</si>
  <si>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</si>
  <si>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</si>
  <si>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</si>
  <si>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</si>
  <si>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</si>
  <si>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</si>
  <si>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</si>
  <si>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</si>
  <si>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Dịch vụ quản lý hồ sơ doanh nghiệp Tháng 10/2025 
LT2 - Premium
Dịch vụ quản lý hồ sơ doanh nghiệp Tháng 11/2025 
LT2 - Premium</t>
  </si>
  <si>
    <t>255</t>
  </si>
  <si>
    <t>Dịch vụ quản lý hồ sơ doanh nghiệp Tháng 12/2025 
LT2 - Premium</t>
  </si>
  <si>
    <t>256</t>
  </si>
  <si>
    <t>Dịch vụ quản lý hồ sơ doanh nghiệp Quý 1/2026</t>
  </si>
  <si>
    <t>Dịch vụ quản lý hồ sơ hộ kinh doanh tháng 1</t>
  </si>
  <si>
    <t>087097017612</t>
  </si>
  <si>
    <t>Dịch vụ quản lý hồ sơ doanh nghiệp Tháng 1/2026
LT1 - Premium
DỊCH VỤ HỒ SƠ HCNS Tháng 1/2026</t>
  </si>
  <si>
    <t>Dịch vụ cho thuê văn phòng tháng 01/2026</t>
  </si>
  <si>
    <t>Dịch vụ hỗ trợ hồ sơ HCNS
Dịch vụ hỗ trợ hồ sơ Pháp chế</t>
  </si>
  <si>
    <t>Dịch vụ quản lý hồ sơ hộ kinh doanh tháng 01/2026</t>
  </si>
  <si>
    <t>Dịch vụ hỗ trợ hồ sơ HCNS Tháng 1/2026</t>
  </si>
  <si>
    <t>Chỗ ngồi cố định Tháng 1,2/2026</t>
  </si>
  <si>
    <t>Dịch vụ quản lý hồ sơ doanh nghiệp Tháng 1/2026
LT1 - Premium</t>
  </si>
  <si>
    <t>Dịch vụ quản lý hồ sơ doanh nghiệp Tháng 2/2026
LT1 - Premium
DỊCH VỤ HỒ SƠ HCNS Tháng 2/2026</t>
  </si>
  <si>
    <t>Dịch vụ hỗ trợ hồ sơ HCNS tháng 2
Dịch vụ hỗ trợ hồ sơ Pháp chế tháng 2</t>
  </si>
  <si>
    <t>Dịch vụ quản lý hồ sơ hộ kinh doanh tháng 2</t>
  </si>
  <si>
    <t>Dịch vụ hỗ trợ hồ sơ HCNS Tháng 2/2026</t>
  </si>
  <si>
    <t>Dịch vụ cho thuê văn phòng tháng 02/2026
Dịch vụ cho thuê văn phòng tháng 03/2026</t>
  </si>
  <si>
    <t>MÃ BÁO GIÁ</t>
  </si>
  <si>
    <t>NGÀY BÁO GIÁ</t>
  </si>
  <si>
    <t>NỘI DUNG</t>
  </si>
  <si>
    <t>HIỆU LỰC</t>
  </si>
  <si>
    <t>(Soạn, trình ký)</t>
  </si>
  <si>
    <t>Long-term 1 - Platinum</t>
  </si>
  <si>
    <t>Done</t>
  </si>
  <si>
    <t>Long-term 1 - Standard</t>
  </si>
  <si>
    <t>Long-term 1 - Premium</t>
  </si>
  <si>
    <t>Long-term 1: Standard</t>
  </si>
  <si>
    <t>Long-term 1: Premium</t>
  </si>
  <si>
    <t>Long-term 1: Platinum</t>
  </si>
  <si>
    <t>Long-term 2: Premium</t>
  </si>
  <si>
    <t>Long term 2 - Standard</t>
  </si>
  <si>
    <t>Long-term 2: Platinum</t>
  </si>
  <si>
    <t xml:space="preserve">TAM CAO VIET </t>
  </si>
  <si>
    <t>LT1 - Prenium
HR - Prenium</t>
  </si>
  <si>
    <t xml:space="preserve">DNH </t>
  </si>
  <si>
    <t>LT2 - Premium</t>
  </si>
  <si>
    <t>SỐ BÁO GIÁ</t>
  </si>
  <si>
    <t>TIỀN VAT</t>
  </si>
  <si>
    <t>CHIẾU KHẤU</t>
  </si>
  <si>
    <t>THỰC THU</t>
  </si>
  <si>
    <t>GREENLIFFE</t>
  </si>
  <si>
    <t>Thay đổi địa chỉ trụ sở chính</t>
  </si>
  <si>
    <t>Đăng ký chữ ký số 1 năm_Viettel</t>
  </si>
  <si>
    <t>Chuyển nhượng vốn góp
Thay đổi DDPL</t>
  </si>
  <si>
    <t>Thay đổi DDPL</t>
  </si>
  <si>
    <t>Thay đổi địa chỉ trụ sở chính
Chuyển nhượng vốn góp
Đóng mã số thuế chi nhánh 001</t>
  </si>
  <si>
    <t>Thay đổi ngành nghề chính</t>
  </si>
  <si>
    <t>Cập nhật CCCD của DDPL
Chuyển nhượng vốn góp
Chuyển đổi loại hình Công ty - TNHH 1 TV
Tạm ngừng kinh doanh 01 năm</t>
  </si>
  <si>
    <t>Tăng thành viên góp vốn
Chuyển đổi loại hình Công ty - TNHH 2 TV
Bổ sung ngành nghề</t>
  </si>
  <si>
    <t xml:space="preserve">Mua mới 300 số HDDT_Viettel	</t>
  </si>
  <si>
    <t>Chuyển nhượng vốn góp
Thay đổi loại hình
Thay đổi DDPL</t>
  </si>
  <si>
    <t xml:space="preserve">RONG VANG </t>
  </si>
  <si>
    <t>Chuyển nhượng vốn góp
Thay đổi loại hình</t>
  </si>
  <si>
    <t>Cập nhật CCCD của DDPL và CSH</t>
  </si>
  <si>
    <t>001/ST/OR/2025</t>
  </si>
  <si>
    <t xml:space="preserve">Chờ kiểm tra hồ sơ QTT </t>
  </si>
  <si>
    <t>GREENMARK - Báo giá cho thuê vp cố định: Prenium 86m2 (Tầng G)
Cọc 2 tháng 
Bắt đầu thuê từ tháng 01/07
Thời gian cọc &lt; 30/06
Thi công hoàn thiện trước &lt; 30/06</t>
  </si>
  <si>
    <t xml:space="preserve">HPKK - Báo giá cho thuê vp cố định: Platinum 28m2 (Tầng 1)
Cọc 2 tháng 
Bắt đầu thuê từ tháng 01/07
Thời gian cọc &lt; 30/06
 </t>
  </si>
  <si>
    <t>SAIGONLAND - Báo giá cho thuê vp cố định: Platinum 28m2 (Tầng 1)
Cọc 2 tháng 
Bắt đầu thuê từ tháng 01/07
Thời gian cọc &lt; 30/06</t>
  </si>
  <si>
    <t>SỐ THỨ TỰ</t>
  </si>
  <si>
    <t>Thay đổi thông tin công ty:
Chuyển địa chỉ trụ sở chính
Chuyển nhượng vốn góp
Đóng mã số thuế chi nhánh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</si>
</sst>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&quot;/&quot;mm&quot;/&quot;yyyy"/>
    <numFmt numFmtId="165" formatCode="#,##0[$ ₫]"/>
    <numFmt numFmtId="166" formatCode="0.0"/>
    <numFmt numFmtId="167" formatCode="dd/mm/yyyy"/>
    <numFmt numFmtId="169" formatCode="#,##0;\-#,##0;&quot;-&quot;"/>
  </numFmts>
  <fonts count="7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sz val="12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1" fontId="2" fillId="6" borderId="1" xfId="0" applyNumberFormat="1" applyFont="1" applyFill="1" applyBorder="1" applyAlignment="1">
      <alignment vertical="top"/>
    </xf>
    <xf numFmtId="164" fontId="2" fillId="6" borderId="1" xfId="0" applyNumberFormat="1" applyFont="1" applyFill="1" applyBorder="1" applyAlignment="1">
      <alignment vertical="top"/>
    </xf>
    <xf numFmtId="3" fontId="2" fillId="6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3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 wrapText="1"/>
    </xf>
    <xf numFmtId="3" fontId="2" fillId="6" borderId="1" xfId="0" applyNumberFormat="1" applyFont="1" applyFill="1" applyBorder="1" applyAlignment="1">
      <alignment vertical="top"/>
    </xf>
    <xf numFmtId="0" fontId="2" fillId="6" borderId="1" xfId="0" quotePrefix="1" applyFont="1" applyFill="1" applyBorder="1" applyAlignment="1">
      <alignment vertical="top"/>
    </xf>
    <xf numFmtId="1" fontId="2" fillId="6" borderId="1" xfId="0" applyNumberFormat="1" applyFont="1" applyFill="1" applyBorder="1" applyAlignment="1">
      <alignment vertical="top"/>
    </xf>
    <xf numFmtId="164" fontId="2" fillId="6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6" borderId="1" xfId="0" applyFont="1" applyFill="1" applyBorder="1"/>
    <xf numFmtId="0" fontId="2" fillId="0" borderId="1" xfId="0" applyFont="1" applyBorder="1" applyAlignment="1">
      <alignment wrapText="1"/>
    </xf>
    <xf numFmtId="1" fontId="2" fillId="6" borderId="1" xfId="0" applyNumberFormat="1" applyFont="1" applyFill="1" applyBorder="1"/>
    <xf numFmtId="164" fontId="2" fillId="6" borderId="1" xfId="0" applyNumberFormat="1" applyFont="1" applyFill="1" applyBorder="1"/>
    <xf numFmtId="165" fontId="2" fillId="0" borderId="1" xfId="0" applyNumberFormat="1" applyFont="1" applyBorder="1" applyAlignment="1">
      <alignment wrapText="1"/>
    </xf>
    <xf numFmtId="3" fontId="2" fillId="6" borderId="1" xfId="0" applyNumberFormat="1" applyFont="1" applyFill="1" applyBorder="1"/>
    <xf numFmtId="9" fontId="2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center" vertical="top"/>
    </xf>
    <xf numFmtId="165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top"/>
    </xf>
    <xf numFmtId="9" fontId="1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/>
    </xf>
    <xf numFmtId="9" fontId="1" fillId="2" borderId="1" xfId="0" applyNumberFormat="1" applyFont="1" applyFill="1" applyBorder="1" applyAlignment="1">
      <alignment horizontal="center" vertical="top"/>
    </xf>
    <xf numFmtId="167" fontId="1" fillId="2" borderId="1" xfId="0" applyNumberFormat="1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 wrapText="1"/>
    </xf>
    <xf numFmtId="3" fontId="1" fillId="4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49" fontId="1" fillId="5" borderId="1" xfId="0" applyNumberFormat="1" applyFont="1" applyFill="1" applyBorder="1" applyAlignment="1">
      <alignment horizontal="center" vertical="top"/>
    </xf>
    <xf numFmtId="1" fontId="1" fillId="5" borderId="1" xfId="0" applyNumberFormat="1" applyFont="1" applyFill="1" applyBorder="1" applyAlignment="1">
      <alignment horizontal="center" vertical="top"/>
    </xf>
    <xf numFmtId="164" fontId="1" fillId="5" borderId="1" xfId="0" applyNumberFormat="1" applyFont="1" applyFill="1" applyBorder="1" applyAlignment="1">
      <alignment horizontal="center" vertical="top"/>
    </xf>
    <xf numFmtId="165" fontId="1" fillId="5" borderId="1" xfId="0" applyNumberFormat="1" applyFont="1" applyFill="1" applyBorder="1" applyAlignment="1">
      <alignment horizontal="center" vertical="top" wrapText="1"/>
    </xf>
    <xf numFmtId="3" fontId="1" fillId="5" borderId="1" xfId="0" applyNumberFormat="1" applyFont="1" applyFill="1" applyBorder="1" applyAlignment="1">
      <alignment horizontal="center" vertical="top"/>
    </xf>
    <xf numFmtId="167" fontId="1" fillId="5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  <xf numFmtId="49" fontId="2" fillId="0" borderId="1" xfId="0" quotePrefix="1" applyNumberFormat="1" applyFont="1" applyBorder="1" applyAlignment="1">
      <alignment vertical="top"/>
    </xf>
    <xf numFmtId="9" fontId="2" fillId="0" borderId="1" xfId="0" applyNumberFormat="1" applyFont="1" applyBorder="1" applyAlignment="1">
      <alignment vertical="top"/>
    </xf>
    <xf numFmtId="167" fontId="2" fillId="0" borderId="1" xfId="0" applyNumberFormat="1" applyFont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167" fontId="2" fillId="6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wrapText="1"/>
    </xf>
    <xf numFmtId="167" fontId="1" fillId="2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167" fontId="2" fillId="0" borderId="1" xfId="0" applyNumberFormat="1" applyFont="1" applyBorder="1"/>
    <xf numFmtId="167" fontId="2" fillId="6" borderId="1" xfId="0" applyNumberFormat="1" applyFont="1" applyFill="1" applyBorder="1"/>
    <xf numFmtId="3" fontId="3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9" fontId="1" fillId="2" borderId="1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wrapText="1"/>
    </xf>
    <xf numFmtId="0" fontId="2" fillId="6" borderId="1" xfId="0" quotePrefix="1" applyFont="1" applyFill="1" applyBorder="1" applyAlignment="1"/>
    <xf numFmtId="169" fontId="4" fillId="0" borderId="2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wrapText="1"/>
    </xf>
    <xf numFmtId="164" fontId="2" fillId="0" borderId="4" xfId="0" applyNumberFormat="1" applyFont="1" applyBorder="1"/>
    <xf numFmtId="3" fontId="2" fillId="0" borderId="5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wrapText="1"/>
    </xf>
    <xf numFmtId="0" fontId="5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" fontId="4" fillId="8" borderId="1" xfId="0" applyNumberFormat="1" applyFont="1" applyFill="1" applyBorder="1" applyAlignment="1"/>
    <xf numFmtId="0" fontId="2" fillId="0" borderId="1" xfId="0" quotePrefix="1" applyFont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6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1" fontId="4" fillId="0" borderId="1" xfId="0" applyNumberFormat="1" applyFont="1" applyBorder="1" applyAlignment="1"/>
    <xf numFmtId="0" fontId="4" fillId="0" borderId="1" xfId="0" applyFont="1" applyBorder="1" applyAlignment="1"/>
    <xf numFmtId="165" fontId="6" fillId="0" borderId="1" xfId="0" applyNumberFormat="1" applyFont="1" applyBorder="1" applyAlignment="1">
      <alignment wrapText="1"/>
    </xf>
    <xf numFmtId="0" fontId="6" fillId="0" borderId="1" xfId="0" applyFont="1" applyBorder="1" applyAlignment="1"/>
    <xf numFmtId="1" fontId="6" fillId="0" borderId="1" xfId="0" applyNumberFormat="1" applyFont="1" applyBorder="1" applyAlignment="1"/>
    <xf numFmtId="164" fontId="6" fillId="0" borderId="1" xfId="0" applyNumberFormat="1" applyFont="1" applyBorder="1" applyAlignment="1"/>
    <xf numFmtId="0" fontId="6" fillId="0" borderId="0" xfId="0" applyFont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1" fontId="2" fillId="0" borderId="1" xfId="0" applyNumberFormat="1" applyFont="1" applyBorder="1" applyAlignment="1"/>
    <xf numFmtId="3" fontId="2" fillId="0" borderId="1" xfId="0" applyNumberFormat="1" applyFont="1" applyBorder="1" applyAlignment="1"/>
    <xf numFmtId="9" fontId="2" fillId="0" borderId="1" xfId="0" applyNumberFormat="1" applyFont="1" applyBorder="1" applyAlignment="1"/>
    <xf numFmtId="0" fontId="2" fillId="8" borderId="1" xfId="0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0" xfId="0" applyFont="1" applyAlignme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0" fontId="5" fillId="5" borderId="2" xfId="0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9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/>
    <xf numFmtId="1" fontId="4" fillId="0" borderId="2" xfId="0" applyNumberFormat="1" applyFont="1" applyBorder="1" applyAlignment="1"/>
    <xf numFmtId="164" fontId="6" fillId="0" borderId="2" xfId="0" applyNumberFormat="1" applyFont="1" applyBorder="1" applyAlignment="1"/>
    <xf numFmtId="165" fontId="6" fillId="0" borderId="2" xfId="0" applyNumberFormat="1" applyFont="1" applyBorder="1" applyAlignment="1"/>
    <xf numFmtId="9" fontId="6" fillId="0" borderId="2" xfId="0" applyNumberFormat="1" applyFont="1" applyBorder="1" applyAlignment="1"/>
    <xf numFmtId="165" fontId="6" fillId="0" borderId="2" xfId="0" applyNumberFormat="1" applyFont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1" fontId="2" fillId="0" borderId="2" xfId="0" applyNumberFormat="1" applyFont="1" applyBorder="1" applyAlignment="1"/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1" fontId="2" fillId="0" borderId="2" xfId="0" applyNumberFormat="1" applyFont="1" applyBorder="1" applyAlignment="1">
      <alignment vertical="top"/>
    </xf>
    <xf numFmtId="164" fontId="6" fillId="0" borderId="2" xfId="0" applyNumberFormat="1" applyFont="1" applyBorder="1" applyAlignment="1">
      <alignment vertical="top"/>
    </xf>
    <xf numFmtId="165" fontId="6" fillId="0" borderId="2" xfId="0" applyNumberFormat="1" applyFont="1" applyBorder="1" applyAlignment="1">
      <alignment vertical="top"/>
    </xf>
    <xf numFmtId="9" fontId="6" fillId="0" borderId="2" xfId="0" applyNumberFormat="1" applyFont="1" applyBorder="1" applyAlignment="1">
      <alignment vertical="top"/>
    </xf>
    <xf numFmtId="165" fontId="6" fillId="0" borderId="2" xfId="0" applyNumberFormat="1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1" fontId="6" fillId="0" borderId="2" xfId="0" applyNumberFormat="1" applyFont="1" applyBorder="1" applyAlignment="1"/>
    <xf numFmtId="0" fontId="6" fillId="0" borderId="2" xfId="0" applyFont="1" applyBorder="1"/>
    <xf numFmtId="1" fontId="6" fillId="0" borderId="2" xfId="0" applyNumberFormat="1" applyFont="1" applyBorder="1"/>
    <xf numFmtId="164" fontId="6" fillId="0" borderId="2" xfId="0" applyNumberFormat="1" applyFont="1" applyBorder="1"/>
    <xf numFmtId="3" fontId="6" fillId="0" borderId="2" xfId="0" applyNumberFormat="1" applyFont="1" applyBorder="1"/>
    <xf numFmtId="0" fontId="6" fillId="0" borderId="2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 wrapText="1"/>
    </xf>
    <xf numFmtId="3" fontId="1" fillId="5" borderId="0" xfId="0" applyNumberFormat="1" applyFont="1" applyFill="1" applyAlignment="1">
      <alignment horizontal="center"/>
    </xf>
    <xf numFmtId="9" fontId="1" fillId="5" borderId="0" xfId="0" applyNumberFormat="1" applyFont="1" applyFill="1" applyAlignment="1">
      <alignment horizontal="center"/>
    </xf>
    <xf numFmtId="167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wrapText="1"/>
    </xf>
    <xf numFmtId="167" fontId="2" fillId="0" borderId="1" xfId="0" applyNumberFormat="1" applyFont="1" applyBorder="1" applyAlignment="1"/>
    <xf numFmtId="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AK87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1" sqref="E11"/>
    </sheetView>
  </sheetViews>
  <sheetFormatPr defaultColWidth="12.6640625" defaultRowHeight="15.75" customHeight="1" x14ac:dyDescent="0.25"/>
  <cols>
    <col min="1" max="1" width="7.33203125" customWidth="1"/>
    <col min="2" max="3" width="18.88671875" customWidth="1"/>
    <col min="4" max="4" width="19.44140625" customWidth="1"/>
    <col min="5" max="5" width="38.109375" customWidth="1"/>
    <col min="6" max="6" width="14.77734375" customWidth="1"/>
    <col min="7" max="7" width="8.88671875" customWidth="1"/>
    <col min="8" max="8" width="17.21875" customWidth="1"/>
    <col min="9" max="9" width="7.88671875" customWidth="1"/>
    <col min="10" max="10" width="8.6640625" customWidth="1"/>
    <col min="11" max="11" width="6.6640625" customWidth="1"/>
    <col min="12" max="13" width="14.6640625" customWidth="1"/>
    <col min="14" max="14" width="14.88671875" customWidth="1"/>
  </cols>
  <sheetData>
    <row r="1" spans="1:37" ht="13.8" x14ac:dyDescent="0.25">
      <c r="A1" s="1" t="s">
        <v>0</v>
      </c>
      <c r="B1" s="1" t="s">
        <v>1</v>
      </c>
      <c r="C1" s="2" t="s">
        <v>2</v>
      </c>
      <c r="D1" s="3" t="s">
        <v>3</v>
      </c>
      <c r="E1" s="4"/>
      <c r="F1" s="5"/>
      <c r="G1" s="6" t="s">
        <v>4</v>
      </c>
      <c r="H1" s="7"/>
      <c r="I1" s="8"/>
      <c r="J1" s="7" t="s">
        <v>5</v>
      </c>
      <c r="K1" s="7"/>
      <c r="L1" s="7"/>
      <c r="M1" s="9" t="s">
        <v>6</v>
      </c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27.6" x14ac:dyDescent="0.25">
      <c r="A2" s="1"/>
      <c r="B2" s="1"/>
      <c r="C2" s="11" t="s">
        <v>7</v>
      </c>
      <c r="D2" s="3"/>
      <c r="E2" s="4" t="s">
        <v>8</v>
      </c>
      <c r="F2" s="11" t="s">
        <v>9</v>
      </c>
      <c r="G2" s="12" t="s">
        <v>10</v>
      </c>
      <c r="H2" s="7" t="s">
        <v>11</v>
      </c>
      <c r="I2" s="13" t="s">
        <v>12</v>
      </c>
      <c r="J2" s="7" t="s">
        <v>13</v>
      </c>
      <c r="K2" s="7" t="s">
        <v>12</v>
      </c>
      <c r="L2" s="7" t="s">
        <v>14</v>
      </c>
      <c r="M2" s="14" t="s">
        <v>15</v>
      </c>
      <c r="N2" s="9" t="s">
        <v>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3.8" x14ac:dyDescent="0.25">
      <c r="A3" s="15"/>
      <c r="B3" s="15"/>
      <c r="C3" s="15"/>
      <c r="D3" s="16"/>
      <c r="E3" s="17"/>
      <c r="F3" s="15"/>
      <c r="G3" s="18"/>
      <c r="H3" s="19"/>
      <c r="I3" s="20"/>
      <c r="J3" s="19"/>
      <c r="K3" s="19"/>
      <c r="L3" s="19"/>
      <c r="M3" s="19"/>
      <c r="N3" s="2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3.8" x14ac:dyDescent="0.25">
      <c r="A4" s="22">
        <f>IF(B4="","",SUBTOTAL(3,$B$4:B4))</f>
        <v>1</v>
      </c>
      <c r="B4" s="23" t="s">
        <v>26</v>
      </c>
      <c r="C4" s="24" t="str">
        <f ca="1">IFERROR(__xludf.DUMMYFUNCTION("IFERROR(VLOOKUP(B7,IMPORTRANGE(""https://docs.google.com/spreadsheets/d/1Hr4i_97qtgRe-bfuRbVkLVmXa34m06T7R6IJCbq42Xg/edit?gid=0#gid=0"",""Information!B5:S200""),4,0),"""")"),"")</f>
        <v/>
      </c>
      <c r="D4" s="25" t="s">
        <v>17</v>
      </c>
      <c r="E4" s="26" t="str">
        <f ca="1">IFERROR(__xludf.DUMMYFUNCTION("IFERROR(VLOOKUP(B7,IMPORTRANGE(""https://docs.google.com/spreadsheets/d/1czkyEhD8V1Z6EQIBa_vUtd3lMcNJT8KkxzSSfggbttA/edit?usp=sharing"",""HD DAU RA!B5:F200""),5,0), ""CHUA CO"")"),"CHUA CO")</f>
        <v>CHUA CO</v>
      </c>
      <c r="F4" s="27" t="str">
        <f ca="1">IFERROR(__xludf.DUMMYFUNCTION("IFERROR(VLOOKUP(B7,IMPORTRANGE(""https://docs.google.com/spreadsheets/d/1czkyEhD8V1Z6EQIBa_vUtd3lMcNJT8KkxzSSfggbttA/edit?usp=sharing"",""HD DAU RA!B5:Q200""),16,0), """")"),"")</f>
        <v/>
      </c>
      <c r="G4" s="25" t="s">
        <v>27</v>
      </c>
      <c r="H4" s="28" t="str">
        <f t="shared" ref="H4:H7" si="0">IF(B4="","",(G4 &amp;"/LT/2025"))</f>
        <v>004/LT/2025</v>
      </c>
      <c r="I4" s="29" t="s">
        <v>19</v>
      </c>
      <c r="J4" s="30" t="b">
        <v>0</v>
      </c>
      <c r="K4" s="30" t="str">
        <f t="shared" ref="K4:K7" si="1">IF(J4,"Quý","")</f>
        <v/>
      </c>
      <c r="L4" s="31">
        <v>45659</v>
      </c>
      <c r="M4" s="27">
        <f t="shared" ref="M4:M7" si="2">IF(B4="","",(L4+15))</f>
        <v>45674</v>
      </c>
      <c r="N4" s="32" t="s">
        <v>20</v>
      </c>
      <c r="O4" s="33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spans="1:37" ht="13.8" x14ac:dyDescent="0.25">
      <c r="A5" s="22">
        <f>IF(B5="","",SUBTOTAL(3,$B$4:B5))</f>
        <v>2</v>
      </c>
      <c r="B5" s="23" t="s">
        <v>28</v>
      </c>
      <c r="C5" s="24" t="str">
        <f ca="1">IFERROR(__xludf.DUMMYFUNCTION("IFERROR(VLOOKUP(B8,IMPORTRANGE(""https://docs.google.com/spreadsheets/d/1Hr4i_97qtgRe-bfuRbVkLVmXa34m06T7R6IJCbq42Xg/edit?gid=0#gid=0"",""Information!B5:S200""),4,0),"""")"),"")</f>
        <v/>
      </c>
      <c r="D5" s="25" t="s">
        <v>17</v>
      </c>
      <c r="E5" s="26" t="str">
        <f ca="1">IFERROR(__xludf.DUMMYFUNCTION("IFERROR(VLOOKUP(B8,IMPORTRANGE(""https://docs.google.com/spreadsheets/d/1czkyEhD8V1Z6EQIBa_vUtd3lMcNJT8KkxzSSfggbttA/edit?usp=sharing"",""HD DAU RA!B5:F200""),5,0), ""CHUA CO"")"),"CHUA CO")</f>
        <v>CHUA CO</v>
      </c>
      <c r="F5" s="27" t="str">
        <f ca="1">IFERROR(__xludf.DUMMYFUNCTION("IFERROR(VLOOKUP(B8,IMPORTRANGE(""https://docs.google.com/spreadsheets/d/1czkyEhD8V1Z6EQIBa_vUtd3lMcNJT8KkxzSSfggbttA/edit?usp=sharing"",""HD DAU RA!B5:Q200""),16,0), """")"),"")</f>
        <v/>
      </c>
      <c r="G5" s="25" t="s">
        <v>29</v>
      </c>
      <c r="H5" s="28" t="str">
        <f t="shared" si="0"/>
        <v>005/LT/2025</v>
      </c>
      <c r="I5" s="29" t="s">
        <v>19</v>
      </c>
      <c r="J5" s="30" t="b">
        <v>0</v>
      </c>
      <c r="K5" s="30" t="str">
        <f t="shared" si="1"/>
        <v/>
      </c>
      <c r="L5" s="31">
        <v>45659</v>
      </c>
      <c r="M5" s="27">
        <f t="shared" si="2"/>
        <v>45674</v>
      </c>
      <c r="N5" s="32" t="s">
        <v>20</v>
      </c>
      <c r="O5" s="33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spans="1:37" ht="13.8" x14ac:dyDescent="0.25">
      <c r="A6" s="22">
        <f>IF(B6="","",SUBTOTAL(3,$B$4:B6))</f>
        <v>3</v>
      </c>
      <c r="B6" s="23" t="s">
        <v>30</v>
      </c>
      <c r="C6" s="24" t="str">
        <f ca="1">IFERROR(__xludf.DUMMYFUNCTION("IFERROR(VLOOKUP(B9,IMPORTRANGE(""https://docs.google.com/spreadsheets/d/1Hr4i_97qtgRe-bfuRbVkLVmXa34m06T7R6IJCbq42Xg/edit?gid=0#gid=0"",""Information!B5:S200""),4,0),"""")"),"")</f>
        <v/>
      </c>
      <c r="D6" s="25" t="s">
        <v>17</v>
      </c>
      <c r="E6" s="26" t="str">
        <f ca="1">IFERROR(__xludf.DUMMYFUNCTION("IFERROR(VLOOKUP(B9,IMPORTRANGE(""https://docs.google.com/spreadsheets/d/1czkyEhD8V1Z6EQIBa_vUtd3lMcNJT8KkxzSSfggbttA/edit?usp=sharing"",""HD DAU RA!B5:F200""),5,0), ""CHUA CO"")"),"CHUA CO")</f>
        <v>CHUA CO</v>
      </c>
      <c r="F6" s="27" t="str">
        <f ca="1">IFERROR(__xludf.DUMMYFUNCTION("IFERROR(VLOOKUP(B9,IMPORTRANGE(""https://docs.google.com/spreadsheets/d/1czkyEhD8V1Z6EQIBa_vUtd3lMcNJT8KkxzSSfggbttA/edit?usp=sharing"",""HD DAU RA!B5:Q200""),16,0), """")"),"")</f>
        <v/>
      </c>
      <c r="G6" s="25" t="s">
        <v>31</v>
      </c>
      <c r="H6" s="28" t="str">
        <f t="shared" si="0"/>
        <v>006/LT/2025</v>
      </c>
      <c r="I6" s="29" t="s">
        <v>19</v>
      </c>
      <c r="J6" s="30" t="b">
        <v>0</v>
      </c>
      <c r="K6" s="30" t="str">
        <f t="shared" si="1"/>
        <v/>
      </c>
      <c r="L6" s="31">
        <v>45659</v>
      </c>
      <c r="M6" s="27">
        <f t="shared" si="2"/>
        <v>45674</v>
      </c>
      <c r="N6" s="32" t="s">
        <v>25</v>
      </c>
      <c r="O6" s="33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7" ht="13.8" x14ac:dyDescent="0.25">
      <c r="A7" s="22">
        <f>IF(B7="","",SUBTOTAL(3,$B$4:B7))</f>
        <v>4</v>
      </c>
      <c r="B7" s="23" t="s">
        <v>32</v>
      </c>
      <c r="C7" s="24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7" s="25" t="s">
        <v>17</v>
      </c>
      <c r="E7" s="26" t="str">
        <f ca="1">IFERROR(__xludf.DUMMYFUNCTION("IFERROR(VLOOKUP(B10,IMPORTRANGE(""https://docs.google.com/spreadsheets/d/1czkyEhD8V1Z6EQIBa_vUtd3lMcNJT8KkxzSSfggbttA/edit?usp=sharing"",""HD DAU RA!B5:F200""),5,0), ""CHUA CO"")"),"CHUA CO")</f>
        <v>CHUA CO</v>
      </c>
      <c r="F7" s="27" t="str">
        <f ca="1">IFERROR(__xludf.DUMMYFUNCTION("IFERROR(VLOOKUP(B10,IMPORTRANGE(""https://docs.google.com/spreadsheets/d/1czkyEhD8V1Z6EQIBa_vUtd3lMcNJT8KkxzSSfggbttA/edit?usp=sharing"",""HD DAU RA!B5:Q200""),16,0), """")"),"")</f>
        <v/>
      </c>
      <c r="G7" s="25" t="s">
        <v>33</v>
      </c>
      <c r="H7" s="28" t="str">
        <f t="shared" si="0"/>
        <v>007/LT/2025</v>
      </c>
      <c r="I7" s="29" t="s">
        <v>19</v>
      </c>
      <c r="J7" s="30" t="b">
        <v>0</v>
      </c>
      <c r="K7" s="30" t="str">
        <f t="shared" si="1"/>
        <v/>
      </c>
      <c r="L7" s="31">
        <v>45659</v>
      </c>
      <c r="M7" s="27">
        <f t="shared" si="2"/>
        <v>45674</v>
      </c>
      <c r="N7" s="32" t="s">
        <v>25</v>
      </c>
      <c r="O7" s="33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spans="1:37" ht="13.8" x14ac:dyDescent="0.25">
      <c r="A8" s="22" t="str">
        <f>IF(B8="","",SUBTOTAL(3,$B$4:B8))</f>
        <v/>
      </c>
      <c r="B8" s="43"/>
      <c r="C8" s="24" t="str">
        <f ca="1">IFERROR(__xludf.DUMMYFUNCTION("IFERROR(VLOOKUP(B137,IMPORTRANGE(""https://docs.google.com/spreadsheets/d/1Hr4i_97qtgRe-bfuRbVkLVmXa34m06T7R6IJCbq42Xg/edit?gid=0#gid=0"",""Information!B5:S200""),4,0),"""")"),"")</f>
        <v/>
      </c>
      <c r="D8" s="41"/>
      <c r="E8" s="39"/>
      <c r="F8" s="40"/>
      <c r="G8" s="44"/>
      <c r="H8" s="28" t="str">
        <f t="shared" ref="H8:H10" si="3">IF(B8="","",(G8 &amp;"/LT/2025"))</f>
        <v/>
      </c>
      <c r="I8" s="42"/>
      <c r="J8" s="35"/>
      <c r="K8" s="35"/>
      <c r="L8" s="35"/>
      <c r="M8" s="37"/>
      <c r="N8" s="22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spans="1:37" ht="13.8" x14ac:dyDescent="0.25">
      <c r="A9" s="22" t="str">
        <f>IF(B9="","",SUBTOTAL(3,$B$4:B9))</f>
        <v/>
      </c>
      <c r="B9" s="43"/>
      <c r="C9" s="24" t="str">
        <f ca="1">IFERROR(__xludf.DUMMYFUNCTION("IFERROR(VLOOKUP(B138,IMPORTRANGE(""https://docs.google.com/spreadsheets/d/1Hr4i_97qtgRe-bfuRbVkLVmXa34m06T7R6IJCbq42Xg/edit?gid=0#gid=0"",""Information!B5:S200""),4,0),"""")"),"")</f>
        <v/>
      </c>
      <c r="D9" s="41"/>
      <c r="E9" s="39"/>
      <c r="F9" s="40"/>
      <c r="G9" s="44"/>
      <c r="H9" s="28" t="str">
        <f t="shared" si="3"/>
        <v/>
      </c>
      <c r="I9" s="42"/>
      <c r="J9" s="35"/>
      <c r="K9" s="35"/>
      <c r="L9" s="35"/>
      <c r="M9" s="37"/>
      <c r="N9" s="22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ht="13.8" x14ac:dyDescent="0.25">
      <c r="A10" s="22" t="str">
        <f>IF(B10="","",SUBTOTAL(3,$B$4:B10))</f>
        <v/>
      </c>
      <c r="B10" s="43"/>
      <c r="C10" s="24" t="str">
        <f ca="1">IFERROR(__xludf.DUMMYFUNCTION("IFERROR(VLOOKUP(B139,IMPORTRANGE(""https://docs.google.com/spreadsheets/d/1Hr4i_97qtgRe-bfuRbVkLVmXa34m06T7R6IJCbq42Xg/edit?gid=0#gid=0"",""Information!B5:S200""),4,0),"""")"),"")</f>
        <v/>
      </c>
      <c r="D10" s="41"/>
      <c r="E10" s="39"/>
      <c r="F10" s="40"/>
      <c r="G10" s="44"/>
      <c r="H10" s="28" t="str">
        <f t="shared" si="3"/>
        <v/>
      </c>
      <c r="I10" s="42"/>
      <c r="J10" s="35"/>
      <c r="K10" s="35"/>
      <c r="L10" s="35"/>
      <c r="M10" s="37"/>
      <c r="N10" s="22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13.8" x14ac:dyDescent="0.25">
      <c r="A11" s="22" t="str">
        <f>IF(B11="","",SUBTOTAL(3,$B$4:B11))</f>
        <v/>
      </c>
      <c r="B11" s="43"/>
      <c r="C11" s="24" t="str">
        <f ca="1">IFERROR(__xludf.DUMMYFUNCTION("IFERROR(VLOOKUP(B140,IMPORTRANGE(""https://docs.google.com/spreadsheets/d/1Hr4i_97qtgRe-bfuRbVkLVmXa34m06T7R6IJCbq42Xg/edit?gid=0#gid=0"",""Information!B5:S200""),4,0),"""")"),"")</f>
        <v/>
      </c>
      <c r="D11" s="41"/>
      <c r="E11" s="39"/>
      <c r="F11" s="40"/>
      <c r="G11" s="44"/>
      <c r="H11" s="37"/>
      <c r="I11" s="42"/>
      <c r="J11" s="35"/>
      <c r="K11" s="35"/>
      <c r="L11" s="35"/>
      <c r="M11" s="37"/>
      <c r="N11" s="22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ht="13.8" x14ac:dyDescent="0.25">
      <c r="A12" s="22" t="str">
        <f>IF(B12="","",SUBTOTAL(3,$B$4:B12))</f>
        <v/>
      </c>
      <c r="B12" s="43"/>
      <c r="C12" s="24" t="str">
        <f ca="1">IFERROR(__xludf.DUMMYFUNCTION("IFERROR(VLOOKUP(B141,IMPORTRANGE(""https://docs.google.com/spreadsheets/d/1Hr4i_97qtgRe-bfuRbVkLVmXa34m06T7R6IJCbq42Xg/edit?gid=0#gid=0"",""Information!B5:S200""),4,0),"""")"),"")</f>
        <v/>
      </c>
      <c r="D12" s="41"/>
      <c r="E12" s="39"/>
      <c r="F12" s="40"/>
      <c r="G12" s="44"/>
      <c r="H12" s="37"/>
      <c r="I12" s="42"/>
      <c r="J12" s="35"/>
      <c r="K12" s="35"/>
      <c r="L12" s="35"/>
      <c r="M12" s="37"/>
      <c r="N12" s="22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13.8" x14ac:dyDescent="0.25">
      <c r="A13" s="22" t="str">
        <f>IF(B13="","",SUBTOTAL(3,$B$4:B13))</f>
        <v/>
      </c>
      <c r="B13" s="43"/>
      <c r="C13" s="24" t="str">
        <f ca="1">IFERROR(__xludf.DUMMYFUNCTION("IFERROR(VLOOKUP(B142,IMPORTRANGE(""https://docs.google.com/spreadsheets/d/1Hr4i_97qtgRe-bfuRbVkLVmXa34m06T7R6IJCbq42Xg/edit?gid=0#gid=0"",""Information!B5:S200""),4,0),"""")"),"")</f>
        <v/>
      </c>
      <c r="D13" s="41"/>
      <c r="E13" s="39"/>
      <c r="F13" s="40"/>
      <c r="G13" s="44"/>
      <c r="H13" s="37"/>
      <c r="I13" s="42"/>
      <c r="J13" s="35"/>
      <c r="K13" s="35"/>
      <c r="L13" s="35"/>
      <c r="M13" s="37"/>
      <c r="N13" s="22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13.8" x14ac:dyDescent="0.25">
      <c r="A14" s="22" t="str">
        <f>IF(B14="","",SUBTOTAL(3,$B$4:B14))</f>
        <v/>
      </c>
      <c r="B14" s="43"/>
      <c r="C14" s="24" t="str">
        <f ca="1">IFERROR(__xludf.DUMMYFUNCTION("IFERROR(VLOOKUP(B143,IMPORTRANGE(""https://docs.google.com/spreadsheets/d/1Hr4i_97qtgRe-bfuRbVkLVmXa34m06T7R6IJCbq42Xg/edit?gid=0#gid=0"",""Information!B5:S200""),4,0),"""")"),"")</f>
        <v/>
      </c>
      <c r="D14" s="41"/>
      <c r="E14" s="39"/>
      <c r="F14" s="40"/>
      <c r="G14" s="44"/>
      <c r="H14" s="37"/>
      <c r="I14" s="42"/>
      <c r="J14" s="35"/>
      <c r="K14" s="35"/>
      <c r="L14" s="35"/>
      <c r="M14" s="37"/>
      <c r="N14" s="22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 ht="13.8" x14ac:dyDescent="0.25">
      <c r="A15" s="22" t="str">
        <f>IF(B15="","",SUBTOTAL(3,$B$4:B15))</f>
        <v/>
      </c>
      <c r="B15" s="43"/>
      <c r="C15" s="24" t="str">
        <f ca="1">IFERROR(__xludf.DUMMYFUNCTION("IFERROR(VLOOKUP(B144,IMPORTRANGE(""https://docs.google.com/spreadsheets/d/1Hr4i_97qtgRe-bfuRbVkLVmXa34m06T7R6IJCbq42Xg/edit?gid=0#gid=0"",""Information!B5:S200""),4,0),"""")"),"")</f>
        <v/>
      </c>
      <c r="D15" s="41"/>
      <c r="E15" s="39"/>
      <c r="F15" s="40"/>
      <c r="G15" s="44"/>
      <c r="H15" s="37"/>
      <c r="I15" s="42"/>
      <c r="J15" s="35"/>
      <c r="K15" s="35"/>
      <c r="L15" s="35"/>
      <c r="M15" s="37"/>
      <c r="N15" s="22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ht="13.8" x14ac:dyDescent="0.25">
      <c r="A16" s="22" t="str">
        <f>IF(B16="","",SUBTOTAL(3,$B$4:B16))</f>
        <v/>
      </c>
      <c r="B16" s="43"/>
      <c r="C16" s="24" t="str">
        <f ca="1">IFERROR(__xludf.DUMMYFUNCTION("IFERROR(VLOOKUP(B145,IMPORTRANGE(""https://docs.google.com/spreadsheets/d/1Hr4i_97qtgRe-bfuRbVkLVmXa34m06T7R6IJCbq42Xg/edit?gid=0#gid=0"",""Information!B5:S200""),4,0),"""")"),"")</f>
        <v/>
      </c>
      <c r="D16" s="41"/>
      <c r="E16" s="39"/>
      <c r="F16" s="40"/>
      <c r="G16" s="44"/>
      <c r="H16" s="37"/>
      <c r="I16" s="42"/>
      <c r="J16" s="35"/>
      <c r="K16" s="35"/>
      <c r="L16" s="35"/>
      <c r="M16" s="37"/>
      <c r="N16" s="22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13.8" x14ac:dyDescent="0.25">
      <c r="A17" s="22" t="str">
        <f>IF(B17="","",SUBTOTAL(3,$B$4:B17))</f>
        <v/>
      </c>
      <c r="B17" s="43"/>
      <c r="C17" s="45"/>
      <c r="D17" s="41"/>
      <c r="E17" s="39"/>
      <c r="F17" s="40"/>
      <c r="G17" s="44"/>
      <c r="H17" s="37"/>
      <c r="I17" s="42"/>
      <c r="J17" s="35"/>
      <c r="K17" s="35"/>
      <c r="L17" s="35"/>
      <c r="M17" s="37"/>
      <c r="N17" s="22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13.8" x14ac:dyDescent="0.25">
      <c r="A18" s="22" t="str">
        <f>IF(B18="","",SUBTOTAL(3,$B$4:B18))</f>
        <v/>
      </c>
      <c r="B18" s="43"/>
      <c r="C18" s="45"/>
      <c r="D18" s="41"/>
      <c r="E18" s="39"/>
      <c r="F18" s="40"/>
      <c r="G18" s="44"/>
      <c r="H18" s="37"/>
      <c r="I18" s="42"/>
      <c r="J18" s="35"/>
      <c r="K18" s="35"/>
      <c r="L18" s="35"/>
      <c r="M18" s="37"/>
      <c r="N18" s="22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13.8" x14ac:dyDescent="0.25">
      <c r="A19" s="22" t="str">
        <f>IF(B19="","",SUBTOTAL(3,$B$4:B19))</f>
        <v/>
      </c>
      <c r="B19" s="43"/>
      <c r="C19" s="45"/>
      <c r="D19" s="41"/>
      <c r="E19" s="39"/>
      <c r="F19" s="40"/>
      <c r="G19" s="44"/>
      <c r="H19" s="37"/>
      <c r="I19" s="42"/>
      <c r="J19" s="35"/>
      <c r="K19" s="35"/>
      <c r="L19" s="35"/>
      <c r="M19" s="37"/>
      <c r="N19" s="22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13.8" x14ac:dyDescent="0.25">
      <c r="A20" s="22" t="str">
        <f>IF(B20="","",SUBTOTAL(3,$B$4:B20))</f>
        <v/>
      </c>
      <c r="B20" s="43"/>
      <c r="C20" s="45"/>
      <c r="D20" s="41"/>
      <c r="E20" s="39"/>
      <c r="F20" s="40"/>
      <c r="G20" s="44"/>
      <c r="H20" s="37"/>
      <c r="I20" s="42"/>
      <c r="J20" s="35"/>
      <c r="K20" s="35"/>
      <c r="L20" s="35"/>
      <c r="M20" s="37"/>
      <c r="N20" s="22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13.8" x14ac:dyDescent="0.25">
      <c r="A21" s="22" t="str">
        <f>IF(B21="","",SUBTOTAL(3,$B$4:B21))</f>
        <v/>
      </c>
      <c r="B21" s="43"/>
      <c r="C21" s="45"/>
      <c r="D21" s="41"/>
      <c r="E21" s="39"/>
      <c r="F21" s="40"/>
      <c r="G21" s="44"/>
      <c r="H21" s="37"/>
      <c r="I21" s="42"/>
      <c r="J21" s="35"/>
      <c r="K21" s="35"/>
      <c r="L21" s="35"/>
      <c r="M21" s="37"/>
      <c r="N21" s="22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ht="13.8" x14ac:dyDescent="0.25">
      <c r="A22" s="22" t="str">
        <f>IF(B22="","",SUBTOTAL(3,$B$4:B22))</f>
        <v/>
      </c>
      <c r="B22" s="43"/>
      <c r="C22" s="45"/>
      <c r="D22" s="41"/>
      <c r="E22" s="39"/>
      <c r="F22" s="40"/>
      <c r="G22" s="44"/>
      <c r="H22" s="37"/>
      <c r="I22" s="42"/>
      <c r="J22" s="35"/>
      <c r="K22" s="35"/>
      <c r="L22" s="35"/>
      <c r="M22" s="37"/>
      <c r="N22" s="22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13.8" x14ac:dyDescent="0.25">
      <c r="A23" s="22" t="str">
        <f>IF(B23="","",SUBTOTAL(3,$B$4:B23))</f>
        <v/>
      </c>
      <c r="B23" s="43"/>
      <c r="C23" s="45"/>
      <c r="D23" s="41"/>
      <c r="E23" s="39"/>
      <c r="F23" s="40"/>
      <c r="G23" s="44"/>
      <c r="H23" s="37"/>
      <c r="I23" s="42"/>
      <c r="J23" s="35"/>
      <c r="K23" s="35"/>
      <c r="L23" s="35"/>
      <c r="M23" s="37"/>
      <c r="N23" s="22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13.8" x14ac:dyDescent="0.25">
      <c r="A24" s="22" t="str">
        <f>IF(B24="","",SUBTOTAL(3,$B$4:B24))</f>
        <v/>
      </c>
      <c r="B24" s="43"/>
      <c r="C24" s="45"/>
      <c r="D24" s="41"/>
      <c r="E24" s="39"/>
      <c r="F24" s="40"/>
      <c r="G24" s="44"/>
      <c r="H24" s="37"/>
      <c r="I24" s="42"/>
      <c r="J24" s="35"/>
      <c r="K24" s="35"/>
      <c r="L24" s="35"/>
      <c r="M24" s="37"/>
      <c r="N24" s="22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13.8" x14ac:dyDescent="0.25">
      <c r="A25" s="22" t="str">
        <f>IF(B25="","",SUBTOTAL(3,$B$4:B25))</f>
        <v/>
      </c>
      <c r="B25" s="43"/>
      <c r="C25" s="45"/>
      <c r="D25" s="41"/>
      <c r="E25" s="39"/>
      <c r="F25" s="40"/>
      <c r="G25" s="44"/>
      <c r="H25" s="37"/>
      <c r="I25" s="42"/>
      <c r="J25" s="35"/>
      <c r="K25" s="35"/>
      <c r="L25" s="35"/>
      <c r="M25" s="37"/>
      <c r="N25" s="22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13.8" x14ac:dyDescent="0.25">
      <c r="A26" s="22" t="str">
        <f>IF(B26="","",SUBTOTAL(3,$B$4:B26))</f>
        <v/>
      </c>
      <c r="B26" s="43"/>
      <c r="C26" s="45"/>
      <c r="D26" s="41"/>
      <c r="E26" s="39"/>
      <c r="F26" s="40"/>
      <c r="G26" s="44"/>
      <c r="H26" s="37"/>
      <c r="I26" s="42"/>
      <c r="J26" s="35"/>
      <c r="K26" s="35"/>
      <c r="L26" s="35"/>
      <c r="M26" s="37"/>
      <c r="N26" s="22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ht="13.8" x14ac:dyDescent="0.25">
      <c r="A27" s="22" t="str">
        <f>IF(B27="","",SUBTOTAL(3,$B$4:B27))</f>
        <v/>
      </c>
      <c r="B27" s="43"/>
      <c r="C27" s="45"/>
      <c r="D27" s="41"/>
      <c r="E27" s="39"/>
      <c r="F27" s="40"/>
      <c r="G27" s="44"/>
      <c r="H27" s="37"/>
      <c r="I27" s="42"/>
      <c r="J27" s="35"/>
      <c r="K27" s="35"/>
      <c r="L27" s="35"/>
      <c r="M27" s="37"/>
      <c r="N27" s="22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13.8" x14ac:dyDescent="0.25">
      <c r="A28" s="22" t="str">
        <f>IF(B28="","",SUBTOTAL(3,$B$4:B28))</f>
        <v/>
      </c>
      <c r="B28" s="43"/>
      <c r="C28" s="45"/>
      <c r="D28" s="41"/>
      <c r="E28" s="39"/>
      <c r="F28" s="40"/>
      <c r="G28" s="44"/>
      <c r="H28" s="37"/>
      <c r="I28" s="42"/>
      <c r="J28" s="35"/>
      <c r="K28" s="35"/>
      <c r="L28" s="35"/>
      <c r="M28" s="37"/>
      <c r="N28" s="22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13.8" x14ac:dyDescent="0.25">
      <c r="A29" s="46"/>
      <c r="B29" s="47"/>
      <c r="C29" s="48"/>
      <c r="D29" s="49"/>
      <c r="E29" s="50"/>
      <c r="F29" s="51"/>
      <c r="G29" s="52"/>
      <c r="H29" s="53"/>
      <c r="I29" s="54"/>
      <c r="J29" s="55"/>
      <c r="K29" s="55"/>
      <c r="L29" s="55"/>
      <c r="M29" s="53"/>
      <c r="N29" s="56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</row>
    <row r="30" spans="1:37" ht="13.8" x14ac:dyDescent="0.25">
      <c r="A30" s="46"/>
      <c r="B30" s="47"/>
      <c r="C30" s="48"/>
      <c r="D30" s="49"/>
      <c r="E30" s="50"/>
      <c r="F30" s="51"/>
      <c r="G30" s="52"/>
      <c r="H30" s="53"/>
      <c r="I30" s="54"/>
      <c r="J30" s="55"/>
      <c r="K30" s="55"/>
      <c r="L30" s="55"/>
      <c r="M30" s="53"/>
      <c r="N30" s="56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</row>
    <row r="31" spans="1:37" ht="13.8" x14ac:dyDescent="0.25">
      <c r="A31" s="46"/>
      <c r="B31" s="47"/>
      <c r="C31" s="48"/>
      <c r="D31" s="49"/>
      <c r="E31" s="50"/>
      <c r="F31" s="51"/>
      <c r="G31" s="52"/>
      <c r="H31" s="53"/>
      <c r="I31" s="54"/>
      <c r="J31" s="55"/>
      <c r="K31" s="55"/>
      <c r="L31" s="55"/>
      <c r="M31" s="53"/>
      <c r="N31" s="56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</row>
    <row r="32" spans="1:37" ht="13.8" x14ac:dyDescent="0.25">
      <c r="A32" s="46"/>
      <c r="B32" s="47"/>
      <c r="C32" s="48"/>
      <c r="D32" s="49"/>
      <c r="E32" s="50"/>
      <c r="F32" s="51"/>
      <c r="G32" s="52"/>
      <c r="H32" s="53"/>
      <c r="I32" s="54"/>
      <c r="J32" s="55"/>
      <c r="K32" s="55"/>
      <c r="L32" s="55"/>
      <c r="M32" s="53"/>
      <c r="N32" s="56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</row>
    <row r="33" spans="1:37" ht="13.8" x14ac:dyDescent="0.25">
      <c r="A33" s="46"/>
      <c r="B33" s="47"/>
      <c r="C33" s="48"/>
      <c r="D33" s="49"/>
      <c r="E33" s="50"/>
      <c r="F33" s="51"/>
      <c r="G33" s="52"/>
      <c r="H33" s="53"/>
      <c r="I33" s="54"/>
      <c r="J33" s="55"/>
      <c r="K33" s="55"/>
      <c r="L33" s="55"/>
      <c r="M33" s="53"/>
      <c r="N33" s="56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</row>
    <row r="34" spans="1:37" ht="13.8" x14ac:dyDescent="0.25">
      <c r="A34" s="46"/>
      <c r="B34" s="47"/>
      <c r="C34" s="48"/>
      <c r="D34" s="49"/>
      <c r="E34" s="50"/>
      <c r="F34" s="51"/>
      <c r="G34" s="52"/>
      <c r="H34" s="53"/>
      <c r="I34" s="54"/>
      <c r="J34" s="55"/>
      <c r="K34" s="55"/>
      <c r="L34" s="55"/>
      <c r="M34" s="53"/>
      <c r="N34" s="56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</row>
    <row r="35" spans="1:37" ht="13.8" x14ac:dyDescent="0.25">
      <c r="A35" s="46"/>
      <c r="B35" s="47"/>
      <c r="C35" s="48"/>
      <c r="D35" s="49"/>
      <c r="E35" s="50"/>
      <c r="F35" s="51"/>
      <c r="G35" s="52"/>
      <c r="H35" s="53"/>
      <c r="I35" s="54"/>
      <c r="J35" s="55"/>
      <c r="K35" s="55"/>
      <c r="L35" s="55"/>
      <c r="M35" s="53"/>
      <c r="N35" s="56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</row>
    <row r="36" spans="1:37" ht="13.8" x14ac:dyDescent="0.25">
      <c r="A36" s="46"/>
      <c r="B36" s="47"/>
      <c r="C36" s="48"/>
      <c r="D36" s="49"/>
      <c r="E36" s="50"/>
      <c r="F36" s="51"/>
      <c r="G36" s="52"/>
      <c r="H36" s="53"/>
      <c r="I36" s="54"/>
      <c r="J36" s="55"/>
      <c r="K36" s="55"/>
      <c r="L36" s="55"/>
      <c r="M36" s="53"/>
      <c r="N36" s="56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</row>
    <row r="37" spans="1:37" ht="13.8" x14ac:dyDescent="0.25">
      <c r="A37" s="46"/>
      <c r="B37" s="47"/>
      <c r="C37" s="48"/>
      <c r="D37" s="49"/>
      <c r="E37" s="50"/>
      <c r="F37" s="51"/>
      <c r="G37" s="52"/>
      <c r="H37" s="53"/>
      <c r="I37" s="54"/>
      <c r="J37" s="55"/>
      <c r="K37" s="55"/>
      <c r="L37" s="55"/>
      <c r="M37" s="53"/>
      <c r="N37" s="56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</row>
    <row r="38" spans="1:37" ht="13.8" x14ac:dyDescent="0.25">
      <c r="A38" s="46"/>
      <c r="B38" s="47"/>
      <c r="C38" s="48"/>
      <c r="D38" s="49"/>
      <c r="E38" s="50"/>
      <c r="F38" s="51"/>
      <c r="G38" s="52"/>
      <c r="H38" s="53"/>
      <c r="I38" s="54"/>
      <c r="J38" s="55"/>
      <c r="K38" s="55"/>
      <c r="L38" s="55"/>
      <c r="M38" s="53"/>
      <c r="N38" s="56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</row>
    <row r="39" spans="1:37" ht="13.8" x14ac:dyDescent="0.25">
      <c r="A39" s="46"/>
      <c r="B39" s="47"/>
      <c r="C39" s="48"/>
      <c r="D39" s="49"/>
      <c r="E39" s="50"/>
      <c r="F39" s="51"/>
      <c r="G39" s="52"/>
      <c r="H39" s="53"/>
      <c r="I39" s="54"/>
      <c r="J39" s="55"/>
      <c r="K39" s="55"/>
      <c r="L39" s="55"/>
      <c r="M39" s="53"/>
      <c r="N39" s="56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</row>
    <row r="40" spans="1:37" ht="13.8" x14ac:dyDescent="0.25">
      <c r="A40" s="46"/>
      <c r="B40" s="47"/>
      <c r="C40" s="48"/>
      <c r="D40" s="49"/>
      <c r="E40" s="50"/>
      <c r="F40" s="51"/>
      <c r="G40" s="52"/>
      <c r="H40" s="53"/>
      <c r="I40" s="54"/>
      <c r="J40" s="55"/>
      <c r="K40" s="55"/>
      <c r="L40" s="55"/>
      <c r="M40" s="53"/>
      <c r="N40" s="56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</row>
    <row r="41" spans="1:37" ht="13.8" x14ac:dyDescent="0.25">
      <c r="A41" s="46"/>
      <c r="B41" s="47"/>
      <c r="C41" s="48"/>
      <c r="D41" s="49"/>
      <c r="E41" s="50"/>
      <c r="F41" s="51"/>
      <c r="G41" s="52"/>
      <c r="H41" s="53"/>
      <c r="I41" s="54"/>
      <c r="J41" s="55"/>
      <c r="K41" s="55"/>
      <c r="L41" s="55"/>
      <c r="M41" s="53"/>
      <c r="N41" s="56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</row>
    <row r="42" spans="1:37" ht="13.8" x14ac:dyDescent="0.25">
      <c r="A42" s="46"/>
      <c r="B42" s="47"/>
      <c r="C42" s="48"/>
      <c r="D42" s="49"/>
      <c r="E42" s="50"/>
      <c r="F42" s="51"/>
      <c r="G42" s="52"/>
      <c r="H42" s="53"/>
      <c r="I42" s="54"/>
      <c r="J42" s="55"/>
      <c r="K42" s="55"/>
      <c r="L42" s="55"/>
      <c r="M42" s="53"/>
      <c r="N42" s="56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</row>
    <row r="43" spans="1:37" ht="13.8" x14ac:dyDescent="0.25">
      <c r="A43" s="46"/>
      <c r="B43" s="47"/>
      <c r="C43" s="48"/>
      <c r="D43" s="49"/>
      <c r="E43" s="50"/>
      <c r="F43" s="51"/>
      <c r="G43" s="52"/>
      <c r="H43" s="53"/>
      <c r="I43" s="54"/>
      <c r="J43" s="55"/>
      <c r="K43" s="55"/>
      <c r="L43" s="55"/>
      <c r="M43" s="53"/>
      <c r="N43" s="56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</row>
    <row r="44" spans="1:37" ht="13.8" x14ac:dyDescent="0.25">
      <c r="A44" s="46"/>
      <c r="B44" s="47"/>
      <c r="C44" s="48"/>
      <c r="D44" s="49"/>
      <c r="E44" s="50"/>
      <c r="F44" s="51"/>
      <c r="G44" s="52"/>
      <c r="H44" s="53"/>
      <c r="I44" s="54"/>
      <c r="J44" s="55"/>
      <c r="K44" s="55"/>
      <c r="L44" s="55"/>
      <c r="M44" s="53"/>
      <c r="N44" s="56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</row>
    <row r="45" spans="1:37" ht="13.8" x14ac:dyDescent="0.25">
      <c r="A45" s="46"/>
      <c r="B45" s="47"/>
      <c r="C45" s="48"/>
      <c r="D45" s="49"/>
      <c r="E45" s="50"/>
      <c r="F45" s="51"/>
      <c r="G45" s="52"/>
      <c r="H45" s="53"/>
      <c r="I45" s="54"/>
      <c r="J45" s="55"/>
      <c r="K45" s="55"/>
      <c r="L45" s="55"/>
      <c r="M45" s="53"/>
      <c r="N45" s="56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</row>
    <row r="46" spans="1:37" ht="13.8" x14ac:dyDescent="0.25">
      <c r="A46" s="46"/>
      <c r="B46" s="47"/>
      <c r="C46" s="48"/>
      <c r="D46" s="49"/>
      <c r="E46" s="50"/>
      <c r="F46" s="51"/>
      <c r="G46" s="52"/>
      <c r="H46" s="53"/>
      <c r="I46" s="54"/>
      <c r="J46" s="55"/>
      <c r="K46" s="55"/>
      <c r="L46" s="55"/>
      <c r="M46" s="53"/>
      <c r="N46" s="56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</row>
    <row r="47" spans="1:37" ht="13.8" x14ac:dyDescent="0.25">
      <c r="A47" s="46"/>
      <c r="B47" s="47"/>
      <c r="C47" s="48"/>
      <c r="D47" s="49"/>
      <c r="E47" s="50"/>
      <c r="F47" s="51"/>
      <c r="G47" s="52"/>
      <c r="H47" s="53"/>
      <c r="I47" s="54"/>
      <c r="J47" s="55"/>
      <c r="K47" s="55"/>
      <c r="L47" s="55"/>
      <c r="M47" s="53"/>
      <c r="N47" s="56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</row>
    <row r="48" spans="1:37" ht="13.8" x14ac:dyDescent="0.25">
      <c r="A48" s="46"/>
      <c r="B48" s="47"/>
      <c r="C48" s="48"/>
      <c r="D48" s="49"/>
      <c r="E48" s="50"/>
      <c r="F48" s="51"/>
      <c r="G48" s="52"/>
      <c r="H48" s="53"/>
      <c r="I48" s="54"/>
      <c r="J48" s="55"/>
      <c r="K48" s="55"/>
      <c r="L48" s="55"/>
      <c r="M48" s="53"/>
      <c r="N48" s="56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</row>
    <row r="49" spans="1:37" ht="13.8" x14ac:dyDescent="0.25">
      <c r="A49" s="46"/>
      <c r="B49" s="47"/>
      <c r="C49" s="48"/>
      <c r="D49" s="49"/>
      <c r="E49" s="50"/>
      <c r="F49" s="51"/>
      <c r="G49" s="52"/>
      <c r="H49" s="53"/>
      <c r="I49" s="54"/>
      <c r="J49" s="55"/>
      <c r="K49" s="55"/>
      <c r="L49" s="55"/>
      <c r="M49" s="53"/>
      <c r="N49" s="56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</row>
    <row r="50" spans="1:37" ht="13.8" x14ac:dyDescent="0.25">
      <c r="A50" s="46"/>
      <c r="B50" s="47"/>
      <c r="C50" s="48"/>
      <c r="D50" s="49"/>
      <c r="E50" s="50"/>
      <c r="F50" s="51"/>
      <c r="G50" s="52"/>
      <c r="H50" s="53"/>
      <c r="I50" s="54"/>
      <c r="J50" s="55"/>
      <c r="K50" s="55"/>
      <c r="L50" s="55"/>
      <c r="M50" s="53"/>
      <c r="N50" s="56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</row>
    <row r="51" spans="1:37" ht="13.8" x14ac:dyDescent="0.25">
      <c r="A51" s="46"/>
      <c r="B51" s="47"/>
      <c r="C51" s="48"/>
      <c r="D51" s="49"/>
      <c r="E51" s="50"/>
      <c r="F51" s="51"/>
      <c r="G51" s="52"/>
      <c r="H51" s="53"/>
      <c r="I51" s="54"/>
      <c r="J51" s="55"/>
      <c r="K51" s="55"/>
      <c r="L51" s="55"/>
      <c r="M51" s="53"/>
      <c r="N51" s="56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</row>
    <row r="52" spans="1:37" ht="13.8" x14ac:dyDescent="0.25">
      <c r="A52" s="46"/>
      <c r="B52" s="47"/>
      <c r="C52" s="48"/>
      <c r="D52" s="49"/>
      <c r="E52" s="50"/>
      <c r="F52" s="51"/>
      <c r="G52" s="52"/>
      <c r="H52" s="53"/>
      <c r="I52" s="54"/>
      <c r="J52" s="55"/>
      <c r="K52" s="55"/>
      <c r="L52" s="55"/>
      <c r="M52" s="53"/>
      <c r="N52" s="56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</row>
    <row r="53" spans="1:37" ht="13.8" x14ac:dyDescent="0.25">
      <c r="A53" s="46"/>
      <c r="B53" s="47"/>
      <c r="C53" s="48"/>
      <c r="D53" s="49"/>
      <c r="E53" s="50"/>
      <c r="F53" s="51"/>
      <c r="G53" s="52"/>
      <c r="H53" s="53"/>
      <c r="I53" s="54"/>
      <c r="J53" s="55"/>
      <c r="K53" s="55"/>
      <c r="L53" s="55"/>
      <c r="M53" s="53"/>
      <c r="N53" s="56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</row>
    <row r="54" spans="1:37" ht="13.8" x14ac:dyDescent="0.25">
      <c r="A54" s="46"/>
      <c r="B54" s="47"/>
      <c r="C54" s="48"/>
      <c r="D54" s="49"/>
      <c r="E54" s="50"/>
      <c r="F54" s="51"/>
      <c r="G54" s="52"/>
      <c r="H54" s="53"/>
      <c r="I54" s="54"/>
      <c r="J54" s="55"/>
      <c r="K54" s="55"/>
      <c r="L54" s="55"/>
      <c r="M54" s="53"/>
      <c r="N54" s="56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</row>
    <row r="55" spans="1:37" ht="13.8" x14ac:dyDescent="0.25">
      <c r="A55" s="46"/>
      <c r="B55" s="47"/>
      <c r="C55" s="48"/>
      <c r="D55" s="49"/>
      <c r="E55" s="50"/>
      <c r="F55" s="51"/>
      <c r="G55" s="52"/>
      <c r="H55" s="53"/>
      <c r="I55" s="54"/>
      <c r="J55" s="55"/>
      <c r="K55" s="55"/>
      <c r="L55" s="55"/>
      <c r="M55" s="53"/>
      <c r="N55" s="56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</row>
    <row r="56" spans="1:37" ht="13.8" x14ac:dyDescent="0.25">
      <c r="A56" s="46"/>
      <c r="B56" s="47"/>
      <c r="C56" s="48"/>
      <c r="D56" s="49"/>
      <c r="E56" s="50"/>
      <c r="F56" s="51"/>
      <c r="G56" s="52"/>
      <c r="H56" s="53"/>
      <c r="I56" s="54"/>
      <c r="J56" s="55"/>
      <c r="K56" s="55"/>
      <c r="L56" s="55"/>
      <c r="M56" s="53"/>
      <c r="N56" s="56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</row>
    <row r="57" spans="1:37" ht="13.8" x14ac:dyDescent="0.25">
      <c r="A57" s="46"/>
      <c r="B57" s="47"/>
      <c r="C57" s="48"/>
      <c r="D57" s="49"/>
      <c r="E57" s="50"/>
      <c r="F57" s="51"/>
      <c r="G57" s="52"/>
      <c r="H57" s="53"/>
      <c r="I57" s="54"/>
      <c r="J57" s="55"/>
      <c r="K57" s="55"/>
      <c r="L57" s="55"/>
      <c r="M57" s="53"/>
      <c r="N57" s="56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</row>
    <row r="58" spans="1:37" ht="13.8" x14ac:dyDescent="0.25">
      <c r="A58" s="46"/>
      <c r="B58" s="47"/>
      <c r="C58" s="48"/>
      <c r="D58" s="49"/>
      <c r="E58" s="50"/>
      <c r="F58" s="51"/>
      <c r="G58" s="52"/>
      <c r="H58" s="53"/>
      <c r="I58" s="54"/>
      <c r="J58" s="55"/>
      <c r="K58" s="55"/>
      <c r="L58" s="55"/>
      <c r="M58" s="53"/>
      <c r="N58" s="56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</row>
    <row r="59" spans="1:37" ht="13.8" x14ac:dyDescent="0.25">
      <c r="A59" s="46"/>
      <c r="B59" s="47"/>
      <c r="C59" s="48"/>
      <c r="D59" s="49"/>
      <c r="E59" s="50"/>
      <c r="F59" s="51"/>
      <c r="G59" s="52"/>
      <c r="H59" s="53"/>
      <c r="I59" s="54"/>
      <c r="J59" s="55"/>
      <c r="K59" s="55"/>
      <c r="L59" s="55"/>
      <c r="M59" s="53"/>
      <c r="N59" s="56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</row>
    <row r="60" spans="1:37" ht="13.8" x14ac:dyDescent="0.25">
      <c r="A60" s="46"/>
      <c r="B60" s="47"/>
      <c r="C60" s="48"/>
      <c r="D60" s="49"/>
      <c r="E60" s="50"/>
      <c r="F60" s="51"/>
      <c r="G60" s="52"/>
      <c r="H60" s="53"/>
      <c r="I60" s="54"/>
      <c r="J60" s="55"/>
      <c r="K60" s="55"/>
      <c r="L60" s="55"/>
      <c r="M60" s="53"/>
      <c r="N60" s="56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</row>
    <row r="61" spans="1:37" ht="13.8" x14ac:dyDescent="0.25">
      <c r="A61" s="46"/>
      <c r="B61" s="47"/>
      <c r="C61" s="48"/>
      <c r="D61" s="49"/>
      <c r="E61" s="50"/>
      <c r="F61" s="51"/>
      <c r="G61" s="52"/>
      <c r="H61" s="53"/>
      <c r="I61" s="54"/>
      <c r="J61" s="55"/>
      <c r="K61" s="55"/>
      <c r="L61" s="55"/>
      <c r="M61" s="53"/>
      <c r="N61" s="56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</row>
    <row r="62" spans="1:37" ht="13.8" x14ac:dyDescent="0.25">
      <c r="A62" s="46"/>
      <c r="B62" s="47"/>
      <c r="C62" s="48"/>
      <c r="D62" s="49"/>
      <c r="E62" s="50"/>
      <c r="F62" s="51"/>
      <c r="G62" s="52"/>
      <c r="H62" s="53"/>
      <c r="I62" s="54"/>
      <c r="J62" s="55"/>
      <c r="K62" s="55"/>
      <c r="L62" s="55"/>
      <c r="M62" s="53"/>
      <c r="N62" s="56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</row>
    <row r="63" spans="1:37" ht="13.8" x14ac:dyDescent="0.25">
      <c r="A63" s="46"/>
      <c r="B63" s="47"/>
      <c r="C63" s="48"/>
      <c r="D63" s="49"/>
      <c r="E63" s="50"/>
      <c r="F63" s="51"/>
      <c r="G63" s="52"/>
      <c r="H63" s="53"/>
      <c r="I63" s="54"/>
      <c r="J63" s="55"/>
      <c r="K63" s="55"/>
      <c r="L63" s="55"/>
      <c r="M63" s="53"/>
      <c r="N63" s="56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</row>
    <row r="64" spans="1:37" ht="13.8" x14ac:dyDescent="0.25">
      <c r="A64" s="46"/>
      <c r="B64" s="47"/>
      <c r="C64" s="48"/>
      <c r="D64" s="49"/>
      <c r="E64" s="50"/>
      <c r="F64" s="51"/>
      <c r="G64" s="52"/>
      <c r="H64" s="53"/>
      <c r="I64" s="54"/>
      <c r="J64" s="55"/>
      <c r="K64" s="55"/>
      <c r="L64" s="55"/>
      <c r="M64" s="53"/>
      <c r="N64" s="56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</row>
    <row r="65" spans="1:37" ht="13.8" x14ac:dyDescent="0.25">
      <c r="A65" s="46"/>
      <c r="B65" s="47"/>
      <c r="C65" s="48"/>
      <c r="D65" s="49"/>
      <c r="E65" s="50"/>
      <c r="F65" s="51"/>
      <c r="G65" s="52"/>
      <c r="H65" s="53"/>
      <c r="I65" s="54"/>
      <c r="J65" s="55"/>
      <c r="K65" s="55"/>
      <c r="L65" s="55"/>
      <c r="M65" s="53"/>
      <c r="N65" s="56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</row>
    <row r="66" spans="1:37" ht="13.8" x14ac:dyDescent="0.25">
      <c r="A66" s="46"/>
      <c r="B66" s="47"/>
      <c r="C66" s="48"/>
      <c r="D66" s="49"/>
      <c r="E66" s="50"/>
      <c r="F66" s="51"/>
      <c r="G66" s="52"/>
      <c r="H66" s="53"/>
      <c r="I66" s="54"/>
      <c r="J66" s="55"/>
      <c r="K66" s="55"/>
      <c r="L66" s="55"/>
      <c r="M66" s="53"/>
      <c r="N66" s="56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</row>
    <row r="67" spans="1:37" ht="13.8" x14ac:dyDescent="0.25">
      <c r="A67" s="46"/>
      <c r="B67" s="47"/>
      <c r="C67" s="48"/>
      <c r="D67" s="49"/>
      <c r="E67" s="50"/>
      <c r="F67" s="51"/>
      <c r="G67" s="52"/>
      <c r="H67" s="53"/>
      <c r="I67" s="54"/>
      <c r="J67" s="55"/>
      <c r="K67" s="55"/>
      <c r="L67" s="55"/>
      <c r="M67" s="53"/>
      <c r="N67" s="56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</row>
    <row r="68" spans="1:37" ht="13.8" x14ac:dyDescent="0.25">
      <c r="A68" s="46"/>
      <c r="B68" s="47"/>
      <c r="C68" s="48"/>
      <c r="D68" s="49"/>
      <c r="E68" s="50"/>
      <c r="F68" s="51"/>
      <c r="G68" s="52"/>
      <c r="H68" s="53"/>
      <c r="I68" s="54"/>
      <c r="J68" s="55"/>
      <c r="K68" s="55"/>
      <c r="L68" s="55"/>
      <c r="M68" s="53"/>
      <c r="N68" s="56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</row>
    <row r="69" spans="1:37" ht="13.8" x14ac:dyDescent="0.25">
      <c r="A69" s="46"/>
      <c r="B69" s="47"/>
      <c r="C69" s="48"/>
      <c r="D69" s="49"/>
      <c r="E69" s="50"/>
      <c r="F69" s="51"/>
      <c r="G69" s="52"/>
      <c r="H69" s="53"/>
      <c r="I69" s="54"/>
      <c r="J69" s="55"/>
      <c r="K69" s="55"/>
      <c r="L69" s="55"/>
      <c r="M69" s="53"/>
      <c r="N69" s="56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</row>
    <row r="70" spans="1:37" ht="13.8" x14ac:dyDescent="0.25">
      <c r="A70" s="46"/>
      <c r="B70" s="47"/>
      <c r="C70" s="48"/>
      <c r="D70" s="49"/>
      <c r="E70" s="50"/>
      <c r="F70" s="51"/>
      <c r="G70" s="52"/>
      <c r="H70" s="53"/>
      <c r="I70" s="54"/>
      <c r="J70" s="55"/>
      <c r="K70" s="55"/>
      <c r="L70" s="55"/>
      <c r="M70" s="53"/>
      <c r="N70" s="56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</row>
    <row r="71" spans="1:37" ht="13.8" x14ac:dyDescent="0.25">
      <c r="A71" s="46"/>
      <c r="B71" s="47"/>
      <c r="C71" s="48"/>
      <c r="D71" s="49"/>
      <c r="E71" s="50"/>
      <c r="F71" s="51"/>
      <c r="G71" s="52"/>
      <c r="H71" s="53"/>
      <c r="I71" s="54"/>
      <c r="J71" s="55"/>
      <c r="K71" s="55"/>
      <c r="L71" s="55"/>
      <c r="M71" s="53"/>
      <c r="N71" s="56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</row>
    <row r="72" spans="1:37" ht="13.8" x14ac:dyDescent="0.25">
      <c r="A72" s="46"/>
      <c r="B72" s="47"/>
      <c r="C72" s="48"/>
      <c r="D72" s="49"/>
      <c r="E72" s="50"/>
      <c r="F72" s="51"/>
      <c r="G72" s="52"/>
      <c r="H72" s="53"/>
      <c r="I72" s="54"/>
      <c r="J72" s="55"/>
      <c r="K72" s="55"/>
      <c r="L72" s="55"/>
      <c r="M72" s="53"/>
      <c r="N72" s="56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</row>
    <row r="73" spans="1:37" ht="13.8" x14ac:dyDescent="0.25">
      <c r="A73" s="46"/>
      <c r="B73" s="47"/>
      <c r="C73" s="48"/>
      <c r="D73" s="49"/>
      <c r="E73" s="50"/>
      <c r="F73" s="51"/>
      <c r="G73" s="52"/>
      <c r="H73" s="53"/>
      <c r="I73" s="54"/>
      <c r="J73" s="55"/>
      <c r="K73" s="55"/>
      <c r="L73" s="55"/>
      <c r="M73" s="53"/>
      <c r="N73" s="56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</row>
    <row r="74" spans="1:37" ht="13.8" x14ac:dyDescent="0.25">
      <c r="A74" s="46"/>
      <c r="B74" s="47"/>
      <c r="C74" s="48"/>
      <c r="D74" s="49"/>
      <c r="E74" s="50"/>
      <c r="F74" s="51"/>
      <c r="G74" s="52"/>
      <c r="H74" s="53"/>
      <c r="I74" s="54"/>
      <c r="J74" s="55"/>
      <c r="K74" s="55"/>
      <c r="L74" s="55"/>
      <c r="M74" s="53"/>
      <c r="N74" s="56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</row>
    <row r="75" spans="1:37" ht="13.8" x14ac:dyDescent="0.25">
      <c r="A75" s="46"/>
      <c r="B75" s="47"/>
      <c r="C75" s="48"/>
      <c r="D75" s="49"/>
      <c r="E75" s="50"/>
      <c r="F75" s="51"/>
      <c r="G75" s="52"/>
      <c r="H75" s="53"/>
      <c r="I75" s="54"/>
      <c r="J75" s="55"/>
      <c r="K75" s="55"/>
      <c r="L75" s="55"/>
      <c r="M75" s="53"/>
      <c r="N75" s="56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</row>
    <row r="76" spans="1:37" ht="13.8" x14ac:dyDescent="0.25">
      <c r="A76" s="46"/>
      <c r="B76" s="47"/>
      <c r="C76" s="48"/>
      <c r="D76" s="49"/>
      <c r="E76" s="50"/>
      <c r="F76" s="51"/>
      <c r="G76" s="52"/>
      <c r="H76" s="53"/>
      <c r="I76" s="54"/>
      <c r="J76" s="55"/>
      <c r="K76" s="55"/>
      <c r="L76" s="55"/>
      <c r="M76" s="53"/>
      <c r="N76" s="56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</row>
    <row r="77" spans="1:37" ht="13.8" x14ac:dyDescent="0.25">
      <c r="A77" s="46"/>
      <c r="B77" s="47"/>
      <c r="C77" s="48"/>
      <c r="D77" s="49"/>
      <c r="E77" s="50"/>
      <c r="F77" s="51"/>
      <c r="G77" s="52"/>
      <c r="H77" s="53"/>
      <c r="I77" s="54"/>
      <c r="J77" s="55"/>
      <c r="K77" s="55"/>
      <c r="L77" s="55"/>
      <c r="M77" s="53"/>
      <c r="N77" s="56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</row>
    <row r="78" spans="1:37" ht="13.8" x14ac:dyDescent="0.25">
      <c r="A78" s="46"/>
      <c r="B78" s="47"/>
      <c r="C78" s="48"/>
      <c r="D78" s="49"/>
      <c r="E78" s="50"/>
      <c r="F78" s="51"/>
      <c r="G78" s="52"/>
      <c r="H78" s="53"/>
      <c r="I78" s="54"/>
      <c r="J78" s="55"/>
      <c r="K78" s="55"/>
      <c r="L78" s="55"/>
      <c r="M78" s="53"/>
      <c r="N78" s="56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</row>
    <row r="79" spans="1:37" ht="13.8" x14ac:dyDescent="0.25">
      <c r="A79" s="46"/>
      <c r="B79" s="47"/>
      <c r="C79" s="48"/>
      <c r="D79" s="49"/>
      <c r="E79" s="50"/>
      <c r="F79" s="51"/>
      <c r="G79" s="52"/>
      <c r="H79" s="53"/>
      <c r="I79" s="54"/>
      <c r="J79" s="55"/>
      <c r="K79" s="55"/>
      <c r="L79" s="55"/>
      <c r="M79" s="53"/>
      <c r="N79" s="56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</row>
    <row r="80" spans="1:37" ht="13.8" x14ac:dyDescent="0.25">
      <c r="A80" s="46"/>
      <c r="B80" s="47"/>
      <c r="C80" s="48"/>
      <c r="D80" s="49"/>
      <c r="E80" s="50"/>
      <c r="F80" s="51"/>
      <c r="G80" s="52"/>
      <c r="H80" s="53"/>
      <c r="I80" s="54"/>
      <c r="J80" s="55"/>
      <c r="K80" s="55"/>
      <c r="L80" s="55"/>
      <c r="M80" s="53"/>
      <c r="N80" s="56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</row>
    <row r="81" spans="1:37" ht="13.8" x14ac:dyDescent="0.25">
      <c r="A81" s="46"/>
      <c r="B81" s="47"/>
      <c r="C81" s="48"/>
      <c r="D81" s="49"/>
      <c r="E81" s="50"/>
      <c r="F81" s="51"/>
      <c r="G81" s="52"/>
      <c r="H81" s="53"/>
      <c r="I81" s="54"/>
      <c r="J81" s="55"/>
      <c r="K81" s="55"/>
      <c r="L81" s="55"/>
      <c r="M81" s="53"/>
      <c r="N81" s="56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</row>
    <row r="82" spans="1:37" ht="13.8" x14ac:dyDescent="0.25">
      <c r="A82" s="46"/>
      <c r="B82" s="47"/>
      <c r="C82" s="48"/>
      <c r="D82" s="49"/>
      <c r="E82" s="50"/>
      <c r="F82" s="51"/>
      <c r="G82" s="52"/>
      <c r="H82" s="53"/>
      <c r="I82" s="54"/>
      <c r="J82" s="55"/>
      <c r="K82" s="55"/>
      <c r="L82" s="55"/>
      <c r="M82" s="53"/>
      <c r="N82" s="56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</row>
    <row r="83" spans="1:37" ht="13.8" x14ac:dyDescent="0.25">
      <c r="A83" s="46"/>
      <c r="B83" s="47"/>
      <c r="C83" s="48"/>
      <c r="D83" s="49"/>
      <c r="E83" s="50"/>
      <c r="F83" s="51"/>
      <c r="G83" s="52"/>
      <c r="H83" s="53"/>
      <c r="I83" s="54"/>
      <c r="J83" s="55"/>
      <c r="K83" s="55"/>
      <c r="L83" s="55"/>
      <c r="M83" s="53"/>
      <c r="N83" s="56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</row>
    <row r="84" spans="1:37" ht="13.8" x14ac:dyDescent="0.25">
      <c r="A84" s="46"/>
      <c r="B84" s="47"/>
      <c r="C84" s="48"/>
      <c r="D84" s="49"/>
      <c r="E84" s="50"/>
      <c r="F84" s="51"/>
      <c r="G84" s="52"/>
      <c r="H84" s="53"/>
      <c r="I84" s="54"/>
      <c r="J84" s="55"/>
      <c r="K84" s="55"/>
      <c r="L84" s="55"/>
      <c r="M84" s="53"/>
      <c r="N84" s="56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</row>
    <row r="85" spans="1:37" ht="13.8" x14ac:dyDescent="0.25">
      <c r="A85" s="46"/>
      <c r="B85" s="47"/>
      <c r="C85" s="48"/>
      <c r="D85" s="49"/>
      <c r="E85" s="50"/>
      <c r="F85" s="51"/>
      <c r="G85" s="52"/>
      <c r="H85" s="53"/>
      <c r="I85" s="54"/>
      <c r="J85" s="55"/>
      <c r="K85" s="55"/>
      <c r="L85" s="55"/>
      <c r="M85" s="53"/>
      <c r="N85" s="56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</row>
    <row r="86" spans="1:37" ht="13.8" x14ac:dyDescent="0.25">
      <c r="A86" s="46"/>
      <c r="B86" s="47"/>
      <c r="C86" s="48"/>
      <c r="D86" s="49"/>
      <c r="E86" s="50"/>
      <c r="F86" s="51"/>
      <c r="G86" s="52"/>
      <c r="H86" s="53"/>
      <c r="I86" s="54"/>
      <c r="J86" s="55"/>
      <c r="K86" s="55"/>
      <c r="L86" s="55"/>
      <c r="M86" s="53"/>
      <c r="N86" s="56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</row>
    <row r="87" spans="1:37" ht="13.8" x14ac:dyDescent="0.25">
      <c r="A87" s="46"/>
      <c r="B87" s="47"/>
      <c r="C87" s="48"/>
      <c r="D87" s="49"/>
      <c r="E87" s="50"/>
      <c r="F87" s="51"/>
      <c r="G87" s="52"/>
      <c r="H87" s="53"/>
      <c r="I87" s="54"/>
      <c r="J87" s="55"/>
      <c r="K87" s="55"/>
      <c r="L87" s="55"/>
      <c r="M87" s="53"/>
      <c r="N87" s="56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</row>
    <row r="88" spans="1:37" ht="13.8" x14ac:dyDescent="0.25">
      <c r="A88" s="46"/>
      <c r="B88" s="47"/>
      <c r="C88" s="48"/>
      <c r="D88" s="49"/>
      <c r="E88" s="50"/>
      <c r="F88" s="51"/>
      <c r="G88" s="52"/>
      <c r="H88" s="53"/>
      <c r="I88" s="54"/>
      <c r="J88" s="55"/>
      <c r="K88" s="55"/>
      <c r="L88" s="55"/>
      <c r="M88" s="53"/>
      <c r="N88" s="56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</row>
    <row r="89" spans="1:37" ht="13.8" x14ac:dyDescent="0.25">
      <c r="A89" s="46"/>
      <c r="B89" s="47"/>
      <c r="C89" s="48"/>
      <c r="D89" s="49"/>
      <c r="E89" s="50"/>
      <c r="F89" s="51"/>
      <c r="G89" s="52"/>
      <c r="H89" s="53"/>
      <c r="I89" s="54"/>
      <c r="J89" s="55"/>
      <c r="K89" s="55"/>
      <c r="L89" s="55"/>
      <c r="M89" s="53"/>
      <c r="N89" s="56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</row>
    <row r="90" spans="1:37" ht="13.8" x14ac:dyDescent="0.25">
      <c r="A90" s="46"/>
      <c r="B90" s="47"/>
      <c r="C90" s="48"/>
      <c r="D90" s="49"/>
      <c r="E90" s="50"/>
      <c r="F90" s="51"/>
      <c r="G90" s="52"/>
      <c r="H90" s="53"/>
      <c r="I90" s="54"/>
      <c r="J90" s="55"/>
      <c r="K90" s="55"/>
      <c r="L90" s="55"/>
      <c r="M90" s="53"/>
      <c r="N90" s="56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</row>
    <row r="91" spans="1:37" ht="13.8" x14ac:dyDescent="0.25">
      <c r="A91" s="46"/>
      <c r="B91" s="47"/>
      <c r="C91" s="48"/>
      <c r="D91" s="49"/>
      <c r="E91" s="50"/>
      <c r="F91" s="51"/>
      <c r="G91" s="52"/>
      <c r="H91" s="53"/>
      <c r="I91" s="54"/>
      <c r="J91" s="55"/>
      <c r="K91" s="55"/>
      <c r="L91" s="55"/>
      <c r="M91" s="53"/>
      <c r="N91" s="56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</row>
    <row r="92" spans="1:37" ht="13.8" x14ac:dyDescent="0.25">
      <c r="A92" s="46"/>
      <c r="B92" s="47"/>
      <c r="C92" s="48"/>
      <c r="D92" s="49"/>
      <c r="E92" s="50"/>
      <c r="F92" s="51"/>
      <c r="G92" s="52"/>
      <c r="H92" s="53"/>
      <c r="I92" s="54"/>
      <c r="J92" s="55"/>
      <c r="K92" s="55"/>
      <c r="L92" s="55"/>
      <c r="M92" s="53"/>
      <c r="N92" s="56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</row>
    <row r="93" spans="1:37" ht="13.8" x14ac:dyDescent="0.25">
      <c r="A93" s="46"/>
      <c r="B93" s="47"/>
      <c r="C93" s="48"/>
      <c r="D93" s="49"/>
      <c r="E93" s="50"/>
      <c r="F93" s="51"/>
      <c r="G93" s="52"/>
      <c r="H93" s="53"/>
      <c r="I93" s="54"/>
      <c r="J93" s="55"/>
      <c r="K93" s="55"/>
      <c r="L93" s="55"/>
      <c r="M93" s="53"/>
      <c r="N93" s="56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</row>
    <row r="94" spans="1:37" ht="13.8" x14ac:dyDescent="0.25">
      <c r="A94" s="46"/>
      <c r="B94" s="47"/>
      <c r="C94" s="48"/>
      <c r="D94" s="49"/>
      <c r="E94" s="50"/>
      <c r="F94" s="51"/>
      <c r="G94" s="52"/>
      <c r="H94" s="53"/>
      <c r="I94" s="54"/>
      <c r="J94" s="55"/>
      <c r="K94" s="55"/>
      <c r="L94" s="55"/>
      <c r="M94" s="53"/>
      <c r="N94" s="56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</row>
    <row r="95" spans="1:37" ht="13.8" x14ac:dyDescent="0.25">
      <c r="A95" s="46"/>
      <c r="B95" s="47"/>
      <c r="C95" s="48"/>
      <c r="D95" s="49"/>
      <c r="E95" s="50"/>
      <c r="F95" s="51"/>
      <c r="G95" s="52"/>
      <c r="H95" s="53"/>
      <c r="I95" s="54"/>
      <c r="J95" s="55"/>
      <c r="K95" s="55"/>
      <c r="L95" s="55"/>
      <c r="M95" s="53"/>
      <c r="N95" s="56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</row>
    <row r="96" spans="1:37" ht="13.8" x14ac:dyDescent="0.25">
      <c r="A96" s="46"/>
      <c r="B96" s="47"/>
      <c r="C96" s="48"/>
      <c r="D96" s="49"/>
      <c r="E96" s="50"/>
      <c r="F96" s="51"/>
      <c r="G96" s="52"/>
      <c r="H96" s="53"/>
      <c r="I96" s="54"/>
      <c r="J96" s="55"/>
      <c r="K96" s="55"/>
      <c r="L96" s="55"/>
      <c r="M96" s="53"/>
      <c r="N96" s="56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</row>
    <row r="97" spans="1:37" ht="13.8" x14ac:dyDescent="0.25">
      <c r="A97" s="46"/>
      <c r="B97" s="47"/>
      <c r="C97" s="48"/>
      <c r="D97" s="49"/>
      <c r="E97" s="50"/>
      <c r="F97" s="51"/>
      <c r="G97" s="52"/>
      <c r="H97" s="53"/>
      <c r="I97" s="54"/>
      <c r="J97" s="55"/>
      <c r="K97" s="55"/>
      <c r="L97" s="55"/>
      <c r="M97" s="53"/>
      <c r="N97" s="56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</row>
    <row r="98" spans="1:37" ht="13.8" x14ac:dyDescent="0.25">
      <c r="A98" s="46"/>
      <c r="B98" s="47"/>
      <c r="C98" s="48"/>
      <c r="D98" s="49"/>
      <c r="E98" s="50"/>
      <c r="F98" s="51"/>
      <c r="G98" s="52"/>
      <c r="H98" s="53"/>
      <c r="I98" s="54"/>
      <c r="J98" s="55"/>
      <c r="K98" s="55"/>
      <c r="L98" s="55"/>
      <c r="M98" s="53"/>
      <c r="N98" s="56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</row>
    <row r="99" spans="1:37" ht="13.8" x14ac:dyDescent="0.25">
      <c r="A99" s="46"/>
      <c r="B99" s="47"/>
      <c r="C99" s="48"/>
      <c r="D99" s="49"/>
      <c r="E99" s="50"/>
      <c r="F99" s="51"/>
      <c r="G99" s="52"/>
      <c r="H99" s="53"/>
      <c r="I99" s="54"/>
      <c r="J99" s="55"/>
      <c r="K99" s="55"/>
      <c r="L99" s="55"/>
      <c r="M99" s="53"/>
      <c r="N99" s="56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</row>
    <row r="100" spans="1:37" ht="13.8" x14ac:dyDescent="0.25">
      <c r="A100" s="46"/>
      <c r="B100" s="47"/>
      <c r="C100" s="48"/>
      <c r="D100" s="49"/>
      <c r="E100" s="50"/>
      <c r="F100" s="51"/>
      <c r="G100" s="52"/>
      <c r="H100" s="53"/>
      <c r="I100" s="54"/>
      <c r="J100" s="55"/>
      <c r="K100" s="55"/>
      <c r="L100" s="55"/>
      <c r="M100" s="53"/>
      <c r="N100" s="56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</row>
    <row r="101" spans="1:37" ht="13.8" x14ac:dyDescent="0.25">
      <c r="A101" s="46"/>
      <c r="B101" s="47"/>
      <c r="C101" s="48"/>
      <c r="D101" s="49"/>
      <c r="E101" s="50"/>
      <c r="F101" s="51"/>
      <c r="G101" s="52"/>
      <c r="H101" s="53"/>
      <c r="I101" s="54"/>
      <c r="J101" s="55"/>
      <c r="K101" s="55"/>
      <c r="L101" s="55"/>
      <c r="M101" s="53"/>
      <c r="N101" s="56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</row>
    <row r="102" spans="1:37" ht="13.8" x14ac:dyDescent="0.25">
      <c r="A102" s="46"/>
      <c r="B102" s="47"/>
      <c r="C102" s="48"/>
      <c r="D102" s="49"/>
      <c r="E102" s="50"/>
      <c r="F102" s="51"/>
      <c r="G102" s="52"/>
      <c r="H102" s="53"/>
      <c r="I102" s="54"/>
      <c r="J102" s="55"/>
      <c r="K102" s="55"/>
      <c r="L102" s="55"/>
      <c r="M102" s="53"/>
      <c r="N102" s="56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</row>
    <row r="103" spans="1:37" ht="13.8" x14ac:dyDescent="0.25">
      <c r="A103" s="46"/>
      <c r="B103" s="47"/>
      <c r="C103" s="48"/>
      <c r="D103" s="49"/>
      <c r="E103" s="50"/>
      <c r="F103" s="51"/>
      <c r="G103" s="52"/>
      <c r="H103" s="53"/>
      <c r="I103" s="54"/>
      <c r="J103" s="55"/>
      <c r="K103" s="55"/>
      <c r="L103" s="55"/>
      <c r="M103" s="53"/>
      <c r="N103" s="56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</row>
    <row r="104" spans="1:37" ht="13.8" x14ac:dyDescent="0.25">
      <c r="A104" s="46"/>
      <c r="B104" s="47"/>
      <c r="C104" s="48"/>
      <c r="D104" s="49"/>
      <c r="E104" s="50"/>
      <c r="F104" s="51"/>
      <c r="G104" s="52"/>
      <c r="H104" s="53"/>
      <c r="I104" s="54"/>
      <c r="J104" s="55"/>
      <c r="K104" s="55"/>
      <c r="L104" s="55"/>
      <c r="M104" s="53"/>
      <c r="N104" s="56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</row>
    <row r="105" spans="1:37" ht="13.8" x14ac:dyDescent="0.25">
      <c r="A105" s="46"/>
      <c r="B105" s="47"/>
      <c r="C105" s="48"/>
      <c r="D105" s="49"/>
      <c r="E105" s="50"/>
      <c r="F105" s="51"/>
      <c r="G105" s="52"/>
      <c r="H105" s="53"/>
      <c r="I105" s="54"/>
      <c r="J105" s="55"/>
      <c r="K105" s="55"/>
      <c r="L105" s="55"/>
      <c r="M105" s="53"/>
      <c r="N105" s="56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</row>
    <row r="106" spans="1:37" ht="13.8" x14ac:dyDescent="0.25">
      <c r="A106" s="46"/>
      <c r="B106" s="47"/>
      <c r="C106" s="48"/>
      <c r="D106" s="49"/>
      <c r="E106" s="50"/>
      <c r="F106" s="51"/>
      <c r="G106" s="52"/>
      <c r="H106" s="53"/>
      <c r="I106" s="54"/>
      <c r="J106" s="55"/>
      <c r="K106" s="55"/>
      <c r="L106" s="55"/>
      <c r="M106" s="53"/>
      <c r="N106" s="56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</row>
    <row r="107" spans="1:37" ht="13.8" x14ac:dyDescent="0.25">
      <c r="A107" s="46"/>
      <c r="B107" s="47"/>
      <c r="C107" s="48"/>
      <c r="D107" s="49"/>
      <c r="E107" s="50"/>
      <c r="F107" s="51"/>
      <c r="G107" s="52"/>
      <c r="H107" s="53"/>
      <c r="I107" s="54"/>
      <c r="J107" s="55"/>
      <c r="K107" s="55"/>
      <c r="L107" s="55"/>
      <c r="M107" s="53"/>
      <c r="N107" s="56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</row>
    <row r="108" spans="1:37" ht="13.8" x14ac:dyDescent="0.25">
      <c r="A108" s="46"/>
      <c r="B108" s="47"/>
      <c r="C108" s="48"/>
      <c r="D108" s="49"/>
      <c r="E108" s="50"/>
      <c r="F108" s="51"/>
      <c r="G108" s="52"/>
      <c r="H108" s="53"/>
      <c r="I108" s="54"/>
      <c r="J108" s="55"/>
      <c r="K108" s="55"/>
      <c r="L108" s="55"/>
      <c r="M108" s="53"/>
      <c r="N108" s="56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</row>
    <row r="109" spans="1:37" ht="13.8" x14ac:dyDescent="0.25">
      <c r="A109" s="46"/>
      <c r="B109" s="47"/>
      <c r="C109" s="48"/>
      <c r="D109" s="49"/>
      <c r="E109" s="50"/>
      <c r="F109" s="51"/>
      <c r="G109" s="52"/>
      <c r="H109" s="53"/>
      <c r="I109" s="54"/>
      <c r="J109" s="55"/>
      <c r="K109" s="55"/>
      <c r="L109" s="55"/>
      <c r="M109" s="53"/>
      <c r="N109" s="56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</row>
    <row r="110" spans="1:37" ht="13.8" x14ac:dyDescent="0.25">
      <c r="A110" s="46"/>
      <c r="B110" s="47"/>
      <c r="C110" s="48"/>
      <c r="D110" s="49"/>
      <c r="E110" s="50"/>
      <c r="F110" s="51"/>
      <c r="G110" s="52"/>
      <c r="H110" s="53"/>
      <c r="I110" s="54"/>
      <c r="J110" s="55"/>
      <c r="K110" s="55"/>
      <c r="L110" s="55"/>
      <c r="M110" s="53"/>
      <c r="N110" s="56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</row>
    <row r="111" spans="1:37" ht="13.8" x14ac:dyDescent="0.25">
      <c r="A111" s="46"/>
      <c r="B111" s="47"/>
      <c r="C111" s="48"/>
      <c r="D111" s="49"/>
      <c r="E111" s="50"/>
      <c r="F111" s="51"/>
      <c r="G111" s="52"/>
      <c r="H111" s="53"/>
      <c r="I111" s="54"/>
      <c r="J111" s="55"/>
      <c r="K111" s="55"/>
      <c r="L111" s="55"/>
      <c r="M111" s="53"/>
      <c r="N111" s="56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</row>
    <row r="112" spans="1:37" ht="13.8" x14ac:dyDescent="0.25">
      <c r="A112" s="46"/>
      <c r="B112" s="47"/>
      <c r="C112" s="48"/>
      <c r="D112" s="49"/>
      <c r="E112" s="50"/>
      <c r="F112" s="51"/>
      <c r="G112" s="52"/>
      <c r="H112" s="53"/>
      <c r="I112" s="54"/>
      <c r="J112" s="55"/>
      <c r="K112" s="55"/>
      <c r="L112" s="55"/>
      <c r="M112" s="53"/>
      <c r="N112" s="56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</row>
    <row r="113" spans="1:37" ht="13.8" x14ac:dyDescent="0.25">
      <c r="A113" s="46"/>
      <c r="B113" s="47"/>
      <c r="C113" s="48"/>
      <c r="D113" s="49"/>
      <c r="E113" s="50"/>
      <c r="F113" s="51"/>
      <c r="G113" s="52"/>
      <c r="H113" s="53"/>
      <c r="I113" s="54"/>
      <c r="J113" s="55"/>
      <c r="K113" s="55"/>
      <c r="L113" s="55"/>
      <c r="M113" s="53"/>
      <c r="N113" s="56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</row>
    <row r="114" spans="1:37" ht="13.8" x14ac:dyDescent="0.25">
      <c r="A114" s="46"/>
      <c r="B114" s="47"/>
      <c r="C114" s="48"/>
      <c r="D114" s="49"/>
      <c r="E114" s="50"/>
      <c r="F114" s="51"/>
      <c r="G114" s="52"/>
      <c r="H114" s="53"/>
      <c r="I114" s="54"/>
      <c r="J114" s="55"/>
      <c r="K114" s="55"/>
      <c r="L114" s="55"/>
      <c r="M114" s="53"/>
      <c r="N114" s="56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</row>
    <row r="115" spans="1:37" ht="13.8" x14ac:dyDescent="0.25">
      <c r="A115" s="46"/>
      <c r="B115" s="47"/>
      <c r="C115" s="48"/>
      <c r="D115" s="49"/>
      <c r="E115" s="50"/>
      <c r="F115" s="51"/>
      <c r="G115" s="52"/>
      <c r="H115" s="53"/>
      <c r="I115" s="54"/>
      <c r="J115" s="55"/>
      <c r="K115" s="55"/>
      <c r="L115" s="55"/>
      <c r="M115" s="53"/>
      <c r="N115" s="56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</row>
    <row r="116" spans="1:37" ht="13.8" x14ac:dyDescent="0.25">
      <c r="A116" s="46"/>
      <c r="B116" s="47"/>
      <c r="C116" s="48"/>
      <c r="D116" s="49"/>
      <c r="E116" s="50"/>
      <c r="F116" s="51"/>
      <c r="G116" s="52"/>
      <c r="H116" s="53"/>
      <c r="I116" s="54"/>
      <c r="J116" s="55"/>
      <c r="K116" s="55"/>
      <c r="L116" s="55"/>
      <c r="M116" s="53"/>
      <c r="N116" s="56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</row>
    <row r="117" spans="1:37" ht="13.8" x14ac:dyDescent="0.25">
      <c r="A117" s="46"/>
      <c r="B117" s="47"/>
      <c r="C117" s="48"/>
      <c r="D117" s="49"/>
      <c r="E117" s="50"/>
      <c r="F117" s="51"/>
      <c r="G117" s="52"/>
      <c r="H117" s="53"/>
      <c r="I117" s="54"/>
      <c r="J117" s="55"/>
      <c r="K117" s="55"/>
      <c r="L117" s="55"/>
      <c r="M117" s="53"/>
      <c r="N117" s="56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</row>
    <row r="118" spans="1:37" ht="13.8" x14ac:dyDescent="0.25">
      <c r="A118" s="46"/>
      <c r="B118" s="47"/>
      <c r="C118" s="48"/>
      <c r="D118" s="49"/>
      <c r="E118" s="50"/>
      <c r="F118" s="51"/>
      <c r="G118" s="52"/>
      <c r="H118" s="53"/>
      <c r="I118" s="54"/>
      <c r="J118" s="55"/>
      <c r="K118" s="55"/>
      <c r="L118" s="55"/>
      <c r="M118" s="53"/>
      <c r="N118" s="56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</row>
    <row r="119" spans="1:37" ht="13.8" x14ac:dyDescent="0.25">
      <c r="A119" s="46"/>
      <c r="B119" s="47"/>
      <c r="C119" s="48"/>
      <c r="D119" s="49"/>
      <c r="E119" s="50"/>
      <c r="F119" s="51"/>
      <c r="G119" s="52"/>
      <c r="H119" s="53"/>
      <c r="I119" s="54"/>
      <c r="J119" s="55"/>
      <c r="K119" s="55"/>
      <c r="L119" s="55"/>
      <c r="M119" s="53"/>
      <c r="N119" s="56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</row>
    <row r="120" spans="1:37" ht="13.8" x14ac:dyDescent="0.25">
      <c r="A120" s="46"/>
      <c r="B120" s="47"/>
      <c r="C120" s="48"/>
      <c r="D120" s="49"/>
      <c r="E120" s="50"/>
      <c r="F120" s="51"/>
      <c r="G120" s="52"/>
      <c r="H120" s="53"/>
      <c r="I120" s="54"/>
      <c r="J120" s="55"/>
      <c r="K120" s="55"/>
      <c r="L120" s="55"/>
      <c r="M120" s="53"/>
      <c r="N120" s="56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</row>
    <row r="121" spans="1:37" ht="13.8" x14ac:dyDescent="0.25">
      <c r="A121" s="46"/>
      <c r="B121" s="47"/>
      <c r="C121" s="48"/>
      <c r="D121" s="49"/>
      <c r="E121" s="50"/>
      <c r="F121" s="51"/>
      <c r="G121" s="52"/>
      <c r="H121" s="53"/>
      <c r="I121" s="54"/>
      <c r="J121" s="55"/>
      <c r="K121" s="55"/>
      <c r="L121" s="55"/>
      <c r="M121" s="53"/>
      <c r="N121" s="56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</row>
    <row r="122" spans="1:37" ht="13.8" x14ac:dyDescent="0.25">
      <c r="A122" s="46"/>
      <c r="B122" s="47"/>
      <c r="C122" s="48"/>
      <c r="D122" s="49"/>
      <c r="E122" s="50"/>
      <c r="F122" s="51"/>
      <c r="G122" s="52"/>
      <c r="H122" s="53"/>
      <c r="I122" s="54"/>
      <c r="J122" s="55"/>
      <c r="K122" s="55"/>
      <c r="L122" s="55"/>
      <c r="M122" s="53"/>
      <c r="N122" s="56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</row>
    <row r="123" spans="1:37" ht="13.8" x14ac:dyDescent="0.25">
      <c r="A123" s="46"/>
      <c r="B123" s="47"/>
      <c r="C123" s="48"/>
      <c r="D123" s="49"/>
      <c r="E123" s="50"/>
      <c r="F123" s="51"/>
      <c r="G123" s="52"/>
      <c r="H123" s="53"/>
      <c r="I123" s="54"/>
      <c r="J123" s="55"/>
      <c r="K123" s="55"/>
      <c r="L123" s="55"/>
      <c r="M123" s="53"/>
      <c r="N123" s="56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</row>
    <row r="124" spans="1:37" ht="13.8" x14ac:dyDescent="0.25">
      <c r="A124" s="46"/>
      <c r="B124" s="47"/>
      <c r="C124" s="48"/>
      <c r="D124" s="49"/>
      <c r="E124" s="50"/>
      <c r="F124" s="51"/>
      <c r="G124" s="52"/>
      <c r="H124" s="53"/>
      <c r="I124" s="54"/>
      <c r="J124" s="55"/>
      <c r="K124" s="55"/>
      <c r="L124" s="55"/>
      <c r="M124" s="53"/>
      <c r="N124" s="56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</row>
    <row r="125" spans="1:37" ht="13.8" x14ac:dyDescent="0.25">
      <c r="A125" s="46"/>
      <c r="B125" s="47"/>
      <c r="C125" s="48"/>
      <c r="D125" s="49"/>
      <c r="E125" s="50"/>
      <c r="F125" s="51"/>
      <c r="G125" s="52"/>
      <c r="H125" s="53"/>
      <c r="I125" s="54"/>
      <c r="J125" s="55"/>
      <c r="K125" s="55"/>
      <c r="L125" s="55"/>
      <c r="M125" s="53"/>
      <c r="N125" s="56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</row>
    <row r="126" spans="1:37" ht="13.8" x14ac:dyDescent="0.25">
      <c r="A126" s="46"/>
      <c r="B126" s="47"/>
      <c r="C126" s="48"/>
      <c r="D126" s="49"/>
      <c r="E126" s="50"/>
      <c r="F126" s="51"/>
      <c r="G126" s="52"/>
      <c r="H126" s="53"/>
      <c r="I126" s="54"/>
      <c r="J126" s="55"/>
      <c r="K126" s="55"/>
      <c r="L126" s="55"/>
      <c r="M126" s="53"/>
      <c r="N126" s="56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</row>
    <row r="127" spans="1:37" ht="13.8" x14ac:dyDescent="0.25">
      <c r="A127" s="46"/>
      <c r="B127" s="47"/>
      <c r="C127" s="48"/>
      <c r="D127" s="49"/>
      <c r="E127" s="50"/>
      <c r="F127" s="51"/>
      <c r="G127" s="52"/>
      <c r="H127" s="53"/>
      <c r="I127" s="54"/>
      <c r="J127" s="55"/>
      <c r="K127" s="55"/>
      <c r="L127" s="55"/>
      <c r="M127" s="53"/>
      <c r="N127" s="56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</row>
    <row r="128" spans="1:37" ht="13.8" x14ac:dyDescent="0.25">
      <c r="A128" s="46"/>
      <c r="B128" s="47"/>
      <c r="C128" s="48"/>
      <c r="D128" s="49"/>
      <c r="E128" s="50"/>
      <c r="F128" s="51"/>
      <c r="G128" s="52"/>
      <c r="H128" s="53"/>
      <c r="I128" s="54"/>
      <c r="J128" s="55"/>
      <c r="K128" s="55"/>
      <c r="L128" s="55"/>
      <c r="M128" s="53"/>
      <c r="N128" s="56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</row>
    <row r="129" spans="1:37" ht="13.8" x14ac:dyDescent="0.25">
      <c r="A129" s="46"/>
      <c r="B129" s="47"/>
      <c r="C129" s="48"/>
      <c r="D129" s="49"/>
      <c r="E129" s="50"/>
      <c r="F129" s="51"/>
      <c r="G129" s="52"/>
      <c r="H129" s="53"/>
      <c r="I129" s="54"/>
      <c r="J129" s="55"/>
      <c r="K129" s="55"/>
      <c r="L129" s="55"/>
      <c r="M129" s="53"/>
      <c r="N129" s="56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</row>
    <row r="130" spans="1:37" ht="13.8" x14ac:dyDescent="0.25">
      <c r="A130" s="46"/>
      <c r="B130" s="47"/>
      <c r="C130" s="48"/>
      <c r="D130" s="49"/>
      <c r="E130" s="50"/>
      <c r="F130" s="51"/>
      <c r="G130" s="52"/>
      <c r="H130" s="53"/>
      <c r="I130" s="54"/>
      <c r="J130" s="55"/>
      <c r="K130" s="55"/>
      <c r="L130" s="55"/>
      <c r="M130" s="53"/>
      <c r="N130" s="56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</row>
    <row r="131" spans="1:37" ht="13.8" x14ac:dyDescent="0.25">
      <c r="A131" s="46"/>
      <c r="B131" s="47"/>
      <c r="C131" s="48"/>
      <c r="D131" s="49"/>
      <c r="E131" s="50"/>
      <c r="F131" s="51"/>
      <c r="G131" s="52"/>
      <c r="H131" s="53"/>
      <c r="I131" s="54"/>
      <c r="J131" s="55"/>
      <c r="K131" s="55"/>
      <c r="L131" s="55"/>
      <c r="M131" s="53"/>
      <c r="N131" s="56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</row>
    <row r="132" spans="1:37" ht="13.8" x14ac:dyDescent="0.25">
      <c r="A132" s="46"/>
      <c r="B132" s="47"/>
      <c r="C132" s="48"/>
      <c r="D132" s="49"/>
      <c r="E132" s="50"/>
      <c r="F132" s="51"/>
      <c r="G132" s="52"/>
      <c r="H132" s="53"/>
      <c r="I132" s="54"/>
      <c r="J132" s="55"/>
      <c r="K132" s="55"/>
      <c r="L132" s="55"/>
      <c r="M132" s="53"/>
      <c r="N132" s="56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</row>
    <row r="133" spans="1:37" ht="13.8" x14ac:dyDescent="0.25">
      <c r="A133" s="46"/>
      <c r="B133" s="47"/>
      <c r="C133" s="48"/>
      <c r="D133" s="49"/>
      <c r="E133" s="50"/>
      <c r="F133" s="51"/>
      <c r="G133" s="52"/>
      <c r="H133" s="53"/>
      <c r="I133" s="54"/>
      <c r="J133" s="55"/>
      <c r="K133" s="55"/>
      <c r="L133" s="55"/>
      <c r="M133" s="53"/>
      <c r="N133" s="56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</row>
    <row r="134" spans="1:37" ht="13.8" x14ac:dyDescent="0.25">
      <c r="A134" s="46"/>
      <c r="B134" s="47"/>
      <c r="C134" s="48"/>
      <c r="D134" s="49"/>
      <c r="E134" s="50"/>
      <c r="F134" s="51"/>
      <c r="G134" s="52"/>
      <c r="H134" s="53"/>
      <c r="I134" s="54"/>
      <c r="J134" s="55"/>
      <c r="K134" s="55"/>
      <c r="L134" s="55"/>
      <c r="M134" s="53"/>
      <c r="N134" s="56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</row>
    <row r="135" spans="1:37" ht="13.8" x14ac:dyDescent="0.25">
      <c r="A135" s="46"/>
      <c r="B135" s="47"/>
      <c r="C135" s="48"/>
      <c r="D135" s="49"/>
      <c r="E135" s="50"/>
      <c r="F135" s="51"/>
      <c r="G135" s="52"/>
      <c r="H135" s="53"/>
      <c r="I135" s="54"/>
      <c r="J135" s="55"/>
      <c r="K135" s="55"/>
      <c r="L135" s="55"/>
      <c r="M135" s="53"/>
      <c r="N135" s="56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</row>
    <row r="136" spans="1:37" ht="13.8" x14ac:dyDescent="0.25">
      <c r="A136" s="46"/>
      <c r="B136" s="47"/>
      <c r="C136" s="48"/>
      <c r="D136" s="49"/>
      <c r="E136" s="50"/>
      <c r="F136" s="51"/>
      <c r="G136" s="52"/>
      <c r="H136" s="53"/>
      <c r="I136" s="54"/>
      <c r="J136" s="55"/>
      <c r="K136" s="55"/>
      <c r="L136" s="55"/>
      <c r="M136" s="53"/>
      <c r="N136" s="56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</row>
    <row r="137" spans="1:37" ht="13.8" x14ac:dyDescent="0.25">
      <c r="A137" s="46"/>
      <c r="B137" s="47"/>
      <c r="C137" s="48"/>
      <c r="D137" s="49"/>
      <c r="E137" s="50"/>
      <c r="F137" s="51"/>
      <c r="G137" s="52"/>
      <c r="H137" s="53"/>
      <c r="I137" s="54"/>
      <c r="J137" s="55"/>
      <c r="K137" s="55"/>
      <c r="L137" s="55"/>
      <c r="M137" s="53"/>
      <c r="N137" s="56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</row>
    <row r="138" spans="1:37" ht="13.8" x14ac:dyDescent="0.25">
      <c r="A138" s="46"/>
      <c r="B138" s="47"/>
      <c r="C138" s="48"/>
      <c r="D138" s="49"/>
      <c r="E138" s="50"/>
      <c r="F138" s="51"/>
      <c r="G138" s="52"/>
      <c r="H138" s="53"/>
      <c r="I138" s="54"/>
      <c r="J138" s="55"/>
      <c r="K138" s="55"/>
      <c r="L138" s="55"/>
      <c r="M138" s="53"/>
      <c r="N138" s="56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</row>
    <row r="139" spans="1:37" ht="13.8" x14ac:dyDescent="0.25">
      <c r="A139" s="46"/>
      <c r="B139" s="47"/>
      <c r="C139" s="48"/>
      <c r="D139" s="49"/>
      <c r="E139" s="50"/>
      <c r="F139" s="51"/>
      <c r="G139" s="52"/>
      <c r="H139" s="53"/>
      <c r="I139" s="54"/>
      <c r="J139" s="55"/>
      <c r="K139" s="55"/>
      <c r="L139" s="55"/>
      <c r="M139" s="53"/>
      <c r="N139" s="56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</row>
    <row r="140" spans="1:37" ht="13.8" x14ac:dyDescent="0.25">
      <c r="A140" s="46"/>
      <c r="B140" s="47"/>
      <c r="C140" s="48"/>
      <c r="D140" s="49"/>
      <c r="E140" s="50"/>
      <c r="F140" s="51"/>
      <c r="G140" s="52"/>
      <c r="H140" s="53"/>
      <c r="I140" s="54"/>
      <c r="J140" s="55"/>
      <c r="K140" s="55"/>
      <c r="L140" s="55"/>
      <c r="M140" s="53"/>
      <c r="N140" s="56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</row>
    <row r="141" spans="1:37" ht="13.8" x14ac:dyDescent="0.25">
      <c r="A141" s="46"/>
      <c r="B141" s="47"/>
      <c r="C141" s="48"/>
      <c r="D141" s="49"/>
      <c r="E141" s="50"/>
      <c r="F141" s="51"/>
      <c r="G141" s="52"/>
      <c r="H141" s="53"/>
      <c r="I141" s="54"/>
      <c r="J141" s="55"/>
      <c r="K141" s="55"/>
      <c r="L141" s="55"/>
      <c r="M141" s="53"/>
      <c r="N141" s="56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</row>
    <row r="142" spans="1:37" ht="13.8" x14ac:dyDescent="0.25">
      <c r="A142" s="46"/>
      <c r="B142" s="47"/>
      <c r="C142" s="48"/>
      <c r="D142" s="49"/>
      <c r="E142" s="50"/>
      <c r="F142" s="51"/>
      <c r="G142" s="52"/>
      <c r="H142" s="53"/>
      <c r="I142" s="54"/>
      <c r="J142" s="55"/>
      <c r="K142" s="55"/>
      <c r="L142" s="55"/>
      <c r="M142" s="53"/>
      <c r="N142" s="56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</row>
    <row r="143" spans="1:37" ht="13.8" x14ac:dyDescent="0.25">
      <c r="A143" s="46"/>
      <c r="B143" s="47"/>
      <c r="C143" s="48"/>
      <c r="D143" s="49"/>
      <c r="E143" s="50"/>
      <c r="F143" s="51"/>
      <c r="G143" s="52"/>
      <c r="H143" s="53"/>
      <c r="I143" s="54"/>
      <c r="J143" s="55"/>
      <c r="K143" s="55"/>
      <c r="L143" s="55"/>
      <c r="M143" s="53"/>
      <c r="N143" s="56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</row>
    <row r="144" spans="1:37" ht="13.8" x14ac:dyDescent="0.25">
      <c r="A144" s="46"/>
      <c r="B144" s="47"/>
      <c r="C144" s="48"/>
      <c r="D144" s="49"/>
      <c r="E144" s="50"/>
      <c r="F144" s="51"/>
      <c r="G144" s="52"/>
      <c r="H144" s="53"/>
      <c r="I144" s="54"/>
      <c r="J144" s="55"/>
      <c r="K144" s="55"/>
      <c r="L144" s="55"/>
      <c r="M144" s="53"/>
      <c r="N144" s="56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</row>
    <row r="145" spans="1:37" ht="13.8" x14ac:dyDescent="0.25">
      <c r="A145" s="46"/>
      <c r="B145" s="47"/>
      <c r="C145" s="48"/>
      <c r="D145" s="49"/>
      <c r="E145" s="50"/>
      <c r="F145" s="51"/>
      <c r="G145" s="52"/>
      <c r="H145" s="53"/>
      <c r="I145" s="54"/>
      <c r="J145" s="55"/>
      <c r="K145" s="55"/>
      <c r="L145" s="55"/>
      <c r="M145" s="53"/>
      <c r="N145" s="56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</row>
    <row r="146" spans="1:37" ht="13.8" x14ac:dyDescent="0.25">
      <c r="A146" s="46"/>
      <c r="B146" s="47"/>
      <c r="C146" s="48"/>
      <c r="D146" s="49"/>
      <c r="E146" s="50"/>
      <c r="F146" s="51"/>
      <c r="G146" s="52"/>
      <c r="H146" s="53"/>
      <c r="I146" s="54"/>
      <c r="J146" s="55"/>
      <c r="K146" s="55"/>
      <c r="L146" s="55"/>
      <c r="M146" s="53"/>
      <c r="N146" s="56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</row>
    <row r="147" spans="1:37" ht="13.8" x14ac:dyDescent="0.25">
      <c r="A147" s="46"/>
      <c r="B147" s="47"/>
      <c r="C147" s="48"/>
      <c r="D147" s="49"/>
      <c r="E147" s="50"/>
      <c r="F147" s="51"/>
      <c r="G147" s="52"/>
      <c r="H147" s="53"/>
      <c r="I147" s="54"/>
      <c r="J147" s="55"/>
      <c r="K147" s="55"/>
      <c r="L147" s="55"/>
      <c r="M147" s="53"/>
      <c r="N147" s="56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</row>
    <row r="148" spans="1:37" ht="13.8" x14ac:dyDescent="0.25">
      <c r="A148" s="46"/>
      <c r="B148" s="47"/>
      <c r="C148" s="48"/>
      <c r="D148" s="49"/>
      <c r="E148" s="50"/>
      <c r="F148" s="51"/>
      <c r="G148" s="52"/>
      <c r="H148" s="53"/>
      <c r="I148" s="54"/>
      <c r="J148" s="55"/>
      <c r="K148" s="55"/>
      <c r="L148" s="55"/>
      <c r="M148" s="53"/>
      <c r="N148" s="56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</row>
    <row r="149" spans="1:37" ht="13.8" x14ac:dyDescent="0.25">
      <c r="A149" s="46"/>
      <c r="B149" s="47"/>
      <c r="C149" s="48"/>
      <c r="D149" s="49"/>
      <c r="E149" s="50"/>
      <c r="F149" s="51"/>
      <c r="G149" s="52"/>
      <c r="H149" s="53"/>
      <c r="I149" s="54"/>
      <c r="J149" s="55"/>
      <c r="K149" s="55"/>
      <c r="L149" s="55"/>
      <c r="M149" s="53"/>
      <c r="N149" s="56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</row>
    <row r="150" spans="1:37" ht="13.8" x14ac:dyDescent="0.25">
      <c r="A150" s="46"/>
      <c r="B150" s="47"/>
      <c r="C150" s="48"/>
      <c r="D150" s="49"/>
      <c r="E150" s="50"/>
      <c r="F150" s="51"/>
      <c r="G150" s="52"/>
      <c r="H150" s="53"/>
      <c r="I150" s="54"/>
      <c r="J150" s="55"/>
      <c r="K150" s="55"/>
      <c r="L150" s="55"/>
      <c r="M150" s="53"/>
      <c r="N150" s="56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</row>
    <row r="151" spans="1:37" ht="13.8" x14ac:dyDescent="0.25">
      <c r="A151" s="46"/>
      <c r="B151" s="47"/>
      <c r="C151" s="48"/>
      <c r="D151" s="49"/>
      <c r="E151" s="50"/>
      <c r="F151" s="51"/>
      <c r="G151" s="52"/>
      <c r="H151" s="53"/>
      <c r="I151" s="54"/>
      <c r="J151" s="55"/>
      <c r="K151" s="55"/>
      <c r="L151" s="55"/>
      <c r="M151" s="53"/>
      <c r="N151" s="56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</row>
    <row r="152" spans="1:37" ht="13.8" x14ac:dyDescent="0.25">
      <c r="A152" s="46"/>
      <c r="B152" s="47"/>
      <c r="C152" s="48"/>
      <c r="D152" s="49"/>
      <c r="E152" s="50"/>
      <c r="F152" s="51"/>
      <c r="G152" s="52"/>
      <c r="H152" s="53"/>
      <c r="I152" s="54"/>
      <c r="J152" s="55"/>
      <c r="K152" s="55"/>
      <c r="L152" s="55"/>
      <c r="M152" s="53"/>
      <c r="N152" s="56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</row>
    <row r="153" spans="1:37" ht="13.8" x14ac:dyDescent="0.25">
      <c r="A153" s="46"/>
      <c r="B153" s="47"/>
      <c r="C153" s="48"/>
      <c r="D153" s="49"/>
      <c r="E153" s="50"/>
      <c r="F153" s="51"/>
      <c r="G153" s="52"/>
      <c r="H153" s="53"/>
      <c r="I153" s="54"/>
      <c r="J153" s="55"/>
      <c r="K153" s="55"/>
      <c r="L153" s="55"/>
      <c r="M153" s="53"/>
      <c r="N153" s="56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</row>
    <row r="154" spans="1:37" ht="13.8" x14ac:dyDescent="0.25">
      <c r="A154" s="46"/>
      <c r="B154" s="47"/>
      <c r="C154" s="48"/>
      <c r="D154" s="49"/>
      <c r="E154" s="50"/>
      <c r="F154" s="51"/>
      <c r="G154" s="52"/>
      <c r="H154" s="53"/>
      <c r="I154" s="54"/>
      <c r="J154" s="55"/>
      <c r="K154" s="55"/>
      <c r="L154" s="55"/>
      <c r="M154" s="53"/>
      <c r="N154" s="56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</row>
    <row r="155" spans="1:37" ht="13.8" x14ac:dyDescent="0.25">
      <c r="A155" s="46"/>
      <c r="B155" s="47"/>
      <c r="C155" s="48"/>
      <c r="D155" s="49"/>
      <c r="E155" s="50"/>
      <c r="F155" s="51"/>
      <c r="G155" s="52"/>
      <c r="H155" s="53"/>
      <c r="I155" s="54"/>
      <c r="J155" s="55"/>
      <c r="K155" s="55"/>
      <c r="L155" s="55"/>
      <c r="M155" s="53"/>
      <c r="N155" s="56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</row>
    <row r="156" spans="1:37" ht="13.8" x14ac:dyDescent="0.25">
      <c r="A156" s="46"/>
      <c r="B156" s="47"/>
      <c r="C156" s="48"/>
      <c r="D156" s="49"/>
      <c r="E156" s="50"/>
      <c r="F156" s="51"/>
      <c r="G156" s="52"/>
      <c r="H156" s="53"/>
      <c r="I156" s="54"/>
      <c r="J156" s="55"/>
      <c r="K156" s="55"/>
      <c r="L156" s="55"/>
      <c r="M156" s="53"/>
      <c r="N156" s="56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</row>
    <row r="157" spans="1:37" ht="13.8" x14ac:dyDescent="0.25">
      <c r="A157" s="46"/>
      <c r="B157" s="47"/>
      <c r="C157" s="48"/>
      <c r="D157" s="49"/>
      <c r="E157" s="50"/>
      <c r="F157" s="51"/>
      <c r="G157" s="52"/>
      <c r="H157" s="53"/>
      <c r="I157" s="54"/>
      <c r="J157" s="55"/>
      <c r="K157" s="55"/>
      <c r="L157" s="55"/>
      <c r="M157" s="53"/>
      <c r="N157" s="56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</row>
    <row r="158" spans="1:37" ht="13.8" x14ac:dyDescent="0.25">
      <c r="A158" s="46"/>
      <c r="B158" s="47"/>
      <c r="C158" s="48"/>
      <c r="D158" s="49"/>
      <c r="E158" s="50"/>
      <c r="F158" s="51"/>
      <c r="G158" s="52"/>
      <c r="H158" s="53"/>
      <c r="I158" s="54"/>
      <c r="J158" s="55"/>
      <c r="K158" s="55"/>
      <c r="L158" s="55"/>
      <c r="M158" s="53"/>
      <c r="N158" s="56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</row>
    <row r="159" spans="1:37" ht="13.8" x14ac:dyDescent="0.25">
      <c r="A159" s="46"/>
      <c r="B159" s="47"/>
      <c r="C159" s="48"/>
      <c r="D159" s="49"/>
      <c r="E159" s="50"/>
      <c r="F159" s="51"/>
      <c r="G159" s="52"/>
      <c r="H159" s="53"/>
      <c r="I159" s="54"/>
      <c r="J159" s="55"/>
      <c r="K159" s="55"/>
      <c r="L159" s="55"/>
      <c r="M159" s="53"/>
      <c r="N159" s="56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</row>
    <row r="160" spans="1:37" ht="13.8" x14ac:dyDescent="0.25">
      <c r="A160" s="46"/>
      <c r="B160" s="47"/>
      <c r="C160" s="48"/>
      <c r="D160" s="49"/>
      <c r="E160" s="50"/>
      <c r="F160" s="51"/>
      <c r="G160" s="52"/>
      <c r="H160" s="53"/>
      <c r="I160" s="54"/>
      <c r="J160" s="55"/>
      <c r="K160" s="55"/>
      <c r="L160" s="55"/>
      <c r="M160" s="53"/>
      <c r="N160" s="56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</row>
    <row r="161" spans="1:37" ht="13.8" x14ac:dyDescent="0.25">
      <c r="A161" s="46"/>
      <c r="B161" s="47"/>
      <c r="C161" s="48"/>
      <c r="D161" s="49"/>
      <c r="E161" s="50"/>
      <c r="F161" s="51"/>
      <c r="G161" s="52"/>
      <c r="H161" s="53"/>
      <c r="I161" s="54"/>
      <c r="J161" s="55"/>
      <c r="K161" s="55"/>
      <c r="L161" s="55"/>
      <c r="M161" s="53"/>
      <c r="N161" s="56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</row>
    <row r="162" spans="1:37" ht="13.8" x14ac:dyDescent="0.25">
      <c r="A162" s="46"/>
      <c r="B162" s="47"/>
      <c r="C162" s="48"/>
      <c r="D162" s="49"/>
      <c r="E162" s="50"/>
      <c r="F162" s="51"/>
      <c r="G162" s="52"/>
      <c r="H162" s="53"/>
      <c r="I162" s="54"/>
      <c r="J162" s="55"/>
      <c r="K162" s="55"/>
      <c r="L162" s="55"/>
      <c r="M162" s="53"/>
      <c r="N162" s="56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</row>
    <row r="163" spans="1:37" ht="13.8" x14ac:dyDescent="0.25">
      <c r="A163" s="46"/>
      <c r="B163" s="47"/>
      <c r="C163" s="48"/>
      <c r="D163" s="49"/>
      <c r="E163" s="50"/>
      <c r="F163" s="51"/>
      <c r="G163" s="52"/>
      <c r="H163" s="53"/>
      <c r="I163" s="54"/>
      <c r="J163" s="55"/>
      <c r="K163" s="55"/>
      <c r="L163" s="55"/>
      <c r="M163" s="53"/>
      <c r="N163" s="56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</row>
    <row r="164" spans="1:37" ht="13.8" x14ac:dyDescent="0.25">
      <c r="A164" s="46"/>
      <c r="B164" s="47"/>
      <c r="C164" s="48"/>
      <c r="D164" s="49"/>
      <c r="E164" s="50"/>
      <c r="F164" s="51"/>
      <c r="G164" s="52"/>
      <c r="H164" s="53"/>
      <c r="I164" s="54"/>
      <c r="J164" s="55"/>
      <c r="K164" s="55"/>
      <c r="L164" s="55"/>
      <c r="M164" s="53"/>
      <c r="N164" s="56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</row>
    <row r="165" spans="1:37" ht="13.8" x14ac:dyDescent="0.25">
      <c r="A165" s="46"/>
      <c r="B165" s="47"/>
      <c r="C165" s="48"/>
      <c r="D165" s="49"/>
      <c r="E165" s="50"/>
      <c r="F165" s="51"/>
      <c r="G165" s="52"/>
      <c r="H165" s="53"/>
      <c r="I165" s="54"/>
      <c r="J165" s="55"/>
      <c r="K165" s="55"/>
      <c r="L165" s="55"/>
      <c r="M165" s="53"/>
      <c r="N165" s="56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</row>
    <row r="166" spans="1:37" ht="13.8" x14ac:dyDescent="0.25">
      <c r="A166" s="46"/>
      <c r="B166" s="47"/>
      <c r="C166" s="48"/>
      <c r="D166" s="49"/>
      <c r="E166" s="50"/>
      <c r="F166" s="51"/>
      <c r="G166" s="52"/>
      <c r="H166" s="53"/>
      <c r="I166" s="54"/>
      <c r="J166" s="55"/>
      <c r="K166" s="55"/>
      <c r="L166" s="55"/>
      <c r="M166" s="53"/>
      <c r="N166" s="56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</row>
    <row r="167" spans="1:37" ht="13.8" x14ac:dyDescent="0.25">
      <c r="A167" s="46"/>
      <c r="B167" s="47"/>
      <c r="C167" s="48"/>
      <c r="D167" s="49"/>
      <c r="E167" s="50"/>
      <c r="F167" s="51"/>
      <c r="G167" s="52"/>
      <c r="H167" s="53"/>
      <c r="I167" s="54"/>
      <c r="J167" s="55"/>
      <c r="K167" s="55"/>
      <c r="L167" s="55"/>
      <c r="M167" s="53"/>
      <c r="N167" s="56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</row>
    <row r="168" spans="1:37" ht="13.8" x14ac:dyDescent="0.25">
      <c r="A168" s="46"/>
      <c r="B168" s="47"/>
      <c r="C168" s="48"/>
      <c r="D168" s="49"/>
      <c r="E168" s="50"/>
      <c r="F168" s="51"/>
      <c r="G168" s="52"/>
      <c r="H168" s="53"/>
      <c r="I168" s="54"/>
      <c r="J168" s="55"/>
      <c r="K168" s="55"/>
      <c r="L168" s="55"/>
      <c r="M168" s="53"/>
      <c r="N168" s="56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</row>
    <row r="169" spans="1:37" ht="13.8" x14ac:dyDescent="0.25">
      <c r="A169" s="46"/>
      <c r="B169" s="47"/>
      <c r="C169" s="48"/>
      <c r="D169" s="49"/>
      <c r="E169" s="50"/>
      <c r="F169" s="51"/>
      <c r="G169" s="52"/>
      <c r="H169" s="53"/>
      <c r="I169" s="54"/>
      <c r="J169" s="55"/>
      <c r="K169" s="55"/>
      <c r="L169" s="55"/>
      <c r="M169" s="53"/>
      <c r="N169" s="56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</row>
    <row r="170" spans="1:37" ht="13.8" x14ac:dyDescent="0.25">
      <c r="A170" s="46"/>
      <c r="B170" s="47"/>
      <c r="C170" s="48"/>
      <c r="D170" s="49"/>
      <c r="E170" s="50"/>
      <c r="F170" s="51"/>
      <c r="G170" s="52"/>
      <c r="H170" s="53"/>
      <c r="I170" s="54"/>
      <c r="J170" s="55"/>
      <c r="K170" s="55"/>
      <c r="L170" s="55"/>
      <c r="M170" s="53"/>
      <c r="N170" s="56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</row>
    <row r="171" spans="1:37" ht="13.8" x14ac:dyDescent="0.25">
      <c r="A171" s="46"/>
      <c r="B171" s="47"/>
      <c r="C171" s="48"/>
      <c r="D171" s="49"/>
      <c r="E171" s="50"/>
      <c r="F171" s="51"/>
      <c r="G171" s="52"/>
      <c r="H171" s="53"/>
      <c r="I171" s="54"/>
      <c r="J171" s="55"/>
      <c r="K171" s="55"/>
      <c r="L171" s="55"/>
      <c r="M171" s="53"/>
      <c r="N171" s="56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</row>
    <row r="172" spans="1:37" ht="13.8" x14ac:dyDescent="0.25">
      <c r="A172" s="46"/>
      <c r="B172" s="47"/>
      <c r="C172" s="48"/>
      <c r="D172" s="49"/>
      <c r="E172" s="50"/>
      <c r="F172" s="51"/>
      <c r="G172" s="52"/>
      <c r="H172" s="53"/>
      <c r="I172" s="54"/>
      <c r="J172" s="55"/>
      <c r="K172" s="55"/>
      <c r="L172" s="55"/>
      <c r="M172" s="53"/>
      <c r="N172" s="56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</row>
    <row r="173" spans="1:37" ht="13.8" x14ac:dyDescent="0.25">
      <c r="A173" s="46"/>
      <c r="B173" s="47"/>
      <c r="C173" s="48"/>
      <c r="D173" s="49"/>
      <c r="E173" s="50"/>
      <c r="F173" s="51"/>
      <c r="G173" s="52"/>
      <c r="H173" s="53"/>
      <c r="I173" s="54"/>
      <c r="J173" s="55"/>
      <c r="K173" s="55"/>
      <c r="L173" s="55"/>
      <c r="M173" s="53"/>
      <c r="N173" s="56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</row>
    <row r="174" spans="1:37" ht="13.8" x14ac:dyDescent="0.25">
      <c r="A174" s="46"/>
      <c r="B174" s="47"/>
      <c r="C174" s="48"/>
      <c r="D174" s="49"/>
      <c r="E174" s="50"/>
      <c r="F174" s="51"/>
      <c r="G174" s="52"/>
      <c r="H174" s="53"/>
      <c r="I174" s="54"/>
      <c r="J174" s="55"/>
      <c r="K174" s="55"/>
      <c r="L174" s="55"/>
      <c r="M174" s="53"/>
      <c r="N174" s="56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</row>
    <row r="175" spans="1:37" ht="13.8" x14ac:dyDescent="0.25">
      <c r="A175" s="46"/>
      <c r="B175" s="47"/>
      <c r="C175" s="48"/>
      <c r="D175" s="49"/>
      <c r="E175" s="50"/>
      <c r="F175" s="51"/>
      <c r="G175" s="52"/>
      <c r="H175" s="53"/>
      <c r="I175" s="54"/>
      <c r="J175" s="55"/>
      <c r="K175" s="55"/>
      <c r="L175" s="55"/>
      <c r="M175" s="53"/>
      <c r="N175" s="56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</row>
    <row r="176" spans="1:37" ht="13.8" x14ac:dyDescent="0.25">
      <c r="A176" s="46"/>
      <c r="B176" s="47"/>
      <c r="C176" s="48"/>
      <c r="D176" s="49"/>
      <c r="E176" s="50"/>
      <c r="F176" s="51"/>
      <c r="G176" s="52"/>
      <c r="H176" s="53"/>
      <c r="I176" s="54"/>
      <c r="J176" s="55"/>
      <c r="K176" s="55"/>
      <c r="L176" s="55"/>
      <c r="M176" s="53"/>
      <c r="N176" s="56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</row>
    <row r="177" spans="1:37" ht="13.8" x14ac:dyDescent="0.25">
      <c r="A177" s="46"/>
      <c r="B177" s="47"/>
      <c r="C177" s="48"/>
      <c r="D177" s="49"/>
      <c r="E177" s="50"/>
      <c r="F177" s="51"/>
      <c r="G177" s="52"/>
      <c r="H177" s="53"/>
      <c r="I177" s="54"/>
      <c r="J177" s="55"/>
      <c r="K177" s="55"/>
      <c r="L177" s="55"/>
      <c r="M177" s="53"/>
      <c r="N177" s="56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</row>
    <row r="178" spans="1:37" ht="13.8" x14ac:dyDescent="0.25">
      <c r="A178" s="46"/>
      <c r="B178" s="47"/>
      <c r="C178" s="48"/>
      <c r="D178" s="49"/>
      <c r="E178" s="50"/>
      <c r="F178" s="51"/>
      <c r="G178" s="52"/>
      <c r="H178" s="53"/>
      <c r="I178" s="54"/>
      <c r="J178" s="55"/>
      <c r="K178" s="55"/>
      <c r="L178" s="55"/>
      <c r="M178" s="53"/>
      <c r="N178" s="56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</row>
    <row r="179" spans="1:37" ht="13.8" x14ac:dyDescent="0.25">
      <c r="A179" s="46"/>
      <c r="B179" s="47"/>
      <c r="C179" s="48"/>
      <c r="D179" s="49"/>
      <c r="E179" s="50"/>
      <c r="F179" s="51"/>
      <c r="G179" s="52"/>
      <c r="H179" s="53"/>
      <c r="I179" s="54"/>
      <c r="J179" s="55"/>
      <c r="K179" s="55"/>
      <c r="L179" s="55"/>
      <c r="M179" s="53"/>
      <c r="N179" s="56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</row>
    <row r="180" spans="1:37" ht="13.8" x14ac:dyDescent="0.25">
      <c r="A180" s="46"/>
      <c r="B180" s="47"/>
      <c r="C180" s="48"/>
      <c r="D180" s="49"/>
      <c r="E180" s="50"/>
      <c r="F180" s="51"/>
      <c r="G180" s="52"/>
      <c r="H180" s="53"/>
      <c r="I180" s="54"/>
      <c r="J180" s="55"/>
      <c r="K180" s="55"/>
      <c r="L180" s="55"/>
      <c r="M180" s="53"/>
      <c r="N180" s="56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</row>
    <row r="181" spans="1:37" ht="13.8" x14ac:dyDescent="0.25">
      <c r="A181" s="46"/>
      <c r="B181" s="47"/>
      <c r="C181" s="48"/>
      <c r="D181" s="49"/>
      <c r="E181" s="50"/>
      <c r="F181" s="51"/>
      <c r="G181" s="52"/>
      <c r="H181" s="53"/>
      <c r="I181" s="54"/>
      <c r="J181" s="55"/>
      <c r="K181" s="55"/>
      <c r="L181" s="55"/>
      <c r="M181" s="53"/>
      <c r="N181" s="56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</row>
    <row r="182" spans="1:37" ht="13.8" x14ac:dyDescent="0.25">
      <c r="A182" s="46"/>
      <c r="B182" s="47"/>
      <c r="C182" s="48"/>
      <c r="D182" s="49"/>
      <c r="E182" s="50"/>
      <c r="F182" s="51"/>
      <c r="G182" s="52"/>
      <c r="H182" s="53"/>
      <c r="I182" s="54"/>
      <c r="J182" s="55"/>
      <c r="K182" s="55"/>
      <c r="L182" s="55"/>
      <c r="M182" s="53"/>
      <c r="N182" s="56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</row>
    <row r="183" spans="1:37" ht="13.8" x14ac:dyDescent="0.25">
      <c r="A183" s="46"/>
      <c r="B183" s="47"/>
      <c r="C183" s="48"/>
      <c r="D183" s="49"/>
      <c r="E183" s="50"/>
      <c r="F183" s="51"/>
      <c r="G183" s="52"/>
      <c r="H183" s="53"/>
      <c r="I183" s="54"/>
      <c r="J183" s="55"/>
      <c r="K183" s="55"/>
      <c r="L183" s="55"/>
      <c r="M183" s="53"/>
      <c r="N183" s="56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</row>
    <row r="184" spans="1:37" ht="13.8" x14ac:dyDescent="0.25">
      <c r="A184" s="46"/>
      <c r="B184" s="47"/>
      <c r="C184" s="48"/>
      <c r="D184" s="49"/>
      <c r="E184" s="50"/>
      <c r="F184" s="51"/>
      <c r="G184" s="52"/>
      <c r="H184" s="53"/>
      <c r="I184" s="54"/>
      <c r="J184" s="55"/>
      <c r="K184" s="55"/>
      <c r="L184" s="55"/>
      <c r="M184" s="53"/>
      <c r="N184" s="56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</row>
    <row r="185" spans="1:37" ht="13.8" x14ac:dyDescent="0.25">
      <c r="A185" s="46"/>
      <c r="B185" s="47"/>
      <c r="C185" s="48"/>
      <c r="D185" s="49"/>
      <c r="E185" s="50"/>
      <c r="F185" s="51"/>
      <c r="G185" s="52"/>
      <c r="H185" s="53"/>
      <c r="I185" s="54"/>
      <c r="J185" s="55"/>
      <c r="K185" s="55"/>
      <c r="L185" s="55"/>
      <c r="M185" s="53"/>
      <c r="N185" s="56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</row>
    <row r="186" spans="1:37" ht="13.8" x14ac:dyDescent="0.25">
      <c r="A186" s="46"/>
      <c r="B186" s="47"/>
      <c r="C186" s="48"/>
      <c r="D186" s="49"/>
      <c r="E186" s="50"/>
      <c r="F186" s="51"/>
      <c r="G186" s="52"/>
      <c r="H186" s="53"/>
      <c r="I186" s="54"/>
      <c r="J186" s="55"/>
      <c r="K186" s="55"/>
      <c r="L186" s="55"/>
      <c r="M186" s="53"/>
      <c r="N186" s="56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</row>
    <row r="187" spans="1:37" ht="13.8" x14ac:dyDescent="0.25">
      <c r="A187" s="46"/>
      <c r="B187" s="47"/>
      <c r="C187" s="48"/>
      <c r="D187" s="49"/>
      <c r="E187" s="50"/>
      <c r="F187" s="51"/>
      <c r="G187" s="52"/>
      <c r="H187" s="53"/>
      <c r="I187" s="54"/>
      <c r="J187" s="55"/>
      <c r="K187" s="55"/>
      <c r="L187" s="55"/>
      <c r="M187" s="53"/>
      <c r="N187" s="56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</row>
    <row r="188" spans="1:37" ht="13.8" x14ac:dyDescent="0.25">
      <c r="A188" s="46"/>
      <c r="B188" s="47"/>
      <c r="C188" s="48"/>
      <c r="D188" s="49"/>
      <c r="E188" s="50"/>
      <c r="F188" s="51"/>
      <c r="G188" s="52"/>
      <c r="H188" s="53"/>
      <c r="I188" s="54"/>
      <c r="J188" s="55"/>
      <c r="K188" s="55"/>
      <c r="L188" s="55"/>
      <c r="M188" s="53"/>
      <c r="N188" s="56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</row>
    <row r="189" spans="1:37" ht="13.8" x14ac:dyDescent="0.25">
      <c r="A189" s="46"/>
      <c r="B189" s="47"/>
      <c r="C189" s="48"/>
      <c r="D189" s="49"/>
      <c r="E189" s="50"/>
      <c r="F189" s="51"/>
      <c r="G189" s="52"/>
      <c r="H189" s="53"/>
      <c r="I189" s="54"/>
      <c r="J189" s="55"/>
      <c r="K189" s="55"/>
      <c r="L189" s="55"/>
      <c r="M189" s="53"/>
      <c r="N189" s="56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</row>
    <row r="190" spans="1:37" ht="13.8" x14ac:dyDescent="0.25">
      <c r="A190" s="46"/>
      <c r="B190" s="47"/>
      <c r="C190" s="48"/>
      <c r="D190" s="49"/>
      <c r="E190" s="50"/>
      <c r="F190" s="51"/>
      <c r="G190" s="52"/>
      <c r="H190" s="53"/>
      <c r="I190" s="54"/>
      <c r="J190" s="55"/>
      <c r="K190" s="55"/>
      <c r="L190" s="55"/>
      <c r="M190" s="53"/>
      <c r="N190" s="56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</row>
    <row r="191" spans="1:37" ht="13.8" x14ac:dyDescent="0.25">
      <c r="A191" s="46"/>
      <c r="B191" s="47"/>
      <c r="C191" s="48"/>
      <c r="D191" s="49"/>
      <c r="E191" s="50"/>
      <c r="F191" s="51"/>
      <c r="G191" s="52"/>
      <c r="H191" s="53"/>
      <c r="I191" s="54"/>
      <c r="J191" s="55"/>
      <c r="K191" s="55"/>
      <c r="L191" s="55"/>
      <c r="M191" s="53"/>
      <c r="N191" s="56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</row>
    <row r="192" spans="1:37" ht="13.8" x14ac:dyDescent="0.25">
      <c r="A192" s="46"/>
      <c r="B192" s="47"/>
      <c r="C192" s="48"/>
      <c r="D192" s="49"/>
      <c r="E192" s="50"/>
      <c r="F192" s="51"/>
      <c r="G192" s="52"/>
      <c r="H192" s="53"/>
      <c r="I192" s="54"/>
      <c r="J192" s="55"/>
      <c r="K192" s="55"/>
      <c r="L192" s="55"/>
      <c r="M192" s="53"/>
      <c r="N192" s="56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</row>
    <row r="193" spans="1:37" ht="13.8" x14ac:dyDescent="0.25">
      <c r="A193" s="46"/>
      <c r="B193" s="47"/>
      <c r="C193" s="48"/>
      <c r="D193" s="49"/>
      <c r="E193" s="50"/>
      <c r="F193" s="51"/>
      <c r="G193" s="52"/>
      <c r="H193" s="53"/>
      <c r="I193" s="54"/>
      <c r="J193" s="55"/>
      <c r="K193" s="55"/>
      <c r="L193" s="55"/>
      <c r="M193" s="53"/>
      <c r="N193" s="56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</row>
    <row r="194" spans="1:37" ht="13.8" x14ac:dyDescent="0.25">
      <c r="A194" s="46"/>
      <c r="B194" s="47"/>
      <c r="C194" s="48"/>
      <c r="D194" s="49"/>
      <c r="E194" s="50"/>
      <c r="F194" s="51"/>
      <c r="G194" s="52"/>
      <c r="H194" s="53"/>
      <c r="I194" s="54"/>
      <c r="J194" s="55"/>
      <c r="K194" s="55"/>
      <c r="L194" s="55"/>
      <c r="M194" s="53"/>
      <c r="N194" s="56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</row>
    <row r="195" spans="1:37" ht="13.8" x14ac:dyDescent="0.25">
      <c r="A195" s="46"/>
      <c r="B195" s="47"/>
      <c r="C195" s="48"/>
      <c r="D195" s="49"/>
      <c r="E195" s="50"/>
      <c r="F195" s="51"/>
      <c r="G195" s="52"/>
      <c r="H195" s="53"/>
      <c r="I195" s="54"/>
      <c r="J195" s="55"/>
      <c r="K195" s="55"/>
      <c r="L195" s="55"/>
      <c r="M195" s="53"/>
      <c r="N195" s="56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</row>
    <row r="196" spans="1:37" ht="13.8" x14ac:dyDescent="0.25">
      <c r="A196" s="46"/>
      <c r="B196" s="47"/>
      <c r="C196" s="48"/>
      <c r="D196" s="49"/>
      <c r="E196" s="50"/>
      <c r="F196" s="51"/>
      <c r="G196" s="52"/>
      <c r="H196" s="53"/>
      <c r="I196" s="54"/>
      <c r="J196" s="55"/>
      <c r="K196" s="55"/>
      <c r="L196" s="55"/>
      <c r="M196" s="53"/>
      <c r="N196" s="56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</row>
    <row r="197" spans="1:37" ht="13.8" x14ac:dyDescent="0.25">
      <c r="A197" s="46"/>
      <c r="B197" s="47"/>
      <c r="C197" s="48"/>
      <c r="D197" s="49"/>
      <c r="E197" s="50"/>
      <c r="F197" s="51"/>
      <c r="G197" s="52"/>
      <c r="H197" s="53"/>
      <c r="I197" s="54"/>
      <c r="J197" s="55"/>
      <c r="K197" s="55"/>
      <c r="L197" s="55"/>
      <c r="M197" s="53"/>
      <c r="N197" s="56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</row>
    <row r="198" spans="1:37" ht="13.8" x14ac:dyDescent="0.25">
      <c r="A198" s="46"/>
      <c r="B198" s="47"/>
      <c r="C198" s="48"/>
      <c r="D198" s="49"/>
      <c r="E198" s="50"/>
      <c r="F198" s="51"/>
      <c r="G198" s="52"/>
      <c r="H198" s="53"/>
      <c r="I198" s="54"/>
      <c r="J198" s="55"/>
      <c r="K198" s="55"/>
      <c r="L198" s="55"/>
      <c r="M198" s="53"/>
      <c r="N198" s="56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</row>
    <row r="199" spans="1:37" ht="13.8" x14ac:dyDescent="0.25">
      <c r="A199" s="46"/>
      <c r="B199" s="47"/>
      <c r="C199" s="48"/>
      <c r="D199" s="49"/>
      <c r="E199" s="50"/>
      <c r="F199" s="51"/>
      <c r="G199" s="52"/>
      <c r="H199" s="53"/>
      <c r="I199" s="54"/>
      <c r="J199" s="55"/>
      <c r="K199" s="55"/>
      <c r="L199" s="55"/>
      <c r="M199" s="53"/>
      <c r="N199" s="56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</row>
    <row r="200" spans="1:37" ht="13.8" x14ac:dyDescent="0.25">
      <c r="A200" s="46"/>
      <c r="B200" s="47"/>
      <c r="C200" s="48"/>
      <c r="D200" s="49"/>
      <c r="E200" s="50"/>
      <c r="F200" s="51"/>
      <c r="G200" s="52"/>
      <c r="H200" s="53"/>
      <c r="I200" s="54"/>
      <c r="J200" s="55"/>
      <c r="K200" s="55"/>
      <c r="L200" s="55"/>
      <c r="M200" s="53"/>
      <c r="N200" s="56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</row>
    <row r="201" spans="1:37" ht="13.8" x14ac:dyDescent="0.25">
      <c r="A201" s="46"/>
      <c r="B201" s="47"/>
      <c r="C201" s="48"/>
      <c r="D201" s="49"/>
      <c r="E201" s="50"/>
      <c r="F201" s="51"/>
      <c r="G201" s="52"/>
      <c r="H201" s="53"/>
      <c r="I201" s="54"/>
      <c r="J201" s="55"/>
      <c r="K201" s="55"/>
      <c r="L201" s="55"/>
      <c r="M201" s="53"/>
      <c r="N201" s="56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</row>
    <row r="202" spans="1:37" ht="13.8" x14ac:dyDescent="0.25">
      <c r="A202" s="46"/>
      <c r="B202" s="47"/>
      <c r="C202" s="48"/>
      <c r="D202" s="49"/>
      <c r="E202" s="50"/>
      <c r="F202" s="51"/>
      <c r="G202" s="52"/>
      <c r="H202" s="53"/>
      <c r="I202" s="54"/>
      <c r="J202" s="55"/>
      <c r="K202" s="55"/>
      <c r="L202" s="55"/>
      <c r="M202" s="53"/>
      <c r="N202" s="56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</row>
    <row r="203" spans="1:37" ht="13.8" x14ac:dyDescent="0.25">
      <c r="A203" s="46"/>
      <c r="B203" s="47"/>
      <c r="C203" s="48"/>
      <c r="D203" s="49"/>
      <c r="E203" s="50"/>
      <c r="F203" s="51"/>
      <c r="G203" s="52"/>
      <c r="H203" s="53"/>
      <c r="I203" s="54"/>
      <c r="J203" s="55"/>
      <c r="K203" s="55"/>
      <c r="L203" s="55"/>
      <c r="M203" s="53"/>
      <c r="N203" s="56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</row>
    <row r="204" spans="1:37" ht="13.8" x14ac:dyDescent="0.25">
      <c r="A204" s="46"/>
      <c r="B204" s="47"/>
      <c r="C204" s="48"/>
      <c r="D204" s="49"/>
      <c r="E204" s="50"/>
      <c r="F204" s="51"/>
      <c r="G204" s="52"/>
      <c r="H204" s="53"/>
      <c r="I204" s="54"/>
      <c r="J204" s="55"/>
      <c r="K204" s="55"/>
      <c r="L204" s="55"/>
      <c r="M204" s="53"/>
      <c r="N204" s="56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</row>
    <row r="205" spans="1:37" ht="13.8" x14ac:dyDescent="0.25">
      <c r="A205" s="46"/>
      <c r="B205" s="47"/>
      <c r="C205" s="48"/>
      <c r="D205" s="49"/>
      <c r="E205" s="50"/>
      <c r="F205" s="51"/>
      <c r="G205" s="52"/>
      <c r="H205" s="53"/>
      <c r="I205" s="54"/>
      <c r="J205" s="55"/>
      <c r="K205" s="55"/>
      <c r="L205" s="55"/>
      <c r="M205" s="53"/>
      <c r="N205" s="56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</row>
    <row r="206" spans="1:37" ht="13.8" x14ac:dyDescent="0.25">
      <c r="A206" s="46"/>
      <c r="B206" s="47"/>
      <c r="C206" s="48"/>
      <c r="D206" s="49"/>
      <c r="E206" s="50"/>
      <c r="F206" s="51"/>
      <c r="G206" s="52"/>
      <c r="H206" s="53"/>
      <c r="I206" s="54"/>
      <c r="J206" s="55"/>
      <c r="K206" s="55"/>
      <c r="L206" s="55"/>
      <c r="M206" s="53"/>
      <c r="N206" s="56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</row>
    <row r="207" spans="1:37" ht="13.8" x14ac:dyDescent="0.25">
      <c r="A207" s="46"/>
      <c r="B207" s="47"/>
      <c r="C207" s="48"/>
      <c r="D207" s="49"/>
      <c r="E207" s="50"/>
      <c r="F207" s="51"/>
      <c r="G207" s="52"/>
      <c r="H207" s="53"/>
      <c r="I207" s="54"/>
      <c r="J207" s="55"/>
      <c r="K207" s="55"/>
      <c r="L207" s="55"/>
      <c r="M207" s="53"/>
      <c r="N207" s="56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</row>
    <row r="208" spans="1:37" ht="13.8" x14ac:dyDescent="0.25">
      <c r="A208" s="46"/>
      <c r="B208" s="47"/>
      <c r="C208" s="48"/>
      <c r="D208" s="49"/>
      <c r="E208" s="50"/>
      <c r="F208" s="51"/>
      <c r="G208" s="52"/>
      <c r="H208" s="53"/>
      <c r="I208" s="54"/>
      <c r="J208" s="55"/>
      <c r="K208" s="55"/>
      <c r="L208" s="55"/>
      <c r="M208" s="53"/>
      <c r="N208" s="56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</row>
    <row r="209" spans="1:37" ht="13.8" x14ac:dyDescent="0.25">
      <c r="A209" s="46"/>
      <c r="B209" s="47"/>
      <c r="C209" s="48"/>
      <c r="D209" s="49"/>
      <c r="E209" s="50"/>
      <c r="F209" s="51"/>
      <c r="G209" s="52"/>
      <c r="H209" s="53"/>
      <c r="I209" s="54"/>
      <c r="J209" s="55"/>
      <c r="K209" s="55"/>
      <c r="L209" s="55"/>
      <c r="M209" s="53"/>
      <c r="N209" s="56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</row>
    <row r="210" spans="1:37" ht="13.8" x14ac:dyDescent="0.25">
      <c r="A210" s="46"/>
      <c r="B210" s="47"/>
      <c r="C210" s="48"/>
      <c r="D210" s="49"/>
      <c r="E210" s="50"/>
      <c r="F210" s="51"/>
      <c r="G210" s="52"/>
      <c r="H210" s="53"/>
      <c r="I210" s="54"/>
      <c r="J210" s="55"/>
      <c r="K210" s="55"/>
      <c r="L210" s="55"/>
      <c r="M210" s="53"/>
      <c r="N210" s="56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</row>
    <row r="211" spans="1:37" ht="13.8" x14ac:dyDescent="0.25">
      <c r="A211" s="46"/>
      <c r="B211" s="47"/>
      <c r="C211" s="48"/>
      <c r="D211" s="49"/>
      <c r="E211" s="50"/>
      <c r="F211" s="51"/>
      <c r="G211" s="52"/>
      <c r="H211" s="53"/>
      <c r="I211" s="54"/>
      <c r="J211" s="55"/>
      <c r="K211" s="55"/>
      <c r="L211" s="55"/>
      <c r="M211" s="53"/>
      <c r="N211" s="56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</row>
    <row r="212" spans="1:37" ht="13.8" x14ac:dyDescent="0.25">
      <c r="A212" s="46"/>
      <c r="B212" s="47"/>
      <c r="C212" s="48"/>
      <c r="D212" s="49"/>
      <c r="E212" s="50"/>
      <c r="F212" s="51"/>
      <c r="G212" s="52"/>
      <c r="H212" s="53"/>
      <c r="I212" s="54"/>
      <c r="J212" s="55"/>
      <c r="K212" s="55"/>
      <c r="L212" s="55"/>
      <c r="M212" s="53"/>
      <c r="N212" s="56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</row>
    <row r="213" spans="1:37" ht="13.8" x14ac:dyDescent="0.25">
      <c r="A213" s="46"/>
      <c r="B213" s="47"/>
      <c r="C213" s="48"/>
      <c r="D213" s="49"/>
      <c r="E213" s="50"/>
      <c r="F213" s="51"/>
      <c r="G213" s="52"/>
      <c r="H213" s="53"/>
      <c r="I213" s="54"/>
      <c r="J213" s="55"/>
      <c r="K213" s="55"/>
      <c r="L213" s="55"/>
      <c r="M213" s="53"/>
      <c r="N213" s="56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</row>
    <row r="214" spans="1:37" ht="13.8" x14ac:dyDescent="0.25">
      <c r="A214" s="46"/>
      <c r="B214" s="47"/>
      <c r="C214" s="48"/>
      <c r="D214" s="49"/>
      <c r="E214" s="50"/>
      <c r="F214" s="51"/>
      <c r="G214" s="52"/>
      <c r="H214" s="53"/>
      <c r="I214" s="54"/>
      <c r="J214" s="55"/>
      <c r="K214" s="55"/>
      <c r="L214" s="55"/>
      <c r="M214" s="53"/>
      <c r="N214" s="56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</row>
    <row r="215" spans="1:37" ht="13.8" x14ac:dyDescent="0.25">
      <c r="A215" s="46"/>
      <c r="B215" s="47"/>
      <c r="C215" s="48"/>
      <c r="D215" s="49"/>
      <c r="E215" s="50"/>
      <c r="F215" s="51"/>
      <c r="G215" s="52"/>
      <c r="H215" s="53"/>
      <c r="I215" s="54"/>
      <c r="J215" s="55"/>
      <c r="K215" s="55"/>
      <c r="L215" s="55"/>
      <c r="M215" s="53"/>
      <c r="N215" s="56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</row>
    <row r="216" spans="1:37" ht="13.8" x14ac:dyDescent="0.25">
      <c r="A216" s="46"/>
      <c r="B216" s="47"/>
      <c r="C216" s="48"/>
      <c r="D216" s="49"/>
      <c r="E216" s="50"/>
      <c r="F216" s="51"/>
      <c r="G216" s="52"/>
      <c r="H216" s="53"/>
      <c r="I216" s="54"/>
      <c r="J216" s="55"/>
      <c r="K216" s="55"/>
      <c r="L216" s="55"/>
      <c r="M216" s="53"/>
      <c r="N216" s="56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</row>
    <row r="217" spans="1:37" ht="13.8" x14ac:dyDescent="0.25">
      <c r="A217" s="46"/>
      <c r="B217" s="47"/>
      <c r="C217" s="48"/>
      <c r="D217" s="49"/>
      <c r="E217" s="50"/>
      <c r="F217" s="51"/>
      <c r="G217" s="52"/>
      <c r="H217" s="53"/>
      <c r="I217" s="54"/>
      <c r="J217" s="55"/>
      <c r="K217" s="55"/>
      <c r="L217" s="55"/>
      <c r="M217" s="53"/>
      <c r="N217" s="56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</row>
    <row r="218" spans="1:37" ht="13.8" x14ac:dyDescent="0.25">
      <c r="A218" s="46"/>
      <c r="B218" s="47"/>
      <c r="C218" s="48"/>
      <c r="D218" s="49"/>
      <c r="E218" s="50"/>
      <c r="F218" s="51"/>
      <c r="G218" s="52"/>
      <c r="H218" s="53"/>
      <c r="I218" s="54"/>
      <c r="J218" s="55"/>
      <c r="K218" s="55"/>
      <c r="L218" s="55"/>
      <c r="M218" s="53"/>
      <c r="N218" s="56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</row>
    <row r="219" spans="1:37" ht="13.8" x14ac:dyDescent="0.25">
      <c r="A219" s="46"/>
      <c r="B219" s="47"/>
      <c r="C219" s="48"/>
      <c r="D219" s="49"/>
      <c r="E219" s="50"/>
      <c r="F219" s="51"/>
      <c r="G219" s="52"/>
      <c r="H219" s="53"/>
      <c r="I219" s="54"/>
      <c r="J219" s="55"/>
      <c r="K219" s="55"/>
      <c r="L219" s="55"/>
      <c r="M219" s="53"/>
      <c r="N219" s="56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</row>
    <row r="220" spans="1:37" ht="13.8" x14ac:dyDescent="0.25">
      <c r="A220" s="46"/>
      <c r="B220" s="47"/>
      <c r="C220" s="48"/>
      <c r="D220" s="49"/>
      <c r="E220" s="50"/>
      <c r="F220" s="51"/>
      <c r="G220" s="52"/>
      <c r="H220" s="53"/>
      <c r="I220" s="54"/>
      <c r="J220" s="55"/>
      <c r="K220" s="55"/>
      <c r="L220" s="55"/>
      <c r="M220" s="53"/>
      <c r="N220" s="56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</row>
    <row r="221" spans="1:37" ht="13.8" x14ac:dyDescent="0.25">
      <c r="A221" s="46"/>
      <c r="B221" s="47"/>
      <c r="C221" s="48"/>
      <c r="D221" s="49"/>
      <c r="E221" s="50"/>
      <c r="F221" s="51"/>
      <c r="G221" s="52"/>
      <c r="H221" s="53"/>
      <c r="I221" s="54"/>
      <c r="J221" s="55"/>
      <c r="K221" s="55"/>
      <c r="L221" s="55"/>
      <c r="M221" s="53"/>
      <c r="N221" s="56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</row>
    <row r="222" spans="1:37" ht="13.8" x14ac:dyDescent="0.25">
      <c r="A222" s="46"/>
      <c r="B222" s="47"/>
      <c r="C222" s="48"/>
      <c r="D222" s="49"/>
      <c r="E222" s="50"/>
      <c r="F222" s="51"/>
      <c r="G222" s="52"/>
      <c r="H222" s="53"/>
      <c r="I222" s="54"/>
      <c r="J222" s="55"/>
      <c r="K222" s="55"/>
      <c r="L222" s="55"/>
      <c r="M222" s="53"/>
      <c r="N222" s="56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</row>
    <row r="223" spans="1:37" ht="13.8" x14ac:dyDescent="0.25">
      <c r="A223" s="46"/>
      <c r="B223" s="47"/>
      <c r="C223" s="48"/>
      <c r="D223" s="49"/>
      <c r="E223" s="50"/>
      <c r="F223" s="51"/>
      <c r="G223" s="52"/>
      <c r="H223" s="53"/>
      <c r="I223" s="54"/>
      <c r="J223" s="55"/>
      <c r="K223" s="55"/>
      <c r="L223" s="55"/>
      <c r="M223" s="53"/>
      <c r="N223" s="56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</row>
    <row r="224" spans="1:37" ht="13.8" x14ac:dyDescent="0.25">
      <c r="A224" s="46"/>
      <c r="B224" s="47"/>
      <c r="C224" s="48"/>
      <c r="D224" s="49"/>
      <c r="E224" s="50"/>
      <c r="F224" s="51"/>
      <c r="G224" s="52"/>
      <c r="H224" s="53"/>
      <c r="I224" s="54"/>
      <c r="J224" s="55"/>
      <c r="K224" s="55"/>
      <c r="L224" s="55"/>
      <c r="M224" s="53"/>
      <c r="N224" s="56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</row>
    <row r="225" spans="1:37" ht="13.8" x14ac:dyDescent="0.25">
      <c r="A225" s="46"/>
      <c r="B225" s="47"/>
      <c r="C225" s="48"/>
      <c r="D225" s="49"/>
      <c r="E225" s="50"/>
      <c r="F225" s="51"/>
      <c r="G225" s="52"/>
      <c r="H225" s="53"/>
      <c r="I225" s="54"/>
      <c r="J225" s="55"/>
      <c r="K225" s="55"/>
      <c r="L225" s="55"/>
      <c r="M225" s="53"/>
      <c r="N225" s="56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</row>
    <row r="226" spans="1:37" ht="13.8" x14ac:dyDescent="0.25">
      <c r="A226" s="46"/>
      <c r="B226" s="47"/>
      <c r="C226" s="48"/>
      <c r="D226" s="49"/>
      <c r="E226" s="50"/>
      <c r="F226" s="51"/>
      <c r="G226" s="52"/>
      <c r="H226" s="53"/>
      <c r="I226" s="54"/>
      <c r="J226" s="55"/>
      <c r="K226" s="55"/>
      <c r="L226" s="55"/>
      <c r="M226" s="53"/>
      <c r="N226" s="56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</row>
    <row r="227" spans="1:37" ht="13.8" x14ac:dyDescent="0.25">
      <c r="A227" s="46"/>
      <c r="B227" s="47"/>
      <c r="C227" s="48"/>
      <c r="D227" s="49"/>
      <c r="E227" s="50"/>
      <c r="F227" s="51"/>
      <c r="G227" s="52"/>
      <c r="H227" s="53"/>
      <c r="I227" s="54"/>
      <c r="J227" s="55"/>
      <c r="K227" s="55"/>
      <c r="L227" s="55"/>
      <c r="M227" s="53"/>
      <c r="N227" s="56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</row>
    <row r="228" spans="1:37" ht="13.8" x14ac:dyDescent="0.25">
      <c r="A228" s="46"/>
      <c r="B228" s="47"/>
      <c r="C228" s="48"/>
      <c r="D228" s="49"/>
      <c r="E228" s="50"/>
      <c r="F228" s="51"/>
      <c r="G228" s="52"/>
      <c r="H228" s="53"/>
      <c r="I228" s="54"/>
      <c r="J228" s="55"/>
      <c r="K228" s="55"/>
      <c r="L228" s="55"/>
      <c r="M228" s="53"/>
      <c r="N228" s="56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</row>
    <row r="229" spans="1:37" ht="13.8" x14ac:dyDescent="0.25">
      <c r="A229" s="46"/>
      <c r="B229" s="47"/>
      <c r="C229" s="48"/>
      <c r="D229" s="49"/>
      <c r="E229" s="50"/>
      <c r="F229" s="51"/>
      <c r="G229" s="52"/>
      <c r="H229" s="53"/>
      <c r="I229" s="54"/>
      <c r="J229" s="55"/>
      <c r="K229" s="55"/>
      <c r="L229" s="55"/>
      <c r="M229" s="53"/>
      <c r="N229" s="56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</row>
    <row r="230" spans="1:37" ht="13.8" x14ac:dyDescent="0.25">
      <c r="A230" s="46"/>
      <c r="B230" s="47"/>
      <c r="C230" s="48"/>
      <c r="D230" s="49"/>
      <c r="E230" s="50"/>
      <c r="F230" s="51"/>
      <c r="G230" s="52"/>
      <c r="H230" s="53"/>
      <c r="I230" s="54"/>
      <c r="J230" s="55"/>
      <c r="K230" s="55"/>
      <c r="L230" s="55"/>
      <c r="M230" s="53"/>
      <c r="N230" s="56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</row>
    <row r="231" spans="1:37" ht="13.8" x14ac:dyDescent="0.25">
      <c r="A231" s="46"/>
      <c r="B231" s="47"/>
      <c r="C231" s="48"/>
      <c r="D231" s="49"/>
      <c r="E231" s="50"/>
      <c r="F231" s="51"/>
      <c r="G231" s="52"/>
      <c r="H231" s="53"/>
      <c r="I231" s="54"/>
      <c r="J231" s="55"/>
      <c r="K231" s="55"/>
      <c r="L231" s="55"/>
      <c r="M231" s="53"/>
      <c r="N231" s="56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</row>
    <row r="232" spans="1:37" ht="13.8" x14ac:dyDescent="0.25">
      <c r="A232" s="46"/>
      <c r="B232" s="47"/>
      <c r="C232" s="48"/>
      <c r="D232" s="49"/>
      <c r="E232" s="50"/>
      <c r="F232" s="51"/>
      <c r="G232" s="52"/>
      <c r="H232" s="53"/>
      <c r="I232" s="54"/>
      <c r="J232" s="55"/>
      <c r="K232" s="55"/>
      <c r="L232" s="55"/>
      <c r="M232" s="53"/>
      <c r="N232" s="56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</row>
    <row r="233" spans="1:37" ht="13.8" x14ac:dyDescent="0.25">
      <c r="A233" s="46"/>
      <c r="B233" s="47"/>
      <c r="C233" s="48"/>
      <c r="D233" s="49"/>
      <c r="E233" s="50"/>
      <c r="F233" s="51"/>
      <c r="G233" s="52"/>
      <c r="H233" s="53"/>
      <c r="I233" s="54"/>
      <c r="J233" s="55"/>
      <c r="K233" s="55"/>
      <c r="L233" s="55"/>
      <c r="M233" s="53"/>
      <c r="N233" s="56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</row>
    <row r="234" spans="1:37" ht="13.8" x14ac:dyDescent="0.25">
      <c r="A234" s="46"/>
      <c r="B234" s="47"/>
      <c r="C234" s="48"/>
      <c r="D234" s="49"/>
      <c r="E234" s="50"/>
      <c r="F234" s="51"/>
      <c r="G234" s="52"/>
      <c r="H234" s="53"/>
      <c r="I234" s="54"/>
      <c r="J234" s="55"/>
      <c r="K234" s="55"/>
      <c r="L234" s="55"/>
      <c r="M234" s="53"/>
      <c r="N234" s="56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</row>
    <row r="235" spans="1:37" ht="13.8" x14ac:dyDescent="0.25">
      <c r="A235" s="46"/>
      <c r="B235" s="47"/>
      <c r="C235" s="48"/>
      <c r="D235" s="49"/>
      <c r="E235" s="50"/>
      <c r="F235" s="51"/>
      <c r="G235" s="52"/>
      <c r="H235" s="53"/>
      <c r="I235" s="54"/>
      <c r="J235" s="55"/>
      <c r="K235" s="55"/>
      <c r="L235" s="55"/>
      <c r="M235" s="53"/>
      <c r="N235" s="56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</row>
    <row r="236" spans="1:37" ht="13.8" x14ac:dyDescent="0.25">
      <c r="A236" s="46"/>
      <c r="B236" s="47"/>
      <c r="C236" s="48"/>
      <c r="D236" s="49"/>
      <c r="E236" s="50"/>
      <c r="F236" s="51"/>
      <c r="G236" s="52"/>
      <c r="H236" s="53"/>
      <c r="I236" s="54"/>
      <c r="J236" s="55"/>
      <c r="K236" s="55"/>
      <c r="L236" s="55"/>
      <c r="M236" s="53"/>
      <c r="N236" s="56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</row>
    <row r="237" spans="1:37" ht="13.8" x14ac:dyDescent="0.25">
      <c r="A237" s="46"/>
      <c r="B237" s="47"/>
      <c r="C237" s="48"/>
      <c r="D237" s="49"/>
      <c r="E237" s="50"/>
      <c r="F237" s="51"/>
      <c r="G237" s="52"/>
      <c r="H237" s="53"/>
      <c r="I237" s="54"/>
      <c r="J237" s="55"/>
      <c r="K237" s="55"/>
      <c r="L237" s="55"/>
      <c r="M237" s="53"/>
      <c r="N237" s="56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</row>
    <row r="238" spans="1:37" ht="13.8" x14ac:dyDescent="0.25">
      <c r="A238" s="46"/>
      <c r="B238" s="47"/>
      <c r="C238" s="48"/>
      <c r="D238" s="49"/>
      <c r="E238" s="50"/>
      <c r="F238" s="51"/>
      <c r="G238" s="52"/>
      <c r="H238" s="53"/>
      <c r="I238" s="54"/>
      <c r="J238" s="55"/>
      <c r="K238" s="55"/>
      <c r="L238" s="55"/>
      <c r="M238" s="53"/>
      <c r="N238" s="56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</row>
    <row r="239" spans="1:37" ht="13.8" x14ac:dyDescent="0.25">
      <c r="A239" s="46"/>
      <c r="B239" s="47"/>
      <c r="C239" s="48"/>
      <c r="D239" s="49"/>
      <c r="E239" s="50"/>
      <c r="F239" s="51"/>
      <c r="G239" s="52"/>
      <c r="H239" s="53"/>
      <c r="I239" s="54"/>
      <c r="J239" s="55"/>
      <c r="K239" s="55"/>
      <c r="L239" s="55"/>
      <c r="M239" s="53"/>
      <c r="N239" s="56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</row>
    <row r="240" spans="1:37" ht="13.8" x14ac:dyDescent="0.25">
      <c r="A240" s="46"/>
      <c r="B240" s="47"/>
      <c r="C240" s="48"/>
      <c r="D240" s="49"/>
      <c r="E240" s="50"/>
      <c r="F240" s="51"/>
      <c r="G240" s="52"/>
      <c r="H240" s="53"/>
      <c r="I240" s="54"/>
      <c r="J240" s="55"/>
      <c r="K240" s="55"/>
      <c r="L240" s="55"/>
      <c r="M240" s="53"/>
      <c r="N240" s="56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</row>
    <row r="241" spans="1:37" ht="13.8" x14ac:dyDescent="0.25">
      <c r="A241" s="46"/>
      <c r="B241" s="47"/>
      <c r="C241" s="48"/>
      <c r="D241" s="49"/>
      <c r="E241" s="50"/>
      <c r="F241" s="51"/>
      <c r="G241" s="52"/>
      <c r="H241" s="53"/>
      <c r="I241" s="54"/>
      <c r="J241" s="55"/>
      <c r="K241" s="55"/>
      <c r="L241" s="55"/>
      <c r="M241" s="53"/>
      <c r="N241" s="56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</row>
    <row r="242" spans="1:37" ht="13.8" x14ac:dyDescent="0.25">
      <c r="A242" s="46"/>
      <c r="B242" s="47"/>
      <c r="C242" s="48"/>
      <c r="D242" s="49"/>
      <c r="E242" s="50"/>
      <c r="F242" s="51"/>
      <c r="G242" s="52"/>
      <c r="H242" s="53"/>
      <c r="I242" s="54"/>
      <c r="J242" s="55"/>
      <c r="K242" s="55"/>
      <c r="L242" s="55"/>
      <c r="M242" s="53"/>
      <c r="N242" s="56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</row>
    <row r="243" spans="1:37" ht="13.8" x14ac:dyDescent="0.25">
      <c r="A243" s="46"/>
      <c r="B243" s="47"/>
      <c r="C243" s="48"/>
      <c r="D243" s="49"/>
      <c r="E243" s="50"/>
      <c r="F243" s="51"/>
      <c r="G243" s="52"/>
      <c r="H243" s="53"/>
      <c r="I243" s="54"/>
      <c r="J243" s="55"/>
      <c r="K243" s="55"/>
      <c r="L243" s="55"/>
      <c r="M243" s="53"/>
      <c r="N243" s="56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</row>
    <row r="244" spans="1:37" ht="13.8" x14ac:dyDescent="0.25">
      <c r="A244" s="46"/>
      <c r="B244" s="47"/>
      <c r="C244" s="48"/>
      <c r="D244" s="49"/>
      <c r="E244" s="50"/>
      <c r="F244" s="51"/>
      <c r="G244" s="52"/>
      <c r="H244" s="53"/>
      <c r="I244" s="54"/>
      <c r="J244" s="55"/>
      <c r="K244" s="55"/>
      <c r="L244" s="55"/>
      <c r="M244" s="53"/>
      <c r="N244" s="56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</row>
    <row r="245" spans="1:37" ht="13.8" x14ac:dyDescent="0.25">
      <c r="A245" s="46"/>
      <c r="B245" s="47"/>
      <c r="C245" s="48"/>
      <c r="D245" s="49"/>
      <c r="E245" s="50"/>
      <c r="F245" s="51"/>
      <c r="G245" s="52"/>
      <c r="H245" s="53"/>
      <c r="I245" s="54"/>
      <c r="J245" s="55"/>
      <c r="K245" s="55"/>
      <c r="L245" s="55"/>
      <c r="M245" s="53"/>
      <c r="N245" s="56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</row>
    <row r="246" spans="1:37" ht="13.8" x14ac:dyDescent="0.25">
      <c r="A246" s="46"/>
      <c r="B246" s="47"/>
      <c r="C246" s="48"/>
      <c r="D246" s="49"/>
      <c r="E246" s="50"/>
      <c r="F246" s="51"/>
      <c r="G246" s="52"/>
      <c r="H246" s="53"/>
      <c r="I246" s="54"/>
      <c r="J246" s="55"/>
      <c r="K246" s="55"/>
      <c r="L246" s="55"/>
      <c r="M246" s="53"/>
      <c r="N246" s="56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</row>
    <row r="247" spans="1:37" ht="13.8" x14ac:dyDescent="0.25">
      <c r="A247" s="46"/>
      <c r="B247" s="47"/>
      <c r="C247" s="48"/>
      <c r="D247" s="49"/>
      <c r="E247" s="50"/>
      <c r="F247" s="51"/>
      <c r="G247" s="52"/>
      <c r="H247" s="53"/>
      <c r="I247" s="54"/>
      <c r="J247" s="55"/>
      <c r="K247" s="55"/>
      <c r="L247" s="55"/>
      <c r="M247" s="53"/>
      <c r="N247" s="56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</row>
    <row r="248" spans="1:37" ht="13.8" x14ac:dyDescent="0.25">
      <c r="A248" s="46"/>
      <c r="B248" s="47"/>
      <c r="C248" s="48"/>
      <c r="D248" s="49"/>
      <c r="E248" s="50"/>
      <c r="F248" s="51"/>
      <c r="G248" s="52"/>
      <c r="H248" s="53"/>
      <c r="I248" s="54"/>
      <c r="J248" s="55"/>
      <c r="K248" s="55"/>
      <c r="L248" s="55"/>
      <c r="M248" s="53"/>
      <c r="N248" s="56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</row>
    <row r="249" spans="1:37" ht="13.8" x14ac:dyDescent="0.25">
      <c r="A249" s="46"/>
      <c r="B249" s="47"/>
      <c r="C249" s="48"/>
      <c r="D249" s="49"/>
      <c r="E249" s="50"/>
      <c r="F249" s="51"/>
      <c r="G249" s="52"/>
      <c r="H249" s="53"/>
      <c r="I249" s="54"/>
      <c r="J249" s="55"/>
      <c r="K249" s="55"/>
      <c r="L249" s="55"/>
      <c r="M249" s="53"/>
      <c r="N249" s="56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</row>
    <row r="250" spans="1:37" ht="13.8" x14ac:dyDescent="0.25">
      <c r="A250" s="46"/>
      <c r="B250" s="47"/>
      <c r="C250" s="48"/>
      <c r="D250" s="49"/>
      <c r="E250" s="50"/>
      <c r="F250" s="51"/>
      <c r="G250" s="52"/>
      <c r="H250" s="53"/>
      <c r="I250" s="54"/>
      <c r="J250" s="55"/>
      <c r="K250" s="55"/>
      <c r="L250" s="55"/>
      <c r="M250" s="53"/>
      <c r="N250" s="56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</row>
    <row r="251" spans="1:37" ht="13.8" x14ac:dyDescent="0.25">
      <c r="A251" s="46"/>
      <c r="B251" s="47"/>
      <c r="C251" s="48"/>
      <c r="D251" s="49"/>
      <c r="E251" s="50"/>
      <c r="F251" s="51"/>
      <c r="G251" s="52"/>
      <c r="H251" s="53"/>
      <c r="I251" s="54"/>
      <c r="J251" s="55"/>
      <c r="K251" s="55"/>
      <c r="L251" s="55"/>
      <c r="M251" s="53"/>
      <c r="N251" s="56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</row>
    <row r="252" spans="1:37" ht="13.8" x14ac:dyDescent="0.25">
      <c r="A252" s="46"/>
      <c r="B252" s="47"/>
      <c r="C252" s="48"/>
      <c r="D252" s="49"/>
      <c r="E252" s="50"/>
      <c r="F252" s="51"/>
      <c r="G252" s="52"/>
      <c r="H252" s="53"/>
      <c r="I252" s="54"/>
      <c r="J252" s="55"/>
      <c r="K252" s="55"/>
      <c r="L252" s="55"/>
      <c r="M252" s="53"/>
      <c r="N252" s="56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</row>
    <row r="253" spans="1:37" ht="13.8" x14ac:dyDescent="0.25">
      <c r="A253" s="46"/>
      <c r="B253" s="47"/>
      <c r="C253" s="48"/>
      <c r="D253" s="49"/>
      <c r="E253" s="50"/>
      <c r="F253" s="51"/>
      <c r="G253" s="52"/>
      <c r="H253" s="53"/>
      <c r="I253" s="54"/>
      <c r="J253" s="55"/>
      <c r="K253" s="55"/>
      <c r="L253" s="55"/>
      <c r="M253" s="53"/>
      <c r="N253" s="56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</row>
    <row r="254" spans="1:37" ht="13.8" x14ac:dyDescent="0.25">
      <c r="A254" s="46"/>
      <c r="B254" s="47"/>
      <c r="C254" s="48"/>
      <c r="D254" s="49"/>
      <c r="E254" s="50"/>
      <c r="F254" s="51"/>
      <c r="G254" s="52"/>
      <c r="H254" s="53"/>
      <c r="I254" s="54"/>
      <c r="J254" s="55"/>
      <c r="K254" s="55"/>
      <c r="L254" s="55"/>
      <c r="M254" s="53"/>
      <c r="N254" s="56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</row>
    <row r="255" spans="1:37" ht="13.8" x14ac:dyDescent="0.25">
      <c r="A255" s="46"/>
      <c r="B255" s="47"/>
      <c r="C255" s="48"/>
      <c r="D255" s="49"/>
      <c r="E255" s="50"/>
      <c r="F255" s="51"/>
      <c r="G255" s="52"/>
      <c r="H255" s="53"/>
      <c r="I255" s="54"/>
      <c r="J255" s="55"/>
      <c r="K255" s="55"/>
      <c r="L255" s="55"/>
      <c r="M255" s="53"/>
      <c r="N255" s="56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</row>
    <row r="256" spans="1:37" ht="13.8" x14ac:dyDescent="0.25">
      <c r="A256" s="46"/>
      <c r="B256" s="47"/>
      <c r="C256" s="48"/>
      <c r="D256" s="49"/>
      <c r="E256" s="50"/>
      <c r="F256" s="51"/>
      <c r="G256" s="52"/>
      <c r="H256" s="53"/>
      <c r="I256" s="54"/>
      <c r="J256" s="55"/>
      <c r="K256" s="55"/>
      <c r="L256" s="55"/>
      <c r="M256" s="53"/>
      <c r="N256" s="56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</row>
    <row r="257" spans="1:37" ht="13.8" x14ac:dyDescent="0.25">
      <c r="A257" s="46"/>
      <c r="B257" s="47"/>
      <c r="C257" s="48"/>
      <c r="D257" s="49"/>
      <c r="E257" s="50"/>
      <c r="F257" s="51"/>
      <c r="G257" s="52"/>
      <c r="H257" s="53"/>
      <c r="I257" s="54"/>
      <c r="J257" s="55"/>
      <c r="K257" s="55"/>
      <c r="L257" s="55"/>
      <c r="M257" s="53"/>
      <c r="N257" s="56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</row>
    <row r="258" spans="1:37" ht="13.8" x14ac:dyDescent="0.25">
      <c r="A258" s="46"/>
      <c r="B258" s="47"/>
      <c r="C258" s="48"/>
      <c r="D258" s="49"/>
      <c r="E258" s="50"/>
      <c r="F258" s="51"/>
      <c r="G258" s="52"/>
      <c r="H258" s="53"/>
      <c r="I258" s="54"/>
      <c r="J258" s="55"/>
      <c r="K258" s="55"/>
      <c r="L258" s="55"/>
      <c r="M258" s="53"/>
      <c r="N258" s="56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</row>
    <row r="259" spans="1:37" ht="13.8" x14ac:dyDescent="0.25">
      <c r="A259" s="46"/>
      <c r="B259" s="47"/>
      <c r="C259" s="48"/>
      <c r="D259" s="49"/>
      <c r="E259" s="50"/>
      <c r="F259" s="51"/>
      <c r="G259" s="52"/>
      <c r="H259" s="53"/>
      <c r="I259" s="54"/>
      <c r="J259" s="55"/>
      <c r="K259" s="55"/>
      <c r="L259" s="55"/>
      <c r="M259" s="53"/>
      <c r="N259" s="56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</row>
    <row r="260" spans="1:37" ht="13.8" x14ac:dyDescent="0.25">
      <c r="A260" s="46"/>
      <c r="B260" s="47"/>
      <c r="C260" s="48"/>
      <c r="D260" s="49"/>
      <c r="E260" s="50"/>
      <c r="F260" s="51"/>
      <c r="G260" s="52"/>
      <c r="H260" s="53"/>
      <c r="I260" s="54"/>
      <c r="J260" s="55"/>
      <c r="K260" s="55"/>
      <c r="L260" s="55"/>
      <c r="M260" s="53"/>
      <c r="N260" s="56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</row>
    <row r="261" spans="1:37" ht="13.8" x14ac:dyDescent="0.25">
      <c r="A261" s="46"/>
      <c r="B261" s="47"/>
      <c r="C261" s="48"/>
      <c r="D261" s="49"/>
      <c r="E261" s="50"/>
      <c r="F261" s="51"/>
      <c r="G261" s="52"/>
      <c r="H261" s="53"/>
      <c r="I261" s="54"/>
      <c r="J261" s="55"/>
      <c r="K261" s="55"/>
      <c r="L261" s="55"/>
      <c r="M261" s="53"/>
      <c r="N261" s="56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</row>
    <row r="262" spans="1:37" ht="13.8" x14ac:dyDescent="0.25">
      <c r="A262" s="46"/>
      <c r="B262" s="47"/>
      <c r="C262" s="48"/>
      <c r="D262" s="49"/>
      <c r="E262" s="50"/>
      <c r="F262" s="51"/>
      <c r="G262" s="52"/>
      <c r="H262" s="53"/>
      <c r="I262" s="54"/>
      <c r="J262" s="55"/>
      <c r="K262" s="55"/>
      <c r="L262" s="55"/>
      <c r="M262" s="53"/>
      <c r="N262" s="56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</row>
    <row r="263" spans="1:37" ht="13.8" x14ac:dyDescent="0.25">
      <c r="A263" s="46"/>
      <c r="B263" s="47"/>
      <c r="C263" s="48"/>
      <c r="D263" s="49"/>
      <c r="E263" s="50"/>
      <c r="F263" s="51"/>
      <c r="G263" s="52"/>
      <c r="H263" s="53"/>
      <c r="I263" s="54"/>
      <c r="J263" s="55"/>
      <c r="K263" s="55"/>
      <c r="L263" s="55"/>
      <c r="M263" s="53"/>
      <c r="N263" s="56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</row>
    <row r="264" spans="1:37" ht="13.8" x14ac:dyDescent="0.25">
      <c r="A264" s="46"/>
      <c r="B264" s="47"/>
      <c r="C264" s="48"/>
      <c r="D264" s="49"/>
      <c r="E264" s="50"/>
      <c r="F264" s="51"/>
      <c r="G264" s="52"/>
      <c r="H264" s="53"/>
      <c r="I264" s="54"/>
      <c r="J264" s="55"/>
      <c r="K264" s="55"/>
      <c r="L264" s="55"/>
      <c r="M264" s="53"/>
      <c r="N264" s="56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</row>
    <row r="265" spans="1:37" ht="13.8" x14ac:dyDescent="0.25">
      <c r="A265" s="46"/>
      <c r="B265" s="47"/>
      <c r="C265" s="48"/>
      <c r="D265" s="49"/>
      <c r="E265" s="50"/>
      <c r="F265" s="51"/>
      <c r="G265" s="52"/>
      <c r="H265" s="53"/>
      <c r="I265" s="54"/>
      <c r="J265" s="55"/>
      <c r="K265" s="55"/>
      <c r="L265" s="55"/>
      <c r="M265" s="53"/>
      <c r="N265" s="56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</row>
    <row r="266" spans="1:37" ht="13.8" x14ac:dyDescent="0.25">
      <c r="A266" s="46"/>
      <c r="B266" s="47"/>
      <c r="C266" s="48"/>
      <c r="D266" s="49"/>
      <c r="E266" s="50"/>
      <c r="F266" s="51"/>
      <c r="G266" s="52"/>
      <c r="H266" s="53"/>
      <c r="I266" s="54"/>
      <c r="J266" s="55"/>
      <c r="K266" s="55"/>
      <c r="L266" s="55"/>
      <c r="M266" s="53"/>
      <c r="N266" s="56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</row>
    <row r="267" spans="1:37" ht="13.8" x14ac:dyDescent="0.25">
      <c r="A267" s="46"/>
      <c r="B267" s="47"/>
      <c r="C267" s="48"/>
      <c r="D267" s="49"/>
      <c r="E267" s="50"/>
      <c r="F267" s="51"/>
      <c r="G267" s="52"/>
      <c r="H267" s="53"/>
      <c r="I267" s="54"/>
      <c r="J267" s="55"/>
      <c r="K267" s="55"/>
      <c r="L267" s="55"/>
      <c r="M267" s="53"/>
      <c r="N267" s="56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</row>
    <row r="268" spans="1:37" ht="13.8" x14ac:dyDescent="0.25">
      <c r="A268" s="46"/>
      <c r="B268" s="47"/>
      <c r="C268" s="48"/>
      <c r="D268" s="49"/>
      <c r="E268" s="50"/>
      <c r="F268" s="51"/>
      <c r="G268" s="52"/>
      <c r="H268" s="53"/>
      <c r="I268" s="54"/>
      <c r="J268" s="55"/>
      <c r="K268" s="55"/>
      <c r="L268" s="55"/>
      <c r="M268" s="53"/>
      <c r="N268" s="56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</row>
    <row r="269" spans="1:37" ht="13.8" x14ac:dyDescent="0.25">
      <c r="A269" s="46"/>
      <c r="B269" s="47"/>
      <c r="C269" s="48"/>
      <c r="D269" s="49"/>
      <c r="E269" s="50"/>
      <c r="F269" s="51"/>
      <c r="G269" s="52"/>
      <c r="H269" s="53"/>
      <c r="I269" s="54"/>
      <c r="J269" s="55"/>
      <c r="K269" s="55"/>
      <c r="L269" s="55"/>
      <c r="M269" s="53"/>
      <c r="N269" s="56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</row>
    <row r="270" spans="1:37" ht="13.8" x14ac:dyDescent="0.25">
      <c r="A270" s="46"/>
      <c r="B270" s="47"/>
      <c r="C270" s="48"/>
      <c r="D270" s="49"/>
      <c r="E270" s="50"/>
      <c r="F270" s="51"/>
      <c r="G270" s="52"/>
      <c r="H270" s="53"/>
      <c r="I270" s="54"/>
      <c r="J270" s="55"/>
      <c r="K270" s="55"/>
      <c r="L270" s="55"/>
      <c r="M270" s="53"/>
      <c r="N270" s="56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</row>
    <row r="271" spans="1:37" ht="13.8" x14ac:dyDescent="0.25">
      <c r="A271" s="46"/>
      <c r="B271" s="47"/>
      <c r="C271" s="48"/>
      <c r="D271" s="49"/>
      <c r="E271" s="50"/>
      <c r="F271" s="51"/>
      <c r="G271" s="52"/>
      <c r="H271" s="53"/>
      <c r="I271" s="54"/>
      <c r="J271" s="55"/>
      <c r="K271" s="55"/>
      <c r="L271" s="55"/>
      <c r="M271" s="53"/>
      <c r="N271" s="56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</row>
    <row r="272" spans="1:37" ht="13.8" x14ac:dyDescent="0.25">
      <c r="A272" s="46"/>
      <c r="B272" s="47"/>
      <c r="C272" s="48"/>
      <c r="D272" s="49"/>
      <c r="E272" s="50"/>
      <c r="F272" s="51"/>
      <c r="G272" s="52"/>
      <c r="H272" s="53"/>
      <c r="I272" s="54"/>
      <c r="J272" s="55"/>
      <c r="K272" s="55"/>
      <c r="L272" s="55"/>
      <c r="M272" s="53"/>
      <c r="N272" s="56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</row>
    <row r="273" spans="1:37" ht="13.8" x14ac:dyDescent="0.25">
      <c r="A273" s="46"/>
      <c r="B273" s="47"/>
      <c r="C273" s="48"/>
      <c r="D273" s="49"/>
      <c r="E273" s="50"/>
      <c r="F273" s="51"/>
      <c r="G273" s="52"/>
      <c r="H273" s="53"/>
      <c r="I273" s="54"/>
      <c r="J273" s="55"/>
      <c r="K273" s="55"/>
      <c r="L273" s="55"/>
      <c r="M273" s="53"/>
      <c r="N273" s="56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</row>
    <row r="274" spans="1:37" ht="13.8" x14ac:dyDescent="0.25">
      <c r="A274" s="46"/>
      <c r="B274" s="47"/>
      <c r="C274" s="48"/>
      <c r="D274" s="49"/>
      <c r="E274" s="50"/>
      <c r="F274" s="51"/>
      <c r="G274" s="52"/>
      <c r="H274" s="53"/>
      <c r="I274" s="54"/>
      <c r="J274" s="55"/>
      <c r="K274" s="55"/>
      <c r="L274" s="55"/>
      <c r="M274" s="53"/>
      <c r="N274" s="56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</row>
    <row r="275" spans="1:37" ht="13.8" x14ac:dyDescent="0.25">
      <c r="A275" s="46"/>
      <c r="B275" s="47"/>
      <c r="C275" s="48"/>
      <c r="D275" s="49"/>
      <c r="E275" s="50"/>
      <c r="F275" s="51"/>
      <c r="G275" s="52"/>
      <c r="H275" s="53"/>
      <c r="I275" s="54"/>
      <c r="J275" s="55"/>
      <c r="K275" s="55"/>
      <c r="L275" s="55"/>
      <c r="M275" s="53"/>
      <c r="N275" s="56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</row>
    <row r="276" spans="1:37" ht="13.8" x14ac:dyDescent="0.25">
      <c r="A276" s="46"/>
      <c r="B276" s="47"/>
      <c r="C276" s="48"/>
      <c r="D276" s="49"/>
      <c r="E276" s="50"/>
      <c r="F276" s="51"/>
      <c r="G276" s="52"/>
      <c r="H276" s="53"/>
      <c r="I276" s="54"/>
      <c r="J276" s="55"/>
      <c r="K276" s="55"/>
      <c r="L276" s="55"/>
      <c r="M276" s="53"/>
      <c r="N276" s="56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</row>
    <row r="277" spans="1:37" ht="13.8" x14ac:dyDescent="0.25">
      <c r="A277" s="46"/>
      <c r="B277" s="47"/>
      <c r="C277" s="48"/>
      <c r="D277" s="49"/>
      <c r="E277" s="50"/>
      <c r="F277" s="51"/>
      <c r="G277" s="52"/>
      <c r="H277" s="53"/>
      <c r="I277" s="54"/>
      <c r="J277" s="55"/>
      <c r="K277" s="55"/>
      <c r="L277" s="55"/>
      <c r="M277" s="53"/>
      <c r="N277" s="56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</row>
    <row r="278" spans="1:37" ht="13.8" x14ac:dyDescent="0.25">
      <c r="A278" s="46"/>
      <c r="B278" s="47"/>
      <c r="C278" s="48"/>
      <c r="D278" s="49"/>
      <c r="E278" s="50"/>
      <c r="F278" s="51"/>
      <c r="G278" s="52"/>
      <c r="H278" s="53"/>
      <c r="I278" s="54"/>
      <c r="J278" s="55"/>
      <c r="K278" s="55"/>
      <c r="L278" s="55"/>
      <c r="M278" s="53"/>
      <c r="N278" s="56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</row>
    <row r="279" spans="1:37" ht="13.8" x14ac:dyDescent="0.25">
      <c r="A279" s="46"/>
      <c r="B279" s="47"/>
      <c r="C279" s="48"/>
      <c r="D279" s="49"/>
      <c r="E279" s="50"/>
      <c r="F279" s="51"/>
      <c r="G279" s="52"/>
      <c r="H279" s="53"/>
      <c r="I279" s="54"/>
      <c r="J279" s="55"/>
      <c r="K279" s="55"/>
      <c r="L279" s="55"/>
      <c r="M279" s="53"/>
      <c r="N279" s="56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</row>
    <row r="280" spans="1:37" ht="13.8" x14ac:dyDescent="0.25">
      <c r="A280" s="46"/>
      <c r="B280" s="47"/>
      <c r="C280" s="48"/>
      <c r="D280" s="49"/>
      <c r="E280" s="50"/>
      <c r="F280" s="51"/>
      <c r="G280" s="52"/>
      <c r="H280" s="53"/>
      <c r="I280" s="54"/>
      <c r="J280" s="55"/>
      <c r="K280" s="55"/>
      <c r="L280" s="55"/>
      <c r="M280" s="53"/>
      <c r="N280" s="56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</row>
    <row r="281" spans="1:37" ht="13.8" x14ac:dyDescent="0.25">
      <c r="A281" s="46"/>
      <c r="B281" s="47"/>
      <c r="C281" s="48"/>
      <c r="D281" s="49"/>
      <c r="E281" s="50"/>
      <c r="F281" s="51"/>
      <c r="G281" s="52"/>
      <c r="H281" s="53"/>
      <c r="I281" s="54"/>
      <c r="J281" s="55"/>
      <c r="K281" s="55"/>
      <c r="L281" s="55"/>
      <c r="M281" s="53"/>
      <c r="N281" s="56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</row>
    <row r="282" spans="1:37" ht="13.8" x14ac:dyDescent="0.25">
      <c r="A282" s="46"/>
      <c r="B282" s="47"/>
      <c r="C282" s="48"/>
      <c r="D282" s="49"/>
      <c r="E282" s="50"/>
      <c r="F282" s="51"/>
      <c r="G282" s="52"/>
      <c r="H282" s="53"/>
      <c r="I282" s="54"/>
      <c r="J282" s="55"/>
      <c r="K282" s="55"/>
      <c r="L282" s="55"/>
      <c r="M282" s="53"/>
      <c r="N282" s="56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</row>
    <row r="283" spans="1:37" ht="13.8" x14ac:dyDescent="0.25">
      <c r="A283" s="46"/>
      <c r="B283" s="47"/>
      <c r="C283" s="48"/>
      <c r="D283" s="49"/>
      <c r="E283" s="50"/>
      <c r="F283" s="51"/>
      <c r="G283" s="52"/>
      <c r="H283" s="53"/>
      <c r="I283" s="54"/>
      <c r="J283" s="55"/>
      <c r="K283" s="55"/>
      <c r="L283" s="55"/>
      <c r="M283" s="53"/>
      <c r="N283" s="56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</row>
    <row r="284" spans="1:37" ht="13.8" x14ac:dyDescent="0.25">
      <c r="A284" s="46"/>
      <c r="B284" s="47"/>
      <c r="C284" s="48"/>
      <c r="D284" s="49"/>
      <c r="E284" s="50"/>
      <c r="F284" s="51"/>
      <c r="G284" s="52"/>
      <c r="H284" s="53"/>
      <c r="I284" s="54"/>
      <c r="J284" s="55"/>
      <c r="K284" s="55"/>
      <c r="L284" s="55"/>
      <c r="M284" s="53"/>
      <c r="N284" s="56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</row>
    <row r="285" spans="1:37" ht="13.8" x14ac:dyDescent="0.25">
      <c r="A285" s="46"/>
      <c r="B285" s="47"/>
      <c r="C285" s="48"/>
      <c r="D285" s="49"/>
      <c r="E285" s="50"/>
      <c r="F285" s="51"/>
      <c r="G285" s="52"/>
      <c r="H285" s="53"/>
      <c r="I285" s="54"/>
      <c r="J285" s="55"/>
      <c r="K285" s="55"/>
      <c r="L285" s="55"/>
      <c r="M285" s="53"/>
      <c r="N285" s="56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</row>
    <row r="286" spans="1:37" ht="13.8" x14ac:dyDescent="0.25">
      <c r="A286" s="46"/>
      <c r="B286" s="47"/>
      <c r="C286" s="48"/>
      <c r="D286" s="49"/>
      <c r="E286" s="50"/>
      <c r="F286" s="51"/>
      <c r="G286" s="52"/>
      <c r="H286" s="53"/>
      <c r="I286" s="54"/>
      <c r="J286" s="55"/>
      <c r="K286" s="55"/>
      <c r="L286" s="55"/>
      <c r="M286" s="53"/>
      <c r="N286" s="56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</row>
    <row r="287" spans="1:37" ht="13.8" x14ac:dyDescent="0.25">
      <c r="A287" s="46"/>
      <c r="B287" s="47"/>
      <c r="C287" s="48"/>
      <c r="D287" s="49"/>
      <c r="E287" s="50"/>
      <c r="F287" s="51"/>
      <c r="G287" s="52"/>
      <c r="H287" s="53"/>
      <c r="I287" s="54"/>
      <c r="J287" s="55"/>
      <c r="K287" s="55"/>
      <c r="L287" s="55"/>
      <c r="M287" s="53"/>
      <c r="N287" s="56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</row>
    <row r="288" spans="1:37" ht="13.8" x14ac:dyDescent="0.25">
      <c r="A288" s="46"/>
      <c r="B288" s="47"/>
      <c r="C288" s="48"/>
      <c r="D288" s="49"/>
      <c r="E288" s="50"/>
      <c r="F288" s="51"/>
      <c r="G288" s="52"/>
      <c r="H288" s="53"/>
      <c r="I288" s="54"/>
      <c r="J288" s="55"/>
      <c r="K288" s="55"/>
      <c r="L288" s="55"/>
      <c r="M288" s="53"/>
      <c r="N288" s="56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</row>
    <row r="289" spans="1:37" ht="13.8" x14ac:dyDescent="0.25">
      <c r="A289" s="46"/>
      <c r="B289" s="47"/>
      <c r="C289" s="48"/>
      <c r="D289" s="49"/>
      <c r="E289" s="50"/>
      <c r="F289" s="51"/>
      <c r="G289" s="52"/>
      <c r="H289" s="53"/>
      <c r="I289" s="54"/>
      <c r="J289" s="55"/>
      <c r="K289" s="55"/>
      <c r="L289" s="55"/>
      <c r="M289" s="53"/>
      <c r="N289" s="56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</row>
    <row r="290" spans="1:37" ht="13.8" x14ac:dyDescent="0.25">
      <c r="A290" s="46"/>
      <c r="B290" s="47"/>
      <c r="C290" s="48"/>
      <c r="D290" s="49"/>
      <c r="E290" s="50"/>
      <c r="F290" s="51"/>
      <c r="G290" s="52"/>
      <c r="H290" s="53"/>
      <c r="I290" s="54"/>
      <c r="J290" s="55"/>
      <c r="K290" s="55"/>
      <c r="L290" s="55"/>
      <c r="M290" s="53"/>
      <c r="N290" s="56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</row>
    <row r="291" spans="1:37" ht="13.8" x14ac:dyDescent="0.25">
      <c r="A291" s="46"/>
      <c r="B291" s="47"/>
      <c r="C291" s="48"/>
      <c r="D291" s="49"/>
      <c r="E291" s="50"/>
      <c r="F291" s="51"/>
      <c r="G291" s="52"/>
      <c r="H291" s="53"/>
      <c r="I291" s="54"/>
      <c r="J291" s="55"/>
      <c r="K291" s="55"/>
      <c r="L291" s="55"/>
      <c r="M291" s="53"/>
      <c r="N291" s="56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</row>
    <row r="292" spans="1:37" ht="13.8" x14ac:dyDescent="0.25">
      <c r="A292" s="46"/>
      <c r="B292" s="47"/>
      <c r="C292" s="48"/>
      <c r="D292" s="49"/>
      <c r="E292" s="50"/>
      <c r="F292" s="51"/>
      <c r="G292" s="52"/>
      <c r="H292" s="53"/>
      <c r="I292" s="54"/>
      <c r="J292" s="55"/>
      <c r="K292" s="55"/>
      <c r="L292" s="55"/>
      <c r="M292" s="53"/>
      <c r="N292" s="56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</row>
    <row r="293" spans="1:37" ht="13.8" x14ac:dyDescent="0.25">
      <c r="A293" s="46"/>
      <c r="B293" s="47"/>
      <c r="C293" s="48"/>
      <c r="D293" s="49"/>
      <c r="E293" s="50"/>
      <c r="F293" s="51"/>
      <c r="G293" s="52"/>
      <c r="H293" s="53"/>
      <c r="I293" s="54"/>
      <c r="J293" s="55"/>
      <c r="K293" s="55"/>
      <c r="L293" s="55"/>
      <c r="M293" s="53"/>
      <c r="N293" s="56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</row>
    <row r="294" spans="1:37" ht="13.8" x14ac:dyDescent="0.25">
      <c r="A294" s="46"/>
      <c r="B294" s="47"/>
      <c r="C294" s="48"/>
      <c r="D294" s="49"/>
      <c r="E294" s="50"/>
      <c r="F294" s="51"/>
      <c r="G294" s="52"/>
      <c r="H294" s="53"/>
      <c r="I294" s="54"/>
      <c r="J294" s="55"/>
      <c r="K294" s="55"/>
      <c r="L294" s="55"/>
      <c r="M294" s="53"/>
      <c r="N294" s="56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</row>
    <row r="295" spans="1:37" ht="13.8" x14ac:dyDescent="0.25">
      <c r="A295" s="46"/>
      <c r="B295" s="47"/>
      <c r="C295" s="48"/>
      <c r="D295" s="49"/>
      <c r="E295" s="50"/>
      <c r="F295" s="51"/>
      <c r="G295" s="52"/>
      <c r="H295" s="53"/>
      <c r="I295" s="54"/>
      <c r="J295" s="55"/>
      <c r="K295" s="55"/>
      <c r="L295" s="55"/>
      <c r="M295" s="53"/>
      <c r="N295" s="56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</row>
    <row r="296" spans="1:37" ht="13.8" x14ac:dyDescent="0.25">
      <c r="A296" s="46"/>
      <c r="B296" s="47"/>
      <c r="C296" s="48"/>
      <c r="D296" s="49"/>
      <c r="E296" s="50"/>
      <c r="F296" s="51"/>
      <c r="G296" s="52"/>
      <c r="H296" s="53"/>
      <c r="I296" s="54"/>
      <c r="J296" s="55"/>
      <c r="K296" s="55"/>
      <c r="L296" s="55"/>
      <c r="M296" s="53"/>
      <c r="N296" s="56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</row>
    <row r="297" spans="1:37" ht="13.8" x14ac:dyDescent="0.25">
      <c r="A297" s="46"/>
      <c r="B297" s="47"/>
      <c r="C297" s="48"/>
      <c r="D297" s="49"/>
      <c r="E297" s="50"/>
      <c r="F297" s="51"/>
      <c r="G297" s="52"/>
      <c r="H297" s="53"/>
      <c r="I297" s="54"/>
      <c r="J297" s="55"/>
      <c r="K297" s="55"/>
      <c r="L297" s="55"/>
      <c r="M297" s="53"/>
      <c r="N297" s="56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</row>
    <row r="298" spans="1:37" ht="13.8" x14ac:dyDescent="0.25">
      <c r="A298" s="46"/>
      <c r="B298" s="47"/>
      <c r="C298" s="48"/>
      <c r="D298" s="49"/>
      <c r="E298" s="50"/>
      <c r="F298" s="51"/>
      <c r="G298" s="52"/>
      <c r="H298" s="53"/>
      <c r="I298" s="54"/>
      <c r="J298" s="55"/>
      <c r="K298" s="55"/>
      <c r="L298" s="55"/>
      <c r="M298" s="53"/>
      <c r="N298" s="56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</row>
    <row r="299" spans="1:37" ht="13.8" x14ac:dyDescent="0.25">
      <c r="A299" s="46"/>
      <c r="B299" s="47"/>
      <c r="C299" s="48"/>
      <c r="D299" s="49"/>
      <c r="E299" s="50"/>
      <c r="F299" s="51"/>
      <c r="G299" s="52"/>
      <c r="H299" s="53"/>
      <c r="I299" s="54"/>
      <c r="J299" s="55"/>
      <c r="K299" s="55"/>
      <c r="L299" s="55"/>
      <c r="M299" s="53"/>
      <c r="N299" s="56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</row>
    <row r="300" spans="1:37" ht="13.8" x14ac:dyDescent="0.25">
      <c r="A300" s="46"/>
      <c r="B300" s="47"/>
      <c r="C300" s="48"/>
      <c r="D300" s="49"/>
      <c r="E300" s="50"/>
      <c r="F300" s="51"/>
      <c r="G300" s="52"/>
      <c r="H300" s="53"/>
      <c r="I300" s="54"/>
      <c r="J300" s="55"/>
      <c r="K300" s="55"/>
      <c r="L300" s="55"/>
      <c r="M300" s="53"/>
      <c r="N300" s="56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</row>
    <row r="301" spans="1:37" ht="13.8" x14ac:dyDescent="0.25">
      <c r="A301" s="46"/>
      <c r="B301" s="47"/>
      <c r="C301" s="48"/>
      <c r="D301" s="49"/>
      <c r="E301" s="50"/>
      <c r="F301" s="51"/>
      <c r="G301" s="52"/>
      <c r="H301" s="53"/>
      <c r="I301" s="54"/>
      <c r="J301" s="55"/>
      <c r="K301" s="55"/>
      <c r="L301" s="55"/>
      <c r="M301" s="53"/>
      <c r="N301" s="56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</row>
    <row r="302" spans="1:37" ht="13.8" x14ac:dyDescent="0.25">
      <c r="A302" s="46"/>
      <c r="B302" s="47"/>
      <c r="C302" s="48"/>
      <c r="D302" s="49"/>
      <c r="E302" s="50"/>
      <c r="F302" s="51"/>
      <c r="G302" s="52"/>
      <c r="H302" s="53"/>
      <c r="I302" s="54"/>
      <c r="J302" s="55"/>
      <c r="K302" s="55"/>
      <c r="L302" s="55"/>
      <c r="M302" s="53"/>
      <c r="N302" s="56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</row>
    <row r="303" spans="1:37" ht="13.8" x14ac:dyDescent="0.25">
      <c r="A303" s="46"/>
      <c r="B303" s="47"/>
      <c r="C303" s="48"/>
      <c r="D303" s="49"/>
      <c r="E303" s="50"/>
      <c r="F303" s="51"/>
      <c r="G303" s="52"/>
      <c r="H303" s="53"/>
      <c r="I303" s="54"/>
      <c r="J303" s="55"/>
      <c r="K303" s="55"/>
      <c r="L303" s="55"/>
      <c r="M303" s="53"/>
      <c r="N303" s="56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</row>
    <row r="304" spans="1:37" ht="13.8" x14ac:dyDescent="0.25">
      <c r="A304" s="46"/>
      <c r="B304" s="47"/>
      <c r="C304" s="48"/>
      <c r="D304" s="49"/>
      <c r="E304" s="50"/>
      <c r="F304" s="51"/>
      <c r="G304" s="52"/>
      <c r="H304" s="53"/>
      <c r="I304" s="54"/>
      <c r="J304" s="55"/>
      <c r="K304" s="55"/>
      <c r="L304" s="55"/>
      <c r="M304" s="53"/>
      <c r="N304" s="56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</row>
    <row r="305" spans="1:37" ht="13.8" x14ac:dyDescent="0.25">
      <c r="A305" s="46"/>
      <c r="B305" s="47"/>
      <c r="C305" s="48"/>
      <c r="D305" s="49"/>
      <c r="E305" s="50"/>
      <c r="F305" s="51"/>
      <c r="G305" s="52"/>
      <c r="H305" s="53"/>
      <c r="I305" s="54"/>
      <c r="J305" s="55"/>
      <c r="K305" s="55"/>
      <c r="L305" s="55"/>
      <c r="M305" s="53"/>
      <c r="N305" s="56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</row>
    <row r="306" spans="1:37" ht="13.8" x14ac:dyDescent="0.25">
      <c r="A306" s="46"/>
      <c r="B306" s="47"/>
      <c r="C306" s="48"/>
      <c r="D306" s="49"/>
      <c r="E306" s="50"/>
      <c r="F306" s="51"/>
      <c r="G306" s="52"/>
      <c r="H306" s="53"/>
      <c r="I306" s="54"/>
      <c r="J306" s="55"/>
      <c r="K306" s="55"/>
      <c r="L306" s="55"/>
      <c r="M306" s="53"/>
      <c r="N306" s="56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</row>
    <row r="307" spans="1:37" ht="13.8" x14ac:dyDescent="0.25">
      <c r="A307" s="46"/>
      <c r="B307" s="47"/>
      <c r="C307" s="48"/>
      <c r="D307" s="49"/>
      <c r="E307" s="50"/>
      <c r="F307" s="51"/>
      <c r="G307" s="52"/>
      <c r="H307" s="53"/>
      <c r="I307" s="54"/>
      <c r="J307" s="55"/>
      <c r="K307" s="55"/>
      <c r="L307" s="55"/>
      <c r="M307" s="53"/>
      <c r="N307" s="56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</row>
    <row r="308" spans="1:37" ht="13.8" x14ac:dyDescent="0.25">
      <c r="A308" s="46"/>
      <c r="B308" s="47"/>
      <c r="C308" s="48"/>
      <c r="D308" s="49"/>
      <c r="E308" s="50"/>
      <c r="F308" s="51"/>
      <c r="G308" s="52"/>
      <c r="H308" s="53"/>
      <c r="I308" s="54"/>
      <c r="J308" s="55"/>
      <c r="K308" s="55"/>
      <c r="L308" s="55"/>
      <c r="M308" s="53"/>
      <c r="N308" s="56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</row>
    <row r="309" spans="1:37" ht="13.8" x14ac:dyDescent="0.25">
      <c r="A309" s="46"/>
      <c r="B309" s="47"/>
      <c r="C309" s="48"/>
      <c r="D309" s="49"/>
      <c r="E309" s="50"/>
      <c r="F309" s="51"/>
      <c r="G309" s="52"/>
      <c r="H309" s="53"/>
      <c r="I309" s="54"/>
      <c r="J309" s="55"/>
      <c r="K309" s="55"/>
      <c r="L309" s="55"/>
      <c r="M309" s="53"/>
      <c r="N309" s="56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</row>
    <row r="310" spans="1:37" ht="13.8" x14ac:dyDescent="0.25">
      <c r="A310" s="46"/>
      <c r="B310" s="47"/>
      <c r="C310" s="48"/>
      <c r="D310" s="49"/>
      <c r="E310" s="50"/>
      <c r="F310" s="51"/>
      <c r="G310" s="52"/>
      <c r="H310" s="53"/>
      <c r="I310" s="54"/>
      <c r="J310" s="55"/>
      <c r="K310" s="55"/>
      <c r="L310" s="55"/>
      <c r="M310" s="53"/>
      <c r="N310" s="56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</row>
    <row r="311" spans="1:37" ht="13.8" x14ac:dyDescent="0.25">
      <c r="A311" s="46"/>
      <c r="B311" s="47"/>
      <c r="C311" s="48"/>
      <c r="D311" s="49"/>
      <c r="E311" s="50"/>
      <c r="F311" s="51"/>
      <c r="G311" s="52"/>
      <c r="H311" s="53"/>
      <c r="I311" s="54"/>
      <c r="J311" s="55"/>
      <c r="K311" s="55"/>
      <c r="L311" s="55"/>
      <c r="M311" s="53"/>
      <c r="N311" s="56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</row>
    <row r="312" spans="1:37" ht="13.8" x14ac:dyDescent="0.25">
      <c r="A312" s="46"/>
      <c r="B312" s="47"/>
      <c r="C312" s="48"/>
      <c r="D312" s="49"/>
      <c r="E312" s="50"/>
      <c r="F312" s="51"/>
      <c r="G312" s="52"/>
      <c r="H312" s="53"/>
      <c r="I312" s="54"/>
      <c r="J312" s="55"/>
      <c r="K312" s="55"/>
      <c r="L312" s="55"/>
      <c r="M312" s="53"/>
      <c r="N312" s="56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</row>
    <row r="313" spans="1:37" ht="13.8" x14ac:dyDescent="0.25">
      <c r="A313" s="46"/>
      <c r="B313" s="47"/>
      <c r="C313" s="48"/>
      <c r="D313" s="49"/>
      <c r="E313" s="50"/>
      <c r="F313" s="51"/>
      <c r="G313" s="52"/>
      <c r="H313" s="53"/>
      <c r="I313" s="54"/>
      <c r="J313" s="55"/>
      <c r="K313" s="55"/>
      <c r="L313" s="55"/>
      <c r="M313" s="53"/>
      <c r="N313" s="56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</row>
    <row r="314" spans="1:37" ht="13.8" x14ac:dyDescent="0.25">
      <c r="A314" s="46"/>
      <c r="B314" s="47"/>
      <c r="C314" s="48"/>
      <c r="D314" s="49"/>
      <c r="E314" s="50"/>
      <c r="F314" s="51"/>
      <c r="G314" s="52"/>
      <c r="H314" s="53"/>
      <c r="I314" s="54"/>
      <c r="J314" s="55"/>
      <c r="K314" s="55"/>
      <c r="L314" s="55"/>
      <c r="M314" s="53"/>
      <c r="N314" s="56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</row>
    <row r="315" spans="1:37" ht="13.8" x14ac:dyDescent="0.25">
      <c r="A315" s="46"/>
      <c r="B315" s="47"/>
      <c r="C315" s="48"/>
      <c r="D315" s="49"/>
      <c r="E315" s="50"/>
      <c r="F315" s="51"/>
      <c r="G315" s="52"/>
      <c r="H315" s="53"/>
      <c r="I315" s="54"/>
      <c r="J315" s="55"/>
      <c r="K315" s="55"/>
      <c r="L315" s="55"/>
      <c r="M315" s="53"/>
      <c r="N315" s="56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</row>
    <row r="316" spans="1:37" ht="13.8" x14ac:dyDescent="0.25">
      <c r="A316" s="46"/>
      <c r="B316" s="47"/>
      <c r="C316" s="48"/>
      <c r="D316" s="49"/>
      <c r="E316" s="50"/>
      <c r="F316" s="51"/>
      <c r="G316" s="52"/>
      <c r="H316" s="53"/>
      <c r="I316" s="54"/>
      <c r="J316" s="55"/>
      <c r="K316" s="55"/>
      <c r="L316" s="55"/>
      <c r="M316" s="53"/>
      <c r="N316" s="56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</row>
    <row r="317" spans="1:37" ht="13.8" x14ac:dyDescent="0.25">
      <c r="A317" s="46"/>
      <c r="B317" s="47"/>
      <c r="C317" s="48"/>
      <c r="D317" s="49"/>
      <c r="E317" s="50"/>
      <c r="F317" s="51"/>
      <c r="G317" s="52"/>
      <c r="H317" s="53"/>
      <c r="I317" s="54"/>
      <c r="J317" s="55"/>
      <c r="K317" s="55"/>
      <c r="L317" s="55"/>
      <c r="M317" s="53"/>
      <c r="N317" s="56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</row>
    <row r="318" spans="1:37" ht="13.8" x14ac:dyDescent="0.25">
      <c r="A318" s="46"/>
      <c r="B318" s="47"/>
      <c r="C318" s="48"/>
      <c r="D318" s="49"/>
      <c r="E318" s="50"/>
      <c r="F318" s="51"/>
      <c r="G318" s="52"/>
      <c r="H318" s="53"/>
      <c r="I318" s="54"/>
      <c r="J318" s="55"/>
      <c r="K318" s="55"/>
      <c r="L318" s="55"/>
      <c r="M318" s="53"/>
      <c r="N318" s="56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</row>
    <row r="319" spans="1:37" ht="13.8" x14ac:dyDescent="0.25">
      <c r="A319" s="46"/>
      <c r="B319" s="47"/>
      <c r="C319" s="48"/>
      <c r="D319" s="49"/>
      <c r="E319" s="50"/>
      <c r="F319" s="51"/>
      <c r="G319" s="52"/>
      <c r="H319" s="53"/>
      <c r="I319" s="54"/>
      <c r="J319" s="55"/>
      <c r="K319" s="55"/>
      <c r="L319" s="55"/>
      <c r="M319" s="53"/>
      <c r="N319" s="56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</row>
    <row r="320" spans="1:37" ht="13.8" x14ac:dyDescent="0.25">
      <c r="A320" s="46"/>
      <c r="B320" s="47"/>
      <c r="C320" s="48"/>
      <c r="D320" s="49"/>
      <c r="E320" s="50"/>
      <c r="F320" s="51"/>
      <c r="G320" s="52"/>
      <c r="H320" s="53"/>
      <c r="I320" s="54"/>
      <c r="J320" s="55"/>
      <c r="K320" s="55"/>
      <c r="L320" s="55"/>
      <c r="M320" s="53"/>
      <c r="N320" s="56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</row>
    <row r="321" spans="1:37" ht="13.8" x14ac:dyDescent="0.25">
      <c r="A321" s="46"/>
      <c r="B321" s="47"/>
      <c r="C321" s="48"/>
      <c r="D321" s="49"/>
      <c r="E321" s="50"/>
      <c r="F321" s="51"/>
      <c r="G321" s="52"/>
      <c r="H321" s="53"/>
      <c r="I321" s="54"/>
      <c r="J321" s="55"/>
      <c r="K321" s="55"/>
      <c r="L321" s="55"/>
      <c r="M321" s="53"/>
      <c r="N321" s="56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</row>
    <row r="322" spans="1:37" ht="13.8" x14ac:dyDescent="0.25">
      <c r="A322" s="46"/>
      <c r="B322" s="47"/>
      <c r="C322" s="48"/>
      <c r="D322" s="49"/>
      <c r="E322" s="50"/>
      <c r="F322" s="51"/>
      <c r="G322" s="52"/>
      <c r="H322" s="53"/>
      <c r="I322" s="54"/>
      <c r="J322" s="55"/>
      <c r="K322" s="55"/>
      <c r="L322" s="55"/>
      <c r="M322" s="53"/>
      <c r="N322" s="56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</row>
    <row r="323" spans="1:37" ht="13.8" x14ac:dyDescent="0.25">
      <c r="A323" s="46"/>
      <c r="B323" s="47"/>
      <c r="C323" s="48"/>
      <c r="D323" s="49"/>
      <c r="E323" s="50"/>
      <c r="F323" s="51"/>
      <c r="G323" s="52"/>
      <c r="H323" s="53"/>
      <c r="I323" s="54"/>
      <c r="J323" s="55"/>
      <c r="K323" s="55"/>
      <c r="L323" s="55"/>
      <c r="M323" s="53"/>
      <c r="N323" s="56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</row>
    <row r="324" spans="1:37" ht="13.8" x14ac:dyDescent="0.25">
      <c r="A324" s="46"/>
      <c r="B324" s="47"/>
      <c r="C324" s="48"/>
      <c r="D324" s="49"/>
      <c r="E324" s="50"/>
      <c r="F324" s="51"/>
      <c r="G324" s="52"/>
      <c r="H324" s="53"/>
      <c r="I324" s="54"/>
      <c r="J324" s="55"/>
      <c r="K324" s="55"/>
      <c r="L324" s="55"/>
      <c r="M324" s="53"/>
      <c r="N324" s="56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</row>
    <row r="325" spans="1:37" ht="13.8" x14ac:dyDescent="0.25">
      <c r="A325" s="46"/>
      <c r="B325" s="47"/>
      <c r="C325" s="48"/>
      <c r="D325" s="49"/>
      <c r="E325" s="50"/>
      <c r="F325" s="51"/>
      <c r="G325" s="52"/>
      <c r="H325" s="53"/>
      <c r="I325" s="54"/>
      <c r="J325" s="55"/>
      <c r="K325" s="55"/>
      <c r="L325" s="55"/>
      <c r="M325" s="53"/>
      <c r="N325" s="56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</row>
    <row r="326" spans="1:37" ht="13.8" x14ac:dyDescent="0.25">
      <c r="A326" s="46"/>
      <c r="B326" s="47"/>
      <c r="C326" s="48"/>
      <c r="D326" s="49"/>
      <c r="E326" s="50"/>
      <c r="F326" s="51"/>
      <c r="G326" s="52"/>
      <c r="H326" s="53"/>
      <c r="I326" s="54"/>
      <c r="J326" s="55"/>
      <c r="K326" s="55"/>
      <c r="L326" s="55"/>
      <c r="M326" s="53"/>
      <c r="N326" s="56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</row>
    <row r="327" spans="1:37" ht="13.8" x14ac:dyDescent="0.25">
      <c r="A327" s="46"/>
      <c r="B327" s="47"/>
      <c r="C327" s="48"/>
      <c r="D327" s="49"/>
      <c r="E327" s="50"/>
      <c r="F327" s="51"/>
      <c r="G327" s="52"/>
      <c r="H327" s="53"/>
      <c r="I327" s="54"/>
      <c r="J327" s="55"/>
      <c r="K327" s="55"/>
      <c r="L327" s="55"/>
      <c r="M327" s="53"/>
      <c r="N327" s="56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</row>
    <row r="328" spans="1:37" ht="13.8" x14ac:dyDescent="0.25">
      <c r="A328" s="46"/>
      <c r="B328" s="47"/>
      <c r="C328" s="48"/>
      <c r="D328" s="49"/>
      <c r="E328" s="50"/>
      <c r="F328" s="51"/>
      <c r="G328" s="52"/>
      <c r="H328" s="53"/>
      <c r="I328" s="54"/>
      <c r="J328" s="55"/>
      <c r="K328" s="55"/>
      <c r="L328" s="55"/>
      <c r="M328" s="53"/>
      <c r="N328" s="56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</row>
    <row r="329" spans="1:37" ht="13.8" x14ac:dyDescent="0.25">
      <c r="A329" s="46"/>
      <c r="B329" s="47"/>
      <c r="C329" s="48"/>
      <c r="D329" s="49"/>
      <c r="E329" s="50"/>
      <c r="F329" s="51"/>
      <c r="G329" s="52"/>
      <c r="H329" s="53"/>
      <c r="I329" s="54"/>
      <c r="J329" s="55"/>
      <c r="K329" s="55"/>
      <c r="L329" s="55"/>
      <c r="M329" s="53"/>
      <c r="N329" s="56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</row>
    <row r="330" spans="1:37" ht="13.8" x14ac:dyDescent="0.25">
      <c r="A330" s="46"/>
      <c r="B330" s="47"/>
      <c r="C330" s="48"/>
      <c r="D330" s="49"/>
      <c r="E330" s="50"/>
      <c r="F330" s="51"/>
      <c r="G330" s="52"/>
      <c r="H330" s="53"/>
      <c r="I330" s="54"/>
      <c r="J330" s="55"/>
      <c r="K330" s="55"/>
      <c r="L330" s="55"/>
      <c r="M330" s="53"/>
      <c r="N330" s="56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</row>
    <row r="331" spans="1:37" ht="13.8" x14ac:dyDescent="0.25">
      <c r="A331" s="46"/>
      <c r="B331" s="47"/>
      <c r="C331" s="48"/>
      <c r="D331" s="49"/>
      <c r="E331" s="50"/>
      <c r="F331" s="51"/>
      <c r="G331" s="52"/>
      <c r="H331" s="53"/>
      <c r="I331" s="54"/>
      <c r="J331" s="55"/>
      <c r="K331" s="55"/>
      <c r="L331" s="55"/>
      <c r="M331" s="53"/>
      <c r="N331" s="56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</row>
    <row r="332" spans="1:37" ht="13.8" x14ac:dyDescent="0.25">
      <c r="A332" s="46"/>
      <c r="B332" s="47"/>
      <c r="C332" s="48"/>
      <c r="D332" s="49"/>
      <c r="E332" s="50"/>
      <c r="F332" s="51"/>
      <c r="G332" s="52"/>
      <c r="H332" s="53"/>
      <c r="I332" s="54"/>
      <c r="J332" s="55"/>
      <c r="K332" s="55"/>
      <c r="L332" s="55"/>
      <c r="M332" s="53"/>
      <c r="N332" s="56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</row>
    <row r="333" spans="1:37" ht="13.8" x14ac:dyDescent="0.25">
      <c r="A333" s="46"/>
      <c r="B333" s="47"/>
      <c r="C333" s="48"/>
      <c r="D333" s="49"/>
      <c r="E333" s="50"/>
      <c r="F333" s="51"/>
      <c r="G333" s="52"/>
      <c r="H333" s="53"/>
      <c r="I333" s="54"/>
      <c r="J333" s="55"/>
      <c r="K333" s="55"/>
      <c r="L333" s="55"/>
      <c r="M333" s="53"/>
      <c r="N333" s="56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</row>
    <row r="334" spans="1:37" ht="13.8" x14ac:dyDescent="0.25">
      <c r="A334" s="46"/>
      <c r="B334" s="47"/>
      <c r="C334" s="48"/>
      <c r="D334" s="49"/>
      <c r="E334" s="50"/>
      <c r="F334" s="51"/>
      <c r="G334" s="52"/>
      <c r="H334" s="53"/>
      <c r="I334" s="54"/>
      <c r="J334" s="55"/>
      <c r="K334" s="55"/>
      <c r="L334" s="55"/>
      <c r="M334" s="53"/>
      <c r="N334" s="56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</row>
    <row r="335" spans="1:37" ht="13.8" x14ac:dyDescent="0.25">
      <c r="A335" s="46"/>
      <c r="B335" s="47"/>
      <c r="C335" s="48"/>
      <c r="D335" s="49"/>
      <c r="E335" s="50"/>
      <c r="F335" s="51"/>
      <c r="G335" s="52"/>
      <c r="H335" s="53"/>
      <c r="I335" s="54"/>
      <c r="J335" s="55"/>
      <c r="K335" s="55"/>
      <c r="L335" s="55"/>
      <c r="M335" s="53"/>
      <c r="N335" s="56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</row>
    <row r="336" spans="1:37" ht="13.8" x14ac:dyDescent="0.25">
      <c r="A336" s="46"/>
      <c r="B336" s="47"/>
      <c r="C336" s="48"/>
      <c r="D336" s="49"/>
      <c r="E336" s="50"/>
      <c r="F336" s="51"/>
      <c r="G336" s="52"/>
      <c r="H336" s="53"/>
      <c r="I336" s="54"/>
      <c r="J336" s="55"/>
      <c r="K336" s="55"/>
      <c r="L336" s="55"/>
      <c r="M336" s="53"/>
      <c r="N336" s="56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</row>
    <row r="337" spans="1:37" ht="13.8" x14ac:dyDescent="0.25">
      <c r="A337" s="46"/>
      <c r="B337" s="47"/>
      <c r="C337" s="48"/>
      <c r="D337" s="49"/>
      <c r="E337" s="50"/>
      <c r="F337" s="51"/>
      <c r="G337" s="52"/>
      <c r="H337" s="53"/>
      <c r="I337" s="54"/>
      <c r="J337" s="55"/>
      <c r="K337" s="55"/>
      <c r="L337" s="55"/>
      <c r="M337" s="53"/>
      <c r="N337" s="56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</row>
    <row r="338" spans="1:37" ht="13.8" x14ac:dyDescent="0.25">
      <c r="A338" s="46"/>
      <c r="B338" s="47"/>
      <c r="C338" s="48"/>
      <c r="D338" s="49"/>
      <c r="E338" s="50"/>
      <c r="F338" s="51"/>
      <c r="G338" s="52"/>
      <c r="H338" s="53"/>
      <c r="I338" s="54"/>
      <c r="J338" s="55"/>
      <c r="K338" s="55"/>
      <c r="L338" s="55"/>
      <c r="M338" s="53"/>
      <c r="N338" s="56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</row>
    <row r="339" spans="1:37" ht="13.8" x14ac:dyDescent="0.25">
      <c r="A339" s="46"/>
      <c r="B339" s="47"/>
      <c r="C339" s="48"/>
      <c r="D339" s="49"/>
      <c r="E339" s="50"/>
      <c r="F339" s="51"/>
      <c r="G339" s="52"/>
      <c r="H339" s="53"/>
      <c r="I339" s="54"/>
      <c r="J339" s="55"/>
      <c r="K339" s="55"/>
      <c r="L339" s="55"/>
      <c r="M339" s="53"/>
      <c r="N339" s="56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</row>
    <row r="340" spans="1:37" ht="13.8" x14ac:dyDescent="0.25">
      <c r="A340" s="46"/>
      <c r="B340" s="47"/>
      <c r="C340" s="48"/>
      <c r="D340" s="49"/>
      <c r="E340" s="50"/>
      <c r="F340" s="51"/>
      <c r="G340" s="52"/>
      <c r="H340" s="53"/>
      <c r="I340" s="54"/>
      <c r="J340" s="55"/>
      <c r="K340" s="55"/>
      <c r="L340" s="55"/>
      <c r="M340" s="53"/>
      <c r="N340" s="56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</row>
    <row r="341" spans="1:37" ht="13.8" x14ac:dyDescent="0.25">
      <c r="A341" s="46"/>
      <c r="B341" s="47"/>
      <c r="C341" s="48"/>
      <c r="D341" s="49"/>
      <c r="E341" s="50"/>
      <c r="F341" s="51"/>
      <c r="G341" s="52"/>
      <c r="H341" s="53"/>
      <c r="I341" s="54"/>
      <c r="J341" s="55"/>
      <c r="K341" s="55"/>
      <c r="L341" s="55"/>
      <c r="M341" s="53"/>
      <c r="N341" s="56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</row>
    <row r="342" spans="1:37" ht="13.8" x14ac:dyDescent="0.25">
      <c r="A342" s="46"/>
      <c r="B342" s="47"/>
      <c r="C342" s="48"/>
      <c r="D342" s="49"/>
      <c r="E342" s="50"/>
      <c r="F342" s="51"/>
      <c r="G342" s="52"/>
      <c r="H342" s="53"/>
      <c r="I342" s="54"/>
      <c r="J342" s="55"/>
      <c r="K342" s="55"/>
      <c r="L342" s="55"/>
      <c r="M342" s="53"/>
      <c r="N342" s="56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</row>
    <row r="343" spans="1:37" ht="13.8" x14ac:dyDescent="0.25">
      <c r="A343" s="46"/>
      <c r="B343" s="47"/>
      <c r="C343" s="48"/>
      <c r="D343" s="49"/>
      <c r="E343" s="50"/>
      <c r="F343" s="51"/>
      <c r="G343" s="52"/>
      <c r="H343" s="53"/>
      <c r="I343" s="54"/>
      <c r="J343" s="55"/>
      <c r="K343" s="55"/>
      <c r="L343" s="55"/>
      <c r="M343" s="53"/>
      <c r="N343" s="56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</row>
    <row r="344" spans="1:37" ht="13.8" x14ac:dyDescent="0.25">
      <c r="A344" s="46"/>
      <c r="B344" s="47"/>
      <c r="C344" s="48"/>
      <c r="D344" s="49"/>
      <c r="E344" s="50"/>
      <c r="F344" s="51"/>
      <c r="G344" s="52"/>
      <c r="H344" s="53"/>
      <c r="I344" s="54"/>
      <c r="J344" s="55"/>
      <c r="K344" s="55"/>
      <c r="L344" s="55"/>
      <c r="M344" s="53"/>
      <c r="N344" s="56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</row>
    <row r="345" spans="1:37" ht="13.8" x14ac:dyDescent="0.25">
      <c r="A345" s="46"/>
      <c r="B345" s="47"/>
      <c r="C345" s="48"/>
      <c r="D345" s="49"/>
      <c r="E345" s="50"/>
      <c r="F345" s="51"/>
      <c r="G345" s="52"/>
      <c r="H345" s="53"/>
      <c r="I345" s="54"/>
      <c r="J345" s="55"/>
      <c r="K345" s="55"/>
      <c r="L345" s="55"/>
      <c r="M345" s="53"/>
      <c r="N345" s="56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</row>
    <row r="346" spans="1:37" ht="13.8" x14ac:dyDescent="0.25">
      <c r="A346" s="46"/>
      <c r="B346" s="47"/>
      <c r="C346" s="48"/>
      <c r="D346" s="49"/>
      <c r="E346" s="50"/>
      <c r="F346" s="51"/>
      <c r="G346" s="52"/>
      <c r="H346" s="53"/>
      <c r="I346" s="54"/>
      <c r="J346" s="55"/>
      <c r="K346" s="55"/>
      <c r="L346" s="55"/>
      <c r="M346" s="53"/>
      <c r="N346" s="56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</row>
    <row r="347" spans="1:37" ht="13.8" x14ac:dyDescent="0.25">
      <c r="A347" s="46"/>
      <c r="B347" s="47"/>
      <c r="C347" s="48"/>
      <c r="D347" s="49"/>
      <c r="E347" s="50"/>
      <c r="F347" s="51"/>
      <c r="G347" s="52"/>
      <c r="H347" s="53"/>
      <c r="I347" s="54"/>
      <c r="J347" s="55"/>
      <c r="K347" s="55"/>
      <c r="L347" s="55"/>
      <c r="M347" s="53"/>
      <c r="N347" s="56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</row>
    <row r="348" spans="1:37" ht="13.8" x14ac:dyDescent="0.25">
      <c r="A348" s="46"/>
      <c r="B348" s="47"/>
      <c r="C348" s="48"/>
      <c r="D348" s="49"/>
      <c r="E348" s="50"/>
      <c r="F348" s="51"/>
      <c r="G348" s="52"/>
      <c r="H348" s="53"/>
      <c r="I348" s="54"/>
      <c r="J348" s="55"/>
      <c r="K348" s="55"/>
      <c r="L348" s="55"/>
      <c r="M348" s="53"/>
      <c r="N348" s="56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</row>
    <row r="349" spans="1:37" ht="13.8" x14ac:dyDescent="0.25">
      <c r="A349" s="46"/>
      <c r="B349" s="47"/>
      <c r="C349" s="48"/>
      <c r="D349" s="49"/>
      <c r="E349" s="50"/>
      <c r="F349" s="51"/>
      <c r="G349" s="52"/>
      <c r="H349" s="53"/>
      <c r="I349" s="54"/>
      <c r="J349" s="55"/>
      <c r="K349" s="55"/>
      <c r="L349" s="55"/>
      <c r="M349" s="53"/>
      <c r="N349" s="56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</row>
    <row r="350" spans="1:37" ht="13.8" x14ac:dyDescent="0.25">
      <c r="A350" s="46"/>
      <c r="B350" s="47"/>
      <c r="C350" s="48"/>
      <c r="D350" s="49"/>
      <c r="E350" s="50"/>
      <c r="F350" s="51"/>
      <c r="G350" s="52"/>
      <c r="H350" s="53"/>
      <c r="I350" s="54"/>
      <c r="J350" s="55"/>
      <c r="K350" s="55"/>
      <c r="L350" s="55"/>
      <c r="M350" s="53"/>
      <c r="N350" s="56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</row>
    <row r="351" spans="1:37" ht="13.8" x14ac:dyDescent="0.25">
      <c r="A351" s="46"/>
      <c r="B351" s="47"/>
      <c r="C351" s="48"/>
      <c r="D351" s="49"/>
      <c r="E351" s="50"/>
      <c r="F351" s="51"/>
      <c r="G351" s="52"/>
      <c r="H351" s="53"/>
      <c r="I351" s="54"/>
      <c r="J351" s="55"/>
      <c r="K351" s="55"/>
      <c r="L351" s="55"/>
      <c r="M351" s="53"/>
      <c r="N351" s="56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</row>
    <row r="352" spans="1:37" ht="13.8" x14ac:dyDescent="0.25">
      <c r="A352" s="46"/>
      <c r="B352" s="47"/>
      <c r="C352" s="48"/>
      <c r="D352" s="49"/>
      <c r="E352" s="50"/>
      <c r="F352" s="51"/>
      <c r="G352" s="52"/>
      <c r="H352" s="53"/>
      <c r="I352" s="54"/>
      <c r="J352" s="55"/>
      <c r="K352" s="55"/>
      <c r="L352" s="55"/>
      <c r="M352" s="53"/>
      <c r="N352" s="56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</row>
    <row r="353" spans="1:37" ht="13.8" x14ac:dyDescent="0.25">
      <c r="A353" s="46"/>
      <c r="B353" s="47"/>
      <c r="C353" s="48"/>
      <c r="D353" s="49"/>
      <c r="E353" s="50"/>
      <c r="F353" s="51"/>
      <c r="G353" s="52"/>
      <c r="H353" s="53"/>
      <c r="I353" s="54"/>
      <c r="J353" s="55"/>
      <c r="K353" s="55"/>
      <c r="L353" s="55"/>
      <c r="M353" s="53"/>
      <c r="N353" s="56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</row>
    <row r="354" spans="1:37" ht="13.8" x14ac:dyDescent="0.25">
      <c r="A354" s="46"/>
      <c r="B354" s="47"/>
      <c r="C354" s="48"/>
      <c r="D354" s="49"/>
      <c r="E354" s="50"/>
      <c r="F354" s="51"/>
      <c r="G354" s="52"/>
      <c r="H354" s="53"/>
      <c r="I354" s="54"/>
      <c r="J354" s="55"/>
      <c r="K354" s="55"/>
      <c r="L354" s="55"/>
      <c r="M354" s="53"/>
      <c r="N354" s="56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</row>
    <row r="355" spans="1:37" ht="13.8" x14ac:dyDescent="0.25">
      <c r="A355" s="46"/>
      <c r="B355" s="47"/>
      <c r="C355" s="48"/>
      <c r="D355" s="49"/>
      <c r="E355" s="50"/>
      <c r="F355" s="51"/>
      <c r="G355" s="52"/>
      <c r="H355" s="53"/>
      <c r="I355" s="54"/>
      <c r="J355" s="55"/>
      <c r="K355" s="55"/>
      <c r="L355" s="55"/>
      <c r="M355" s="53"/>
      <c r="N355" s="56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</row>
    <row r="356" spans="1:37" ht="13.8" x14ac:dyDescent="0.25">
      <c r="A356" s="46"/>
      <c r="B356" s="47"/>
      <c r="C356" s="48"/>
      <c r="D356" s="49"/>
      <c r="E356" s="50"/>
      <c r="F356" s="51"/>
      <c r="G356" s="52"/>
      <c r="H356" s="53"/>
      <c r="I356" s="54"/>
      <c r="J356" s="55"/>
      <c r="K356" s="55"/>
      <c r="L356" s="55"/>
      <c r="M356" s="53"/>
      <c r="N356" s="56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</row>
    <row r="357" spans="1:37" ht="13.8" x14ac:dyDescent="0.25">
      <c r="A357" s="46"/>
      <c r="B357" s="47"/>
      <c r="C357" s="48"/>
      <c r="D357" s="49"/>
      <c r="E357" s="50"/>
      <c r="F357" s="51"/>
      <c r="G357" s="52"/>
      <c r="H357" s="53"/>
      <c r="I357" s="54"/>
      <c r="J357" s="55"/>
      <c r="K357" s="55"/>
      <c r="L357" s="55"/>
      <c r="M357" s="53"/>
      <c r="N357" s="56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</row>
    <row r="358" spans="1:37" ht="13.8" x14ac:dyDescent="0.25">
      <c r="A358" s="46"/>
      <c r="B358" s="47"/>
      <c r="C358" s="48"/>
      <c r="D358" s="49"/>
      <c r="E358" s="50"/>
      <c r="F358" s="51"/>
      <c r="G358" s="52"/>
      <c r="H358" s="53"/>
      <c r="I358" s="54"/>
      <c r="J358" s="55"/>
      <c r="K358" s="55"/>
      <c r="L358" s="55"/>
      <c r="M358" s="53"/>
      <c r="N358" s="56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</row>
    <row r="359" spans="1:37" ht="13.8" x14ac:dyDescent="0.25">
      <c r="A359" s="46"/>
      <c r="B359" s="47"/>
      <c r="C359" s="48"/>
      <c r="D359" s="49"/>
      <c r="E359" s="50"/>
      <c r="F359" s="51"/>
      <c r="G359" s="52"/>
      <c r="H359" s="53"/>
      <c r="I359" s="54"/>
      <c r="J359" s="55"/>
      <c r="K359" s="55"/>
      <c r="L359" s="55"/>
      <c r="M359" s="53"/>
      <c r="N359" s="56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</row>
    <row r="360" spans="1:37" ht="13.8" x14ac:dyDescent="0.25">
      <c r="A360" s="46"/>
      <c r="B360" s="47"/>
      <c r="C360" s="48"/>
      <c r="D360" s="49"/>
      <c r="E360" s="50"/>
      <c r="F360" s="51"/>
      <c r="G360" s="52"/>
      <c r="H360" s="53"/>
      <c r="I360" s="54"/>
      <c r="J360" s="55"/>
      <c r="K360" s="55"/>
      <c r="L360" s="55"/>
      <c r="M360" s="53"/>
      <c r="N360" s="56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</row>
    <row r="361" spans="1:37" ht="13.8" x14ac:dyDescent="0.25">
      <c r="A361" s="46"/>
      <c r="B361" s="47"/>
      <c r="C361" s="48"/>
      <c r="D361" s="49"/>
      <c r="E361" s="50"/>
      <c r="F361" s="51"/>
      <c r="G361" s="52"/>
      <c r="H361" s="53"/>
      <c r="I361" s="54"/>
      <c r="J361" s="55"/>
      <c r="K361" s="55"/>
      <c r="L361" s="55"/>
      <c r="M361" s="53"/>
      <c r="N361" s="56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</row>
    <row r="362" spans="1:37" ht="13.8" x14ac:dyDescent="0.25">
      <c r="A362" s="46"/>
      <c r="B362" s="47"/>
      <c r="C362" s="48"/>
      <c r="D362" s="49"/>
      <c r="E362" s="50"/>
      <c r="F362" s="51"/>
      <c r="G362" s="52"/>
      <c r="H362" s="53"/>
      <c r="I362" s="54"/>
      <c r="J362" s="55"/>
      <c r="K362" s="55"/>
      <c r="L362" s="55"/>
      <c r="M362" s="53"/>
      <c r="N362" s="56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</row>
    <row r="363" spans="1:37" ht="13.8" x14ac:dyDescent="0.25">
      <c r="A363" s="46"/>
      <c r="B363" s="47"/>
      <c r="C363" s="48"/>
      <c r="D363" s="49"/>
      <c r="E363" s="50"/>
      <c r="F363" s="51"/>
      <c r="G363" s="52"/>
      <c r="H363" s="53"/>
      <c r="I363" s="54"/>
      <c r="J363" s="55"/>
      <c r="K363" s="55"/>
      <c r="L363" s="55"/>
      <c r="M363" s="53"/>
      <c r="N363" s="56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</row>
    <row r="364" spans="1:37" ht="13.8" x14ac:dyDescent="0.25">
      <c r="A364" s="46"/>
      <c r="B364" s="47"/>
      <c r="C364" s="48"/>
      <c r="D364" s="49"/>
      <c r="E364" s="50"/>
      <c r="F364" s="51"/>
      <c r="G364" s="52"/>
      <c r="H364" s="53"/>
      <c r="I364" s="54"/>
      <c r="J364" s="55"/>
      <c r="K364" s="55"/>
      <c r="L364" s="55"/>
      <c r="M364" s="53"/>
      <c r="N364" s="56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</row>
    <row r="365" spans="1:37" ht="13.8" x14ac:dyDescent="0.25">
      <c r="A365" s="46"/>
      <c r="B365" s="47"/>
      <c r="C365" s="48"/>
      <c r="D365" s="49"/>
      <c r="E365" s="50"/>
      <c r="F365" s="51"/>
      <c r="G365" s="52"/>
      <c r="H365" s="53"/>
      <c r="I365" s="54"/>
      <c r="J365" s="55"/>
      <c r="K365" s="55"/>
      <c r="L365" s="55"/>
      <c r="M365" s="53"/>
      <c r="N365" s="56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</row>
    <row r="366" spans="1:37" ht="13.8" x14ac:dyDescent="0.25">
      <c r="A366" s="46"/>
      <c r="B366" s="47"/>
      <c r="C366" s="48"/>
      <c r="D366" s="49"/>
      <c r="E366" s="50"/>
      <c r="F366" s="51"/>
      <c r="G366" s="52"/>
      <c r="H366" s="53"/>
      <c r="I366" s="54"/>
      <c r="J366" s="55"/>
      <c r="K366" s="55"/>
      <c r="L366" s="55"/>
      <c r="M366" s="53"/>
      <c r="N366" s="56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</row>
    <row r="367" spans="1:37" ht="13.8" x14ac:dyDescent="0.25">
      <c r="A367" s="46"/>
      <c r="B367" s="47"/>
      <c r="C367" s="48"/>
      <c r="D367" s="49"/>
      <c r="E367" s="50"/>
      <c r="F367" s="51"/>
      <c r="G367" s="52"/>
      <c r="H367" s="53"/>
      <c r="I367" s="54"/>
      <c r="J367" s="55"/>
      <c r="K367" s="55"/>
      <c r="L367" s="55"/>
      <c r="M367" s="53"/>
      <c r="N367" s="56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</row>
    <row r="368" spans="1:37" ht="13.8" x14ac:dyDescent="0.25">
      <c r="A368" s="46"/>
      <c r="B368" s="47"/>
      <c r="C368" s="48"/>
      <c r="D368" s="49"/>
      <c r="E368" s="50"/>
      <c r="F368" s="51"/>
      <c r="G368" s="52"/>
      <c r="H368" s="53"/>
      <c r="I368" s="54"/>
      <c r="J368" s="55"/>
      <c r="K368" s="55"/>
      <c r="L368" s="55"/>
      <c r="M368" s="53"/>
      <c r="N368" s="56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</row>
    <row r="369" spans="1:37" ht="13.8" x14ac:dyDescent="0.25">
      <c r="A369" s="46"/>
      <c r="B369" s="47"/>
      <c r="C369" s="48"/>
      <c r="D369" s="49"/>
      <c r="E369" s="50"/>
      <c r="F369" s="51"/>
      <c r="G369" s="52"/>
      <c r="H369" s="53"/>
      <c r="I369" s="54"/>
      <c r="J369" s="55"/>
      <c r="K369" s="55"/>
      <c r="L369" s="55"/>
      <c r="M369" s="53"/>
      <c r="N369" s="56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</row>
    <row r="370" spans="1:37" ht="13.8" x14ac:dyDescent="0.25">
      <c r="A370" s="46"/>
      <c r="B370" s="47"/>
      <c r="C370" s="48"/>
      <c r="D370" s="49"/>
      <c r="E370" s="50"/>
      <c r="F370" s="51"/>
      <c r="G370" s="52"/>
      <c r="H370" s="53"/>
      <c r="I370" s="54"/>
      <c r="J370" s="55"/>
      <c r="K370" s="55"/>
      <c r="L370" s="55"/>
      <c r="M370" s="53"/>
      <c r="N370" s="56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</row>
    <row r="371" spans="1:37" ht="13.8" x14ac:dyDescent="0.25">
      <c r="A371" s="46"/>
      <c r="B371" s="47"/>
      <c r="C371" s="48"/>
      <c r="D371" s="49"/>
      <c r="E371" s="50"/>
      <c r="F371" s="51"/>
      <c r="G371" s="52"/>
      <c r="H371" s="53"/>
      <c r="I371" s="54"/>
      <c r="J371" s="55"/>
      <c r="K371" s="55"/>
      <c r="L371" s="55"/>
      <c r="M371" s="53"/>
      <c r="N371" s="56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</row>
    <row r="372" spans="1:37" ht="13.8" x14ac:dyDescent="0.25">
      <c r="A372" s="46"/>
      <c r="B372" s="47"/>
      <c r="C372" s="48"/>
      <c r="D372" s="49"/>
      <c r="E372" s="50"/>
      <c r="F372" s="51"/>
      <c r="G372" s="52"/>
      <c r="H372" s="53"/>
      <c r="I372" s="54"/>
      <c r="J372" s="55"/>
      <c r="K372" s="55"/>
      <c r="L372" s="55"/>
      <c r="M372" s="53"/>
      <c r="N372" s="56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</row>
    <row r="373" spans="1:37" ht="13.8" x14ac:dyDescent="0.25">
      <c r="A373" s="46"/>
      <c r="B373" s="47"/>
      <c r="C373" s="48"/>
      <c r="D373" s="49"/>
      <c r="E373" s="50"/>
      <c r="F373" s="51"/>
      <c r="G373" s="52"/>
      <c r="H373" s="53"/>
      <c r="I373" s="54"/>
      <c r="J373" s="55"/>
      <c r="K373" s="55"/>
      <c r="L373" s="55"/>
      <c r="M373" s="53"/>
      <c r="N373" s="56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</row>
    <row r="374" spans="1:37" ht="13.8" x14ac:dyDescent="0.25">
      <c r="A374" s="46"/>
      <c r="B374" s="47"/>
      <c r="C374" s="48"/>
      <c r="D374" s="49"/>
      <c r="E374" s="50"/>
      <c r="F374" s="51"/>
      <c r="G374" s="52"/>
      <c r="H374" s="53"/>
      <c r="I374" s="54"/>
      <c r="J374" s="55"/>
      <c r="K374" s="55"/>
      <c r="L374" s="55"/>
      <c r="M374" s="53"/>
      <c r="N374" s="56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</row>
    <row r="375" spans="1:37" ht="13.8" x14ac:dyDescent="0.25">
      <c r="A375" s="46"/>
      <c r="B375" s="47"/>
      <c r="C375" s="48"/>
      <c r="D375" s="49"/>
      <c r="E375" s="50"/>
      <c r="F375" s="51"/>
      <c r="G375" s="52"/>
      <c r="H375" s="53"/>
      <c r="I375" s="54"/>
      <c r="J375" s="55"/>
      <c r="K375" s="55"/>
      <c r="L375" s="55"/>
      <c r="M375" s="53"/>
      <c r="N375" s="56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</row>
    <row r="376" spans="1:37" ht="13.8" x14ac:dyDescent="0.25">
      <c r="A376" s="46"/>
      <c r="B376" s="47"/>
      <c r="C376" s="48"/>
      <c r="D376" s="49"/>
      <c r="E376" s="50"/>
      <c r="F376" s="51"/>
      <c r="G376" s="52"/>
      <c r="H376" s="53"/>
      <c r="I376" s="54"/>
      <c r="J376" s="55"/>
      <c r="K376" s="55"/>
      <c r="L376" s="55"/>
      <c r="M376" s="53"/>
      <c r="N376" s="56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</row>
    <row r="377" spans="1:37" ht="13.8" x14ac:dyDescent="0.25">
      <c r="A377" s="46"/>
      <c r="B377" s="47"/>
      <c r="C377" s="48"/>
      <c r="D377" s="49"/>
      <c r="E377" s="50"/>
      <c r="F377" s="51"/>
      <c r="G377" s="52"/>
      <c r="H377" s="53"/>
      <c r="I377" s="54"/>
      <c r="J377" s="55"/>
      <c r="K377" s="55"/>
      <c r="L377" s="55"/>
      <c r="M377" s="53"/>
      <c r="N377" s="56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</row>
    <row r="378" spans="1:37" ht="13.8" x14ac:dyDescent="0.25">
      <c r="A378" s="46"/>
      <c r="B378" s="47"/>
      <c r="C378" s="48"/>
      <c r="D378" s="49"/>
      <c r="E378" s="50"/>
      <c r="F378" s="51"/>
      <c r="G378" s="52"/>
      <c r="H378" s="53"/>
      <c r="I378" s="54"/>
      <c r="J378" s="55"/>
      <c r="K378" s="55"/>
      <c r="L378" s="55"/>
      <c r="M378" s="53"/>
      <c r="N378" s="56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</row>
    <row r="379" spans="1:37" ht="13.8" x14ac:dyDescent="0.25">
      <c r="A379" s="46"/>
      <c r="B379" s="47"/>
      <c r="C379" s="48"/>
      <c r="D379" s="49"/>
      <c r="E379" s="50"/>
      <c r="F379" s="51"/>
      <c r="G379" s="52"/>
      <c r="H379" s="53"/>
      <c r="I379" s="54"/>
      <c r="J379" s="55"/>
      <c r="K379" s="55"/>
      <c r="L379" s="55"/>
      <c r="M379" s="53"/>
      <c r="N379" s="56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</row>
    <row r="380" spans="1:37" ht="13.8" x14ac:dyDescent="0.25">
      <c r="A380" s="46"/>
      <c r="B380" s="47"/>
      <c r="C380" s="48"/>
      <c r="D380" s="49"/>
      <c r="E380" s="50"/>
      <c r="F380" s="51"/>
      <c r="G380" s="52"/>
      <c r="H380" s="53"/>
      <c r="I380" s="54"/>
      <c r="J380" s="55"/>
      <c r="K380" s="55"/>
      <c r="L380" s="55"/>
      <c r="M380" s="53"/>
      <c r="N380" s="56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</row>
    <row r="381" spans="1:37" ht="13.8" x14ac:dyDescent="0.25">
      <c r="A381" s="46"/>
      <c r="B381" s="47"/>
      <c r="C381" s="48"/>
      <c r="D381" s="49"/>
      <c r="E381" s="50"/>
      <c r="F381" s="51"/>
      <c r="G381" s="52"/>
      <c r="H381" s="53"/>
      <c r="I381" s="54"/>
      <c r="J381" s="55"/>
      <c r="K381" s="55"/>
      <c r="L381" s="55"/>
      <c r="M381" s="53"/>
      <c r="N381" s="56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</row>
    <row r="382" spans="1:37" ht="13.8" x14ac:dyDescent="0.25">
      <c r="A382" s="46"/>
      <c r="B382" s="47"/>
      <c r="C382" s="48"/>
      <c r="D382" s="49"/>
      <c r="E382" s="50"/>
      <c r="F382" s="51"/>
      <c r="G382" s="52"/>
      <c r="H382" s="53"/>
      <c r="I382" s="54"/>
      <c r="J382" s="55"/>
      <c r="K382" s="55"/>
      <c r="L382" s="55"/>
      <c r="M382" s="53"/>
      <c r="N382" s="56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</row>
    <row r="383" spans="1:37" ht="13.8" x14ac:dyDescent="0.25">
      <c r="A383" s="46"/>
      <c r="B383" s="47"/>
      <c r="C383" s="48"/>
      <c r="D383" s="49"/>
      <c r="E383" s="50"/>
      <c r="F383" s="51"/>
      <c r="G383" s="52"/>
      <c r="H383" s="53"/>
      <c r="I383" s="54"/>
      <c r="J383" s="55"/>
      <c r="K383" s="55"/>
      <c r="L383" s="55"/>
      <c r="M383" s="53"/>
      <c r="N383" s="56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</row>
    <row r="384" spans="1:37" ht="13.8" x14ac:dyDescent="0.25">
      <c r="A384" s="46"/>
      <c r="B384" s="47"/>
      <c r="C384" s="48"/>
      <c r="D384" s="49"/>
      <c r="E384" s="50"/>
      <c r="F384" s="51"/>
      <c r="G384" s="52"/>
      <c r="H384" s="53"/>
      <c r="I384" s="54"/>
      <c r="J384" s="55"/>
      <c r="K384" s="55"/>
      <c r="L384" s="55"/>
      <c r="M384" s="53"/>
      <c r="N384" s="56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</row>
    <row r="385" spans="1:37" ht="13.8" x14ac:dyDescent="0.25">
      <c r="A385" s="46"/>
      <c r="B385" s="47"/>
      <c r="C385" s="48"/>
      <c r="D385" s="49"/>
      <c r="E385" s="50"/>
      <c r="F385" s="51"/>
      <c r="G385" s="52"/>
      <c r="H385" s="53"/>
      <c r="I385" s="54"/>
      <c r="J385" s="55"/>
      <c r="K385" s="55"/>
      <c r="L385" s="55"/>
      <c r="M385" s="53"/>
      <c r="N385" s="56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</row>
    <row r="386" spans="1:37" ht="13.8" x14ac:dyDescent="0.25">
      <c r="A386" s="46"/>
      <c r="B386" s="47"/>
      <c r="C386" s="48"/>
      <c r="D386" s="49"/>
      <c r="E386" s="50"/>
      <c r="F386" s="51"/>
      <c r="G386" s="52"/>
      <c r="H386" s="53"/>
      <c r="I386" s="54"/>
      <c r="J386" s="55"/>
      <c r="K386" s="55"/>
      <c r="L386" s="55"/>
      <c r="M386" s="53"/>
      <c r="N386" s="56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</row>
    <row r="387" spans="1:37" ht="13.8" x14ac:dyDescent="0.25">
      <c r="A387" s="46"/>
      <c r="B387" s="47"/>
      <c r="C387" s="48"/>
      <c r="D387" s="49"/>
      <c r="E387" s="50"/>
      <c r="F387" s="51"/>
      <c r="G387" s="52"/>
      <c r="H387" s="53"/>
      <c r="I387" s="54"/>
      <c r="J387" s="55"/>
      <c r="K387" s="55"/>
      <c r="L387" s="55"/>
      <c r="M387" s="53"/>
      <c r="N387" s="56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</row>
    <row r="388" spans="1:37" ht="13.8" x14ac:dyDescent="0.25">
      <c r="A388" s="46"/>
      <c r="B388" s="47"/>
      <c r="C388" s="48"/>
      <c r="D388" s="49"/>
      <c r="E388" s="50"/>
      <c r="F388" s="51"/>
      <c r="G388" s="52"/>
      <c r="H388" s="53"/>
      <c r="I388" s="54"/>
      <c r="J388" s="55"/>
      <c r="K388" s="55"/>
      <c r="L388" s="55"/>
      <c r="M388" s="53"/>
      <c r="N388" s="56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</row>
    <row r="389" spans="1:37" ht="13.8" x14ac:dyDescent="0.25">
      <c r="A389" s="46"/>
      <c r="B389" s="47"/>
      <c r="C389" s="48"/>
      <c r="D389" s="49"/>
      <c r="E389" s="50"/>
      <c r="F389" s="51"/>
      <c r="G389" s="52"/>
      <c r="H389" s="53"/>
      <c r="I389" s="54"/>
      <c r="J389" s="55"/>
      <c r="K389" s="55"/>
      <c r="L389" s="55"/>
      <c r="M389" s="53"/>
      <c r="N389" s="56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</row>
    <row r="390" spans="1:37" ht="13.8" x14ac:dyDescent="0.25">
      <c r="A390" s="46"/>
      <c r="B390" s="47"/>
      <c r="C390" s="48"/>
      <c r="D390" s="49"/>
      <c r="E390" s="50"/>
      <c r="F390" s="51"/>
      <c r="G390" s="52"/>
      <c r="H390" s="53"/>
      <c r="I390" s="54"/>
      <c r="J390" s="55"/>
      <c r="K390" s="55"/>
      <c r="L390" s="55"/>
      <c r="M390" s="53"/>
      <c r="N390" s="56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</row>
    <row r="391" spans="1:37" ht="13.8" x14ac:dyDescent="0.25">
      <c r="A391" s="46"/>
      <c r="B391" s="47"/>
      <c r="C391" s="48"/>
      <c r="D391" s="49"/>
      <c r="E391" s="50"/>
      <c r="F391" s="51"/>
      <c r="G391" s="52"/>
      <c r="H391" s="53"/>
      <c r="I391" s="54"/>
      <c r="J391" s="55"/>
      <c r="K391" s="55"/>
      <c r="L391" s="55"/>
      <c r="M391" s="53"/>
      <c r="N391" s="56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</row>
    <row r="392" spans="1:37" ht="13.8" x14ac:dyDescent="0.25">
      <c r="A392" s="46"/>
      <c r="B392" s="47"/>
      <c r="C392" s="48"/>
      <c r="D392" s="49"/>
      <c r="E392" s="50"/>
      <c r="F392" s="51"/>
      <c r="G392" s="52"/>
      <c r="H392" s="53"/>
      <c r="I392" s="54"/>
      <c r="J392" s="55"/>
      <c r="K392" s="55"/>
      <c r="L392" s="55"/>
      <c r="M392" s="53"/>
      <c r="N392" s="56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</row>
    <row r="393" spans="1:37" ht="13.8" x14ac:dyDescent="0.25">
      <c r="A393" s="46"/>
      <c r="B393" s="47"/>
      <c r="C393" s="48"/>
      <c r="D393" s="49"/>
      <c r="E393" s="50"/>
      <c r="F393" s="51"/>
      <c r="G393" s="52"/>
      <c r="H393" s="53"/>
      <c r="I393" s="54"/>
      <c r="J393" s="55"/>
      <c r="K393" s="55"/>
      <c r="L393" s="55"/>
      <c r="M393" s="53"/>
      <c r="N393" s="56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</row>
    <row r="394" spans="1:37" ht="13.8" x14ac:dyDescent="0.25">
      <c r="A394" s="46"/>
      <c r="B394" s="47"/>
      <c r="C394" s="48"/>
      <c r="D394" s="49"/>
      <c r="E394" s="50"/>
      <c r="F394" s="51"/>
      <c r="G394" s="52"/>
      <c r="H394" s="53"/>
      <c r="I394" s="54"/>
      <c r="J394" s="55"/>
      <c r="K394" s="55"/>
      <c r="L394" s="55"/>
      <c r="M394" s="53"/>
      <c r="N394" s="56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</row>
    <row r="395" spans="1:37" ht="13.8" x14ac:dyDescent="0.25">
      <c r="A395" s="46"/>
      <c r="B395" s="47"/>
      <c r="C395" s="48"/>
      <c r="D395" s="49"/>
      <c r="E395" s="50"/>
      <c r="F395" s="51"/>
      <c r="G395" s="52"/>
      <c r="H395" s="53"/>
      <c r="I395" s="54"/>
      <c r="J395" s="55"/>
      <c r="K395" s="55"/>
      <c r="L395" s="55"/>
      <c r="M395" s="53"/>
      <c r="N395" s="56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</row>
    <row r="396" spans="1:37" ht="13.8" x14ac:dyDescent="0.25">
      <c r="A396" s="46"/>
      <c r="B396" s="47"/>
      <c r="C396" s="48"/>
      <c r="D396" s="49"/>
      <c r="E396" s="50"/>
      <c r="F396" s="51"/>
      <c r="G396" s="52"/>
      <c r="H396" s="53"/>
      <c r="I396" s="54"/>
      <c r="J396" s="55"/>
      <c r="K396" s="55"/>
      <c r="L396" s="55"/>
      <c r="M396" s="53"/>
      <c r="N396" s="56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</row>
    <row r="397" spans="1:37" ht="13.8" x14ac:dyDescent="0.25">
      <c r="A397" s="46"/>
      <c r="B397" s="47"/>
      <c r="C397" s="48"/>
      <c r="D397" s="49"/>
      <c r="E397" s="50"/>
      <c r="F397" s="51"/>
      <c r="G397" s="52"/>
      <c r="H397" s="53"/>
      <c r="I397" s="54"/>
      <c r="J397" s="55"/>
      <c r="K397" s="55"/>
      <c r="L397" s="55"/>
      <c r="M397" s="53"/>
      <c r="N397" s="56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</row>
    <row r="398" spans="1:37" ht="13.8" x14ac:dyDescent="0.25">
      <c r="A398" s="46"/>
      <c r="B398" s="47"/>
      <c r="C398" s="48"/>
      <c r="D398" s="49"/>
      <c r="E398" s="50"/>
      <c r="F398" s="51"/>
      <c r="G398" s="52"/>
      <c r="H398" s="53"/>
      <c r="I398" s="54"/>
      <c r="J398" s="55"/>
      <c r="K398" s="55"/>
      <c r="L398" s="55"/>
      <c r="M398" s="53"/>
      <c r="N398" s="56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</row>
    <row r="399" spans="1:37" ht="13.8" x14ac:dyDescent="0.25">
      <c r="A399" s="46"/>
      <c r="B399" s="47"/>
      <c r="C399" s="48"/>
      <c r="D399" s="49"/>
      <c r="E399" s="50"/>
      <c r="F399" s="51"/>
      <c r="G399" s="52"/>
      <c r="H399" s="53"/>
      <c r="I399" s="54"/>
      <c r="J399" s="55"/>
      <c r="K399" s="55"/>
      <c r="L399" s="55"/>
      <c r="M399" s="53"/>
      <c r="N399" s="56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</row>
    <row r="400" spans="1:37" ht="13.8" x14ac:dyDescent="0.25">
      <c r="A400" s="46"/>
      <c r="B400" s="47"/>
      <c r="C400" s="48"/>
      <c r="D400" s="49"/>
      <c r="E400" s="50"/>
      <c r="F400" s="51"/>
      <c r="G400" s="52"/>
      <c r="H400" s="53"/>
      <c r="I400" s="54"/>
      <c r="J400" s="55"/>
      <c r="K400" s="55"/>
      <c r="L400" s="55"/>
      <c r="M400" s="53"/>
      <c r="N400" s="56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</row>
    <row r="401" spans="1:37" ht="13.8" x14ac:dyDescent="0.25">
      <c r="A401" s="46"/>
      <c r="B401" s="47"/>
      <c r="C401" s="48"/>
      <c r="D401" s="49"/>
      <c r="E401" s="50"/>
      <c r="F401" s="51"/>
      <c r="G401" s="52"/>
      <c r="H401" s="53"/>
      <c r="I401" s="54"/>
      <c r="J401" s="55"/>
      <c r="K401" s="55"/>
      <c r="L401" s="55"/>
      <c r="M401" s="53"/>
      <c r="N401" s="56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</row>
    <row r="402" spans="1:37" ht="13.8" x14ac:dyDescent="0.25">
      <c r="A402" s="46"/>
      <c r="B402" s="47"/>
      <c r="C402" s="48"/>
      <c r="D402" s="49"/>
      <c r="E402" s="50"/>
      <c r="F402" s="51"/>
      <c r="G402" s="52"/>
      <c r="H402" s="53"/>
      <c r="I402" s="54"/>
      <c r="J402" s="55"/>
      <c r="K402" s="55"/>
      <c r="L402" s="55"/>
      <c r="M402" s="53"/>
      <c r="N402" s="56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</row>
    <row r="403" spans="1:37" ht="13.8" x14ac:dyDescent="0.25">
      <c r="A403" s="46"/>
      <c r="B403" s="47"/>
      <c r="C403" s="48"/>
      <c r="D403" s="49"/>
      <c r="E403" s="50"/>
      <c r="F403" s="51"/>
      <c r="G403" s="52"/>
      <c r="H403" s="53"/>
      <c r="I403" s="54"/>
      <c r="J403" s="55"/>
      <c r="K403" s="55"/>
      <c r="L403" s="55"/>
      <c r="M403" s="53"/>
      <c r="N403" s="56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</row>
    <row r="404" spans="1:37" ht="13.8" x14ac:dyDescent="0.25">
      <c r="A404" s="46"/>
      <c r="B404" s="47"/>
      <c r="C404" s="48"/>
      <c r="D404" s="49"/>
      <c r="E404" s="50"/>
      <c r="F404" s="51"/>
      <c r="G404" s="52"/>
      <c r="H404" s="53"/>
      <c r="I404" s="54"/>
      <c r="J404" s="55"/>
      <c r="K404" s="55"/>
      <c r="L404" s="55"/>
      <c r="M404" s="53"/>
      <c r="N404" s="56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</row>
    <row r="405" spans="1:37" ht="13.8" x14ac:dyDescent="0.25">
      <c r="A405" s="46"/>
      <c r="B405" s="47"/>
      <c r="C405" s="48"/>
      <c r="D405" s="49"/>
      <c r="E405" s="50"/>
      <c r="F405" s="51"/>
      <c r="G405" s="52"/>
      <c r="H405" s="53"/>
      <c r="I405" s="54"/>
      <c r="J405" s="55"/>
      <c r="K405" s="55"/>
      <c r="L405" s="55"/>
      <c r="M405" s="53"/>
      <c r="N405" s="56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</row>
    <row r="406" spans="1:37" ht="13.8" x14ac:dyDescent="0.25">
      <c r="A406" s="46"/>
      <c r="B406" s="47"/>
      <c r="C406" s="48"/>
      <c r="D406" s="49"/>
      <c r="E406" s="50"/>
      <c r="F406" s="51"/>
      <c r="G406" s="52"/>
      <c r="H406" s="53"/>
      <c r="I406" s="54"/>
      <c r="J406" s="55"/>
      <c r="K406" s="55"/>
      <c r="L406" s="55"/>
      <c r="M406" s="53"/>
      <c r="N406" s="56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</row>
    <row r="407" spans="1:37" ht="13.8" x14ac:dyDescent="0.25">
      <c r="A407" s="46"/>
      <c r="B407" s="47"/>
      <c r="C407" s="48"/>
      <c r="D407" s="49"/>
      <c r="E407" s="50"/>
      <c r="F407" s="51"/>
      <c r="G407" s="52"/>
      <c r="H407" s="53"/>
      <c r="I407" s="54"/>
      <c r="J407" s="55"/>
      <c r="K407" s="55"/>
      <c r="L407" s="55"/>
      <c r="M407" s="53"/>
      <c r="N407" s="56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</row>
    <row r="408" spans="1:37" ht="13.8" x14ac:dyDescent="0.25">
      <c r="A408" s="46"/>
      <c r="B408" s="47"/>
      <c r="C408" s="48"/>
      <c r="D408" s="49"/>
      <c r="E408" s="50"/>
      <c r="F408" s="51"/>
      <c r="G408" s="52"/>
      <c r="H408" s="53"/>
      <c r="I408" s="54"/>
      <c r="J408" s="55"/>
      <c r="K408" s="55"/>
      <c r="L408" s="55"/>
      <c r="M408" s="53"/>
      <c r="N408" s="56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</row>
    <row r="409" spans="1:37" ht="13.8" x14ac:dyDescent="0.25">
      <c r="A409" s="46"/>
      <c r="B409" s="47"/>
      <c r="C409" s="48"/>
      <c r="D409" s="49"/>
      <c r="E409" s="50"/>
      <c r="F409" s="51"/>
      <c r="G409" s="52"/>
      <c r="H409" s="53"/>
      <c r="I409" s="54"/>
      <c r="J409" s="55"/>
      <c r="K409" s="55"/>
      <c r="L409" s="55"/>
      <c r="M409" s="53"/>
      <c r="N409" s="56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</row>
    <row r="410" spans="1:37" ht="13.8" x14ac:dyDescent="0.25">
      <c r="A410" s="46"/>
      <c r="B410" s="47"/>
      <c r="C410" s="48"/>
      <c r="D410" s="49"/>
      <c r="E410" s="50"/>
      <c r="F410" s="51"/>
      <c r="G410" s="52"/>
      <c r="H410" s="53"/>
      <c r="I410" s="54"/>
      <c r="J410" s="55"/>
      <c r="K410" s="55"/>
      <c r="L410" s="55"/>
      <c r="M410" s="53"/>
      <c r="N410" s="56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</row>
    <row r="411" spans="1:37" ht="13.8" x14ac:dyDescent="0.25">
      <c r="A411" s="46"/>
      <c r="B411" s="47"/>
      <c r="C411" s="48"/>
      <c r="D411" s="49"/>
      <c r="E411" s="50"/>
      <c r="F411" s="51"/>
      <c r="G411" s="52"/>
      <c r="H411" s="53"/>
      <c r="I411" s="54"/>
      <c r="J411" s="55"/>
      <c r="K411" s="55"/>
      <c r="L411" s="55"/>
      <c r="M411" s="53"/>
      <c r="N411" s="56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</row>
    <row r="412" spans="1:37" ht="13.8" x14ac:dyDescent="0.25">
      <c r="A412" s="46"/>
      <c r="B412" s="47"/>
      <c r="C412" s="48"/>
      <c r="D412" s="49"/>
      <c r="E412" s="50"/>
      <c r="F412" s="51"/>
      <c r="G412" s="52"/>
      <c r="H412" s="53"/>
      <c r="I412" s="54"/>
      <c r="J412" s="55"/>
      <c r="K412" s="55"/>
      <c r="L412" s="55"/>
      <c r="M412" s="53"/>
      <c r="N412" s="56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</row>
    <row r="413" spans="1:37" ht="13.8" x14ac:dyDescent="0.25">
      <c r="A413" s="46"/>
      <c r="B413" s="47"/>
      <c r="C413" s="48"/>
      <c r="D413" s="49"/>
      <c r="E413" s="50"/>
      <c r="F413" s="51"/>
      <c r="G413" s="52"/>
      <c r="H413" s="53"/>
      <c r="I413" s="54"/>
      <c r="J413" s="55"/>
      <c r="K413" s="55"/>
      <c r="L413" s="55"/>
      <c r="M413" s="53"/>
      <c r="N413" s="56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</row>
    <row r="414" spans="1:37" ht="13.8" x14ac:dyDescent="0.25">
      <c r="A414" s="46"/>
      <c r="B414" s="47"/>
      <c r="C414" s="48"/>
      <c r="D414" s="49"/>
      <c r="E414" s="50"/>
      <c r="F414" s="51"/>
      <c r="G414" s="52"/>
      <c r="H414" s="53"/>
      <c r="I414" s="54"/>
      <c r="J414" s="55"/>
      <c r="K414" s="55"/>
      <c r="L414" s="55"/>
      <c r="M414" s="53"/>
      <c r="N414" s="56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</row>
    <row r="415" spans="1:37" ht="13.8" x14ac:dyDescent="0.25">
      <c r="A415" s="46"/>
      <c r="B415" s="47"/>
      <c r="C415" s="48"/>
      <c r="D415" s="49"/>
      <c r="E415" s="50"/>
      <c r="F415" s="51"/>
      <c r="G415" s="52"/>
      <c r="H415" s="53"/>
      <c r="I415" s="54"/>
      <c r="J415" s="55"/>
      <c r="K415" s="55"/>
      <c r="L415" s="55"/>
      <c r="M415" s="53"/>
      <c r="N415" s="56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</row>
    <row r="416" spans="1:37" ht="13.8" x14ac:dyDescent="0.25">
      <c r="A416" s="46"/>
      <c r="B416" s="47"/>
      <c r="C416" s="48"/>
      <c r="D416" s="49"/>
      <c r="E416" s="50"/>
      <c r="F416" s="51"/>
      <c r="G416" s="52"/>
      <c r="H416" s="53"/>
      <c r="I416" s="54"/>
      <c r="J416" s="55"/>
      <c r="K416" s="55"/>
      <c r="L416" s="55"/>
      <c r="M416" s="53"/>
      <c r="N416" s="56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</row>
    <row r="417" spans="1:37" ht="13.8" x14ac:dyDescent="0.25">
      <c r="A417" s="46"/>
      <c r="B417" s="47"/>
      <c r="C417" s="48"/>
      <c r="D417" s="49"/>
      <c r="E417" s="50"/>
      <c r="F417" s="51"/>
      <c r="G417" s="52"/>
      <c r="H417" s="53"/>
      <c r="I417" s="54"/>
      <c r="J417" s="55"/>
      <c r="K417" s="55"/>
      <c r="L417" s="55"/>
      <c r="M417" s="53"/>
      <c r="N417" s="56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</row>
    <row r="418" spans="1:37" ht="13.8" x14ac:dyDescent="0.25">
      <c r="A418" s="46"/>
      <c r="B418" s="47"/>
      <c r="C418" s="48"/>
      <c r="D418" s="49"/>
      <c r="E418" s="50"/>
      <c r="F418" s="51"/>
      <c r="G418" s="52"/>
      <c r="H418" s="53"/>
      <c r="I418" s="54"/>
      <c r="J418" s="55"/>
      <c r="K418" s="55"/>
      <c r="L418" s="55"/>
      <c r="M418" s="53"/>
      <c r="N418" s="56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</row>
    <row r="419" spans="1:37" ht="13.8" x14ac:dyDescent="0.25">
      <c r="A419" s="46"/>
      <c r="B419" s="47"/>
      <c r="C419" s="48"/>
      <c r="D419" s="49"/>
      <c r="E419" s="50"/>
      <c r="F419" s="51"/>
      <c r="G419" s="52"/>
      <c r="H419" s="53"/>
      <c r="I419" s="54"/>
      <c r="J419" s="55"/>
      <c r="K419" s="55"/>
      <c r="L419" s="55"/>
      <c r="M419" s="53"/>
      <c r="N419" s="56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</row>
    <row r="420" spans="1:37" ht="13.8" x14ac:dyDescent="0.25">
      <c r="A420" s="46"/>
      <c r="B420" s="47"/>
      <c r="C420" s="48"/>
      <c r="D420" s="49"/>
      <c r="E420" s="50"/>
      <c r="F420" s="51"/>
      <c r="G420" s="52"/>
      <c r="H420" s="53"/>
      <c r="I420" s="54"/>
      <c r="J420" s="55"/>
      <c r="K420" s="55"/>
      <c r="L420" s="55"/>
      <c r="M420" s="53"/>
      <c r="N420" s="56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</row>
    <row r="421" spans="1:37" ht="13.8" x14ac:dyDescent="0.25">
      <c r="A421" s="46"/>
      <c r="B421" s="47"/>
      <c r="C421" s="48"/>
      <c r="D421" s="49"/>
      <c r="E421" s="50"/>
      <c r="F421" s="51"/>
      <c r="G421" s="52"/>
      <c r="H421" s="53"/>
      <c r="I421" s="54"/>
      <c r="J421" s="55"/>
      <c r="K421" s="55"/>
      <c r="L421" s="55"/>
      <c r="M421" s="53"/>
      <c r="N421" s="56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</row>
    <row r="422" spans="1:37" ht="13.8" x14ac:dyDescent="0.25">
      <c r="A422" s="46"/>
      <c r="B422" s="47"/>
      <c r="C422" s="48"/>
      <c r="D422" s="49"/>
      <c r="E422" s="50"/>
      <c r="F422" s="51"/>
      <c r="G422" s="52"/>
      <c r="H422" s="53"/>
      <c r="I422" s="54"/>
      <c r="J422" s="55"/>
      <c r="K422" s="55"/>
      <c r="L422" s="55"/>
      <c r="M422" s="53"/>
      <c r="N422" s="56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</row>
    <row r="423" spans="1:37" ht="13.8" x14ac:dyDescent="0.25">
      <c r="A423" s="46"/>
      <c r="B423" s="47"/>
      <c r="C423" s="48"/>
      <c r="D423" s="49"/>
      <c r="E423" s="50"/>
      <c r="F423" s="51"/>
      <c r="G423" s="52"/>
      <c r="H423" s="53"/>
      <c r="I423" s="54"/>
      <c r="J423" s="55"/>
      <c r="K423" s="55"/>
      <c r="L423" s="55"/>
      <c r="M423" s="53"/>
      <c r="N423" s="56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</row>
    <row r="424" spans="1:37" ht="13.8" x14ac:dyDescent="0.25">
      <c r="A424" s="46"/>
      <c r="B424" s="47"/>
      <c r="C424" s="48"/>
      <c r="D424" s="49"/>
      <c r="E424" s="50"/>
      <c r="F424" s="51"/>
      <c r="G424" s="52"/>
      <c r="H424" s="53"/>
      <c r="I424" s="54"/>
      <c r="J424" s="55"/>
      <c r="K424" s="55"/>
      <c r="L424" s="55"/>
      <c r="M424" s="53"/>
      <c r="N424" s="56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</row>
    <row r="425" spans="1:37" ht="13.8" x14ac:dyDescent="0.25">
      <c r="A425" s="46"/>
      <c r="B425" s="47"/>
      <c r="C425" s="48"/>
      <c r="D425" s="49"/>
      <c r="E425" s="50"/>
      <c r="F425" s="51"/>
      <c r="G425" s="52"/>
      <c r="H425" s="53"/>
      <c r="I425" s="54"/>
      <c r="J425" s="55"/>
      <c r="K425" s="55"/>
      <c r="L425" s="55"/>
      <c r="M425" s="53"/>
      <c r="N425" s="56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</row>
    <row r="426" spans="1:37" ht="13.8" x14ac:dyDescent="0.25">
      <c r="A426" s="46"/>
      <c r="B426" s="47"/>
      <c r="C426" s="48"/>
      <c r="D426" s="49"/>
      <c r="E426" s="50"/>
      <c r="F426" s="51"/>
      <c r="G426" s="52"/>
      <c r="H426" s="53"/>
      <c r="I426" s="54"/>
      <c r="J426" s="55"/>
      <c r="K426" s="55"/>
      <c r="L426" s="55"/>
      <c r="M426" s="53"/>
      <c r="N426" s="56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</row>
    <row r="427" spans="1:37" ht="13.8" x14ac:dyDescent="0.25">
      <c r="A427" s="46"/>
      <c r="B427" s="47"/>
      <c r="C427" s="48"/>
      <c r="D427" s="49"/>
      <c r="E427" s="50"/>
      <c r="F427" s="51"/>
      <c r="G427" s="52"/>
      <c r="H427" s="53"/>
      <c r="I427" s="54"/>
      <c r="J427" s="55"/>
      <c r="K427" s="55"/>
      <c r="L427" s="55"/>
      <c r="M427" s="53"/>
      <c r="N427" s="56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</row>
    <row r="428" spans="1:37" ht="13.8" x14ac:dyDescent="0.25">
      <c r="A428" s="46"/>
      <c r="B428" s="47"/>
      <c r="C428" s="48"/>
      <c r="D428" s="49"/>
      <c r="E428" s="50"/>
      <c r="F428" s="51"/>
      <c r="G428" s="52"/>
      <c r="H428" s="53"/>
      <c r="I428" s="54"/>
      <c r="J428" s="55"/>
      <c r="K428" s="55"/>
      <c r="L428" s="55"/>
      <c r="M428" s="53"/>
      <c r="N428" s="56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</row>
    <row r="429" spans="1:37" ht="13.8" x14ac:dyDescent="0.25">
      <c r="A429" s="46"/>
      <c r="B429" s="47"/>
      <c r="C429" s="48"/>
      <c r="D429" s="49"/>
      <c r="E429" s="50"/>
      <c r="F429" s="51"/>
      <c r="G429" s="52"/>
      <c r="H429" s="53"/>
      <c r="I429" s="54"/>
      <c r="J429" s="55"/>
      <c r="K429" s="55"/>
      <c r="L429" s="55"/>
      <c r="M429" s="53"/>
      <c r="N429" s="56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</row>
    <row r="430" spans="1:37" ht="13.8" x14ac:dyDescent="0.25">
      <c r="A430" s="46"/>
      <c r="B430" s="47"/>
      <c r="C430" s="48"/>
      <c r="D430" s="49"/>
      <c r="E430" s="50"/>
      <c r="F430" s="51"/>
      <c r="G430" s="52"/>
      <c r="H430" s="53"/>
      <c r="I430" s="54"/>
      <c r="J430" s="55"/>
      <c r="K430" s="55"/>
      <c r="L430" s="55"/>
      <c r="M430" s="53"/>
      <c r="N430" s="56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</row>
    <row r="431" spans="1:37" ht="13.8" x14ac:dyDescent="0.25">
      <c r="A431" s="46"/>
      <c r="B431" s="47"/>
      <c r="C431" s="48"/>
      <c r="D431" s="49"/>
      <c r="E431" s="50"/>
      <c r="F431" s="51"/>
      <c r="G431" s="52"/>
      <c r="H431" s="53"/>
      <c r="I431" s="54"/>
      <c r="J431" s="55"/>
      <c r="K431" s="55"/>
      <c r="L431" s="55"/>
      <c r="M431" s="53"/>
      <c r="N431" s="56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</row>
    <row r="432" spans="1:37" ht="13.8" x14ac:dyDescent="0.25">
      <c r="A432" s="46"/>
      <c r="B432" s="47"/>
      <c r="C432" s="48"/>
      <c r="D432" s="49"/>
      <c r="E432" s="50"/>
      <c r="F432" s="51"/>
      <c r="G432" s="52"/>
      <c r="H432" s="53"/>
      <c r="I432" s="54"/>
      <c r="J432" s="55"/>
      <c r="K432" s="55"/>
      <c r="L432" s="55"/>
      <c r="M432" s="53"/>
      <c r="N432" s="56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</row>
    <row r="433" spans="1:37" ht="13.8" x14ac:dyDescent="0.25">
      <c r="A433" s="46"/>
      <c r="B433" s="47"/>
      <c r="C433" s="48"/>
      <c r="D433" s="49"/>
      <c r="E433" s="50"/>
      <c r="F433" s="51"/>
      <c r="G433" s="52"/>
      <c r="H433" s="53"/>
      <c r="I433" s="54"/>
      <c r="J433" s="55"/>
      <c r="K433" s="55"/>
      <c r="L433" s="55"/>
      <c r="M433" s="53"/>
      <c r="N433" s="56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</row>
    <row r="434" spans="1:37" ht="13.8" x14ac:dyDescent="0.25">
      <c r="A434" s="46"/>
      <c r="B434" s="47"/>
      <c r="C434" s="48"/>
      <c r="D434" s="49"/>
      <c r="E434" s="50"/>
      <c r="F434" s="51"/>
      <c r="G434" s="52"/>
      <c r="H434" s="53"/>
      <c r="I434" s="54"/>
      <c r="J434" s="55"/>
      <c r="K434" s="55"/>
      <c r="L434" s="55"/>
      <c r="M434" s="53"/>
      <c r="N434" s="56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</row>
    <row r="435" spans="1:37" ht="13.8" x14ac:dyDescent="0.25">
      <c r="A435" s="46"/>
      <c r="B435" s="47"/>
      <c r="C435" s="48"/>
      <c r="D435" s="49"/>
      <c r="E435" s="50"/>
      <c r="F435" s="51"/>
      <c r="G435" s="52"/>
      <c r="H435" s="53"/>
      <c r="I435" s="54"/>
      <c r="J435" s="55"/>
      <c r="K435" s="55"/>
      <c r="L435" s="55"/>
      <c r="M435" s="53"/>
      <c r="N435" s="56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</row>
    <row r="436" spans="1:37" ht="13.8" x14ac:dyDescent="0.25">
      <c r="A436" s="46"/>
      <c r="B436" s="47"/>
      <c r="C436" s="48"/>
      <c r="D436" s="49"/>
      <c r="E436" s="50"/>
      <c r="F436" s="51"/>
      <c r="G436" s="52"/>
      <c r="H436" s="53"/>
      <c r="I436" s="54"/>
      <c r="J436" s="55"/>
      <c r="K436" s="55"/>
      <c r="L436" s="55"/>
      <c r="M436" s="53"/>
      <c r="N436" s="56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</row>
    <row r="437" spans="1:37" ht="13.8" x14ac:dyDescent="0.25">
      <c r="A437" s="46"/>
      <c r="B437" s="47"/>
      <c r="C437" s="48"/>
      <c r="D437" s="49"/>
      <c r="E437" s="50"/>
      <c r="F437" s="51"/>
      <c r="G437" s="52"/>
      <c r="H437" s="53"/>
      <c r="I437" s="54"/>
      <c r="J437" s="55"/>
      <c r="K437" s="55"/>
      <c r="L437" s="55"/>
      <c r="M437" s="53"/>
      <c r="N437" s="56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</row>
    <row r="438" spans="1:37" ht="13.8" x14ac:dyDescent="0.25">
      <c r="A438" s="46"/>
      <c r="B438" s="47"/>
      <c r="C438" s="48"/>
      <c r="D438" s="49"/>
      <c r="E438" s="50"/>
      <c r="F438" s="51"/>
      <c r="G438" s="52"/>
      <c r="H438" s="53"/>
      <c r="I438" s="54"/>
      <c r="J438" s="55"/>
      <c r="K438" s="55"/>
      <c r="L438" s="55"/>
      <c r="M438" s="53"/>
      <c r="N438" s="56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</row>
    <row r="439" spans="1:37" ht="13.8" x14ac:dyDescent="0.25">
      <c r="A439" s="46"/>
      <c r="B439" s="47"/>
      <c r="C439" s="48"/>
      <c r="D439" s="49"/>
      <c r="E439" s="50"/>
      <c r="F439" s="51"/>
      <c r="G439" s="52"/>
      <c r="H439" s="53"/>
      <c r="I439" s="54"/>
      <c r="J439" s="55"/>
      <c r="K439" s="55"/>
      <c r="L439" s="55"/>
      <c r="M439" s="53"/>
      <c r="N439" s="56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</row>
    <row r="440" spans="1:37" ht="13.8" x14ac:dyDescent="0.25">
      <c r="A440" s="46"/>
      <c r="B440" s="47"/>
      <c r="C440" s="48"/>
      <c r="D440" s="49"/>
      <c r="E440" s="50"/>
      <c r="F440" s="51"/>
      <c r="G440" s="52"/>
      <c r="H440" s="53"/>
      <c r="I440" s="54"/>
      <c r="J440" s="55"/>
      <c r="K440" s="55"/>
      <c r="L440" s="55"/>
      <c r="M440" s="53"/>
      <c r="N440" s="56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</row>
    <row r="441" spans="1:37" ht="13.8" x14ac:dyDescent="0.25">
      <c r="A441" s="46"/>
      <c r="B441" s="47"/>
      <c r="C441" s="48"/>
      <c r="D441" s="49"/>
      <c r="E441" s="50"/>
      <c r="F441" s="51"/>
      <c r="G441" s="52"/>
      <c r="H441" s="53"/>
      <c r="I441" s="54"/>
      <c r="J441" s="55"/>
      <c r="K441" s="55"/>
      <c r="L441" s="55"/>
      <c r="M441" s="53"/>
      <c r="N441" s="56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</row>
    <row r="442" spans="1:37" ht="13.8" x14ac:dyDescent="0.25">
      <c r="A442" s="46"/>
      <c r="B442" s="47"/>
      <c r="C442" s="48"/>
      <c r="D442" s="49"/>
      <c r="E442" s="50"/>
      <c r="F442" s="51"/>
      <c r="G442" s="52"/>
      <c r="H442" s="53"/>
      <c r="I442" s="54"/>
      <c r="J442" s="55"/>
      <c r="K442" s="55"/>
      <c r="L442" s="55"/>
      <c r="M442" s="53"/>
      <c r="N442" s="56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</row>
    <row r="443" spans="1:37" ht="13.8" x14ac:dyDescent="0.25">
      <c r="A443" s="46"/>
      <c r="B443" s="47"/>
      <c r="C443" s="48"/>
      <c r="D443" s="49"/>
      <c r="E443" s="50"/>
      <c r="F443" s="51"/>
      <c r="G443" s="52"/>
      <c r="H443" s="53"/>
      <c r="I443" s="54"/>
      <c r="J443" s="55"/>
      <c r="K443" s="55"/>
      <c r="L443" s="55"/>
      <c r="M443" s="53"/>
      <c r="N443" s="56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</row>
    <row r="444" spans="1:37" ht="13.8" x14ac:dyDescent="0.25">
      <c r="A444" s="46"/>
      <c r="B444" s="47"/>
      <c r="C444" s="48"/>
      <c r="D444" s="49"/>
      <c r="E444" s="50"/>
      <c r="F444" s="51"/>
      <c r="G444" s="52"/>
      <c r="H444" s="53"/>
      <c r="I444" s="54"/>
      <c r="J444" s="55"/>
      <c r="K444" s="55"/>
      <c r="L444" s="55"/>
      <c r="M444" s="53"/>
      <c r="N444" s="56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</row>
    <row r="445" spans="1:37" ht="13.8" x14ac:dyDescent="0.25">
      <c r="A445" s="46"/>
      <c r="B445" s="47"/>
      <c r="C445" s="48"/>
      <c r="D445" s="49"/>
      <c r="E445" s="50"/>
      <c r="F445" s="51"/>
      <c r="G445" s="52"/>
      <c r="H445" s="53"/>
      <c r="I445" s="54"/>
      <c r="J445" s="55"/>
      <c r="K445" s="55"/>
      <c r="L445" s="55"/>
      <c r="M445" s="53"/>
      <c r="N445" s="56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</row>
    <row r="446" spans="1:37" ht="13.8" x14ac:dyDescent="0.25">
      <c r="A446" s="46"/>
      <c r="B446" s="47"/>
      <c r="C446" s="48"/>
      <c r="D446" s="49"/>
      <c r="E446" s="50"/>
      <c r="F446" s="51"/>
      <c r="G446" s="52"/>
      <c r="H446" s="53"/>
      <c r="I446" s="54"/>
      <c r="J446" s="55"/>
      <c r="K446" s="55"/>
      <c r="L446" s="55"/>
      <c r="M446" s="53"/>
      <c r="N446" s="56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</row>
    <row r="447" spans="1:37" ht="13.8" x14ac:dyDescent="0.25">
      <c r="A447" s="46"/>
      <c r="B447" s="47"/>
      <c r="C447" s="48"/>
      <c r="D447" s="49"/>
      <c r="E447" s="50"/>
      <c r="F447" s="51"/>
      <c r="G447" s="52"/>
      <c r="H447" s="53"/>
      <c r="I447" s="54"/>
      <c r="J447" s="55"/>
      <c r="K447" s="55"/>
      <c r="L447" s="55"/>
      <c r="M447" s="53"/>
      <c r="N447" s="56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</row>
    <row r="448" spans="1:37" ht="13.8" x14ac:dyDescent="0.25">
      <c r="A448" s="46"/>
      <c r="B448" s="47"/>
      <c r="C448" s="48"/>
      <c r="D448" s="49"/>
      <c r="E448" s="50"/>
      <c r="F448" s="51"/>
      <c r="G448" s="52"/>
      <c r="H448" s="53"/>
      <c r="I448" s="54"/>
      <c r="J448" s="55"/>
      <c r="K448" s="55"/>
      <c r="L448" s="55"/>
      <c r="M448" s="53"/>
      <c r="N448" s="56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</row>
    <row r="449" spans="1:37" ht="13.8" x14ac:dyDescent="0.25">
      <c r="A449" s="46"/>
      <c r="B449" s="47"/>
      <c r="C449" s="48"/>
      <c r="D449" s="49"/>
      <c r="E449" s="50"/>
      <c r="F449" s="51"/>
      <c r="G449" s="52"/>
      <c r="H449" s="53"/>
      <c r="I449" s="54"/>
      <c r="J449" s="55"/>
      <c r="K449" s="55"/>
      <c r="L449" s="55"/>
      <c r="M449" s="53"/>
      <c r="N449" s="56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</row>
    <row r="450" spans="1:37" ht="13.8" x14ac:dyDescent="0.25">
      <c r="A450" s="46"/>
      <c r="B450" s="47"/>
      <c r="C450" s="48"/>
      <c r="D450" s="49"/>
      <c r="E450" s="50"/>
      <c r="F450" s="51"/>
      <c r="G450" s="52"/>
      <c r="H450" s="53"/>
      <c r="I450" s="54"/>
      <c r="J450" s="55"/>
      <c r="K450" s="55"/>
      <c r="L450" s="55"/>
      <c r="M450" s="53"/>
      <c r="N450" s="56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</row>
    <row r="451" spans="1:37" ht="13.8" x14ac:dyDescent="0.25">
      <c r="A451" s="46"/>
      <c r="B451" s="47"/>
      <c r="C451" s="48"/>
      <c r="D451" s="49"/>
      <c r="E451" s="50"/>
      <c r="F451" s="51"/>
      <c r="G451" s="52"/>
      <c r="H451" s="53"/>
      <c r="I451" s="54"/>
      <c r="J451" s="55"/>
      <c r="K451" s="55"/>
      <c r="L451" s="55"/>
      <c r="M451" s="53"/>
      <c r="N451" s="56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</row>
    <row r="452" spans="1:37" ht="13.8" x14ac:dyDescent="0.25">
      <c r="A452" s="46"/>
      <c r="B452" s="47"/>
      <c r="C452" s="48"/>
      <c r="D452" s="49"/>
      <c r="E452" s="50"/>
      <c r="F452" s="51"/>
      <c r="G452" s="52"/>
      <c r="H452" s="53"/>
      <c r="I452" s="54"/>
      <c r="J452" s="55"/>
      <c r="K452" s="55"/>
      <c r="L452" s="55"/>
      <c r="M452" s="53"/>
      <c r="N452" s="56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</row>
    <row r="453" spans="1:37" ht="13.8" x14ac:dyDescent="0.25">
      <c r="A453" s="46"/>
      <c r="B453" s="47"/>
      <c r="C453" s="48"/>
      <c r="D453" s="49"/>
      <c r="E453" s="50"/>
      <c r="F453" s="51"/>
      <c r="G453" s="52"/>
      <c r="H453" s="53"/>
      <c r="I453" s="54"/>
      <c r="J453" s="55"/>
      <c r="K453" s="55"/>
      <c r="L453" s="55"/>
      <c r="M453" s="53"/>
      <c r="N453" s="56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</row>
    <row r="454" spans="1:37" ht="13.8" x14ac:dyDescent="0.25">
      <c r="A454" s="46"/>
      <c r="B454" s="47"/>
      <c r="C454" s="48"/>
      <c r="D454" s="49"/>
      <c r="E454" s="50"/>
      <c r="F454" s="51"/>
      <c r="G454" s="52"/>
      <c r="H454" s="53"/>
      <c r="I454" s="54"/>
      <c r="J454" s="55"/>
      <c r="K454" s="55"/>
      <c r="L454" s="55"/>
      <c r="M454" s="53"/>
      <c r="N454" s="56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</row>
    <row r="455" spans="1:37" ht="13.8" x14ac:dyDescent="0.25">
      <c r="A455" s="46"/>
      <c r="B455" s="47"/>
      <c r="C455" s="48"/>
      <c r="D455" s="49"/>
      <c r="E455" s="50"/>
      <c r="F455" s="51"/>
      <c r="G455" s="52"/>
      <c r="H455" s="53"/>
      <c r="I455" s="54"/>
      <c r="J455" s="55"/>
      <c r="K455" s="55"/>
      <c r="L455" s="55"/>
      <c r="M455" s="53"/>
      <c r="N455" s="56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</row>
    <row r="456" spans="1:37" ht="13.8" x14ac:dyDescent="0.25">
      <c r="A456" s="46"/>
      <c r="B456" s="47"/>
      <c r="C456" s="48"/>
      <c r="D456" s="49"/>
      <c r="E456" s="50"/>
      <c r="F456" s="51"/>
      <c r="G456" s="52"/>
      <c r="H456" s="53"/>
      <c r="I456" s="54"/>
      <c r="J456" s="55"/>
      <c r="K456" s="55"/>
      <c r="L456" s="55"/>
      <c r="M456" s="53"/>
      <c r="N456" s="56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</row>
    <row r="457" spans="1:37" ht="13.8" x14ac:dyDescent="0.25">
      <c r="A457" s="46"/>
      <c r="B457" s="47"/>
      <c r="C457" s="48"/>
      <c r="D457" s="49"/>
      <c r="E457" s="50"/>
      <c r="F457" s="51"/>
      <c r="G457" s="52"/>
      <c r="H457" s="53"/>
      <c r="I457" s="54"/>
      <c r="J457" s="55"/>
      <c r="K457" s="55"/>
      <c r="L457" s="55"/>
      <c r="M457" s="53"/>
      <c r="N457" s="56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</row>
    <row r="458" spans="1:37" ht="13.8" x14ac:dyDescent="0.25">
      <c r="A458" s="46"/>
      <c r="B458" s="47"/>
      <c r="C458" s="48"/>
      <c r="D458" s="49"/>
      <c r="E458" s="50"/>
      <c r="F458" s="51"/>
      <c r="G458" s="52"/>
      <c r="H458" s="53"/>
      <c r="I458" s="54"/>
      <c r="J458" s="55"/>
      <c r="K458" s="55"/>
      <c r="L458" s="55"/>
      <c r="M458" s="53"/>
      <c r="N458" s="56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</row>
    <row r="459" spans="1:37" ht="13.8" x14ac:dyDescent="0.25">
      <c r="A459" s="46"/>
      <c r="B459" s="47"/>
      <c r="C459" s="48"/>
      <c r="D459" s="49"/>
      <c r="E459" s="50"/>
      <c r="F459" s="51"/>
      <c r="G459" s="52"/>
      <c r="H459" s="53"/>
      <c r="I459" s="54"/>
      <c r="J459" s="55"/>
      <c r="K459" s="55"/>
      <c r="L459" s="55"/>
      <c r="M459" s="53"/>
      <c r="N459" s="56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</row>
    <row r="460" spans="1:37" ht="13.8" x14ac:dyDescent="0.25">
      <c r="A460" s="46"/>
      <c r="B460" s="47"/>
      <c r="C460" s="48"/>
      <c r="D460" s="49"/>
      <c r="E460" s="50"/>
      <c r="F460" s="51"/>
      <c r="G460" s="52"/>
      <c r="H460" s="53"/>
      <c r="I460" s="54"/>
      <c r="J460" s="55"/>
      <c r="K460" s="55"/>
      <c r="L460" s="55"/>
      <c r="M460" s="53"/>
      <c r="N460" s="56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</row>
    <row r="461" spans="1:37" ht="13.8" x14ac:dyDescent="0.25">
      <c r="A461" s="46"/>
      <c r="B461" s="47"/>
      <c r="C461" s="48"/>
      <c r="D461" s="49"/>
      <c r="E461" s="50"/>
      <c r="F461" s="51"/>
      <c r="G461" s="52"/>
      <c r="H461" s="53"/>
      <c r="I461" s="54"/>
      <c r="J461" s="55"/>
      <c r="K461" s="55"/>
      <c r="L461" s="55"/>
      <c r="M461" s="53"/>
      <c r="N461" s="56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</row>
    <row r="462" spans="1:37" ht="13.8" x14ac:dyDescent="0.25">
      <c r="A462" s="46"/>
      <c r="B462" s="47"/>
      <c r="C462" s="48"/>
      <c r="D462" s="49"/>
      <c r="E462" s="50"/>
      <c r="F462" s="51"/>
      <c r="G462" s="52"/>
      <c r="H462" s="53"/>
      <c r="I462" s="54"/>
      <c r="J462" s="55"/>
      <c r="K462" s="55"/>
      <c r="L462" s="55"/>
      <c r="M462" s="53"/>
      <c r="N462" s="56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</row>
    <row r="463" spans="1:37" ht="13.8" x14ac:dyDescent="0.25">
      <c r="A463" s="46"/>
      <c r="B463" s="47"/>
      <c r="C463" s="48"/>
      <c r="D463" s="49"/>
      <c r="E463" s="50"/>
      <c r="F463" s="51"/>
      <c r="G463" s="52"/>
      <c r="H463" s="53"/>
      <c r="I463" s="54"/>
      <c r="J463" s="55"/>
      <c r="K463" s="55"/>
      <c r="L463" s="55"/>
      <c r="M463" s="53"/>
      <c r="N463" s="56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</row>
    <row r="464" spans="1:37" ht="13.8" x14ac:dyDescent="0.25">
      <c r="A464" s="46"/>
      <c r="B464" s="47"/>
      <c r="C464" s="48"/>
      <c r="D464" s="49"/>
      <c r="E464" s="50"/>
      <c r="F464" s="51"/>
      <c r="G464" s="52"/>
      <c r="H464" s="53"/>
      <c r="I464" s="54"/>
      <c r="J464" s="55"/>
      <c r="K464" s="55"/>
      <c r="L464" s="55"/>
      <c r="M464" s="53"/>
      <c r="N464" s="56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</row>
    <row r="465" spans="1:37" ht="13.8" x14ac:dyDescent="0.25">
      <c r="A465" s="46"/>
      <c r="B465" s="47"/>
      <c r="C465" s="48"/>
      <c r="D465" s="49"/>
      <c r="E465" s="50"/>
      <c r="F465" s="51"/>
      <c r="G465" s="52"/>
      <c r="H465" s="53"/>
      <c r="I465" s="54"/>
      <c r="J465" s="55"/>
      <c r="K465" s="55"/>
      <c r="L465" s="55"/>
      <c r="M465" s="53"/>
      <c r="N465" s="56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</row>
    <row r="466" spans="1:37" ht="13.8" x14ac:dyDescent="0.25">
      <c r="A466" s="46"/>
      <c r="B466" s="47"/>
      <c r="C466" s="48"/>
      <c r="D466" s="49"/>
      <c r="E466" s="50"/>
      <c r="F466" s="51"/>
      <c r="G466" s="52"/>
      <c r="H466" s="53"/>
      <c r="I466" s="54"/>
      <c r="J466" s="55"/>
      <c r="K466" s="55"/>
      <c r="L466" s="55"/>
      <c r="M466" s="53"/>
      <c r="N466" s="56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</row>
    <row r="467" spans="1:37" ht="13.8" x14ac:dyDescent="0.25">
      <c r="A467" s="46"/>
      <c r="B467" s="47"/>
      <c r="C467" s="48"/>
      <c r="D467" s="49"/>
      <c r="E467" s="50"/>
      <c r="F467" s="51"/>
      <c r="G467" s="52"/>
      <c r="H467" s="53"/>
      <c r="I467" s="54"/>
      <c r="J467" s="55"/>
      <c r="K467" s="55"/>
      <c r="L467" s="55"/>
      <c r="M467" s="53"/>
      <c r="N467" s="56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</row>
    <row r="468" spans="1:37" ht="13.8" x14ac:dyDescent="0.25">
      <c r="A468" s="46"/>
      <c r="B468" s="47"/>
      <c r="C468" s="48"/>
      <c r="D468" s="49"/>
      <c r="E468" s="50"/>
      <c r="F468" s="51"/>
      <c r="G468" s="52"/>
      <c r="H468" s="53"/>
      <c r="I468" s="54"/>
      <c r="J468" s="55"/>
      <c r="K468" s="55"/>
      <c r="L468" s="55"/>
      <c r="M468" s="53"/>
      <c r="N468" s="56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</row>
    <row r="469" spans="1:37" ht="13.8" x14ac:dyDescent="0.25">
      <c r="A469" s="46"/>
      <c r="B469" s="47"/>
      <c r="C469" s="48"/>
      <c r="D469" s="49"/>
      <c r="E469" s="50"/>
      <c r="F469" s="51"/>
      <c r="G469" s="52"/>
      <c r="H469" s="53"/>
      <c r="I469" s="54"/>
      <c r="J469" s="55"/>
      <c r="K469" s="55"/>
      <c r="L469" s="55"/>
      <c r="M469" s="53"/>
      <c r="N469" s="56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</row>
    <row r="470" spans="1:37" ht="13.8" x14ac:dyDescent="0.25">
      <c r="A470" s="46"/>
      <c r="B470" s="47"/>
      <c r="C470" s="48"/>
      <c r="D470" s="49"/>
      <c r="E470" s="50"/>
      <c r="F470" s="51"/>
      <c r="G470" s="52"/>
      <c r="H470" s="53"/>
      <c r="I470" s="54"/>
      <c r="J470" s="55"/>
      <c r="K470" s="55"/>
      <c r="L470" s="55"/>
      <c r="M470" s="53"/>
      <c r="N470" s="56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</row>
    <row r="471" spans="1:37" ht="13.8" x14ac:dyDescent="0.25">
      <c r="A471" s="46"/>
      <c r="B471" s="47"/>
      <c r="C471" s="48"/>
      <c r="D471" s="49"/>
      <c r="E471" s="50"/>
      <c r="F471" s="51"/>
      <c r="G471" s="52"/>
      <c r="H471" s="53"/>
      <c r="I471" s="54"/>
      <c r="J471" s="55"/>
      <c r="K471" s="55"/>
      <c r="L471" s="55"/>
      <c r="M471" s="53"/>
      <c r="N471" s="56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</row>
    <row r="472" spans="1:37" ht="13.8" x14ac:dyDescent="0.25">
      <c r="A472" s="46"/>
      <c r="B472" s="47"/>
      <c r="C472" s="48"/>
      <c r="D472" s="49"/>
      <c r="E472" s="50"/>
      <c r="F472" s="51"/>
      <c r="G472" s="52"/>
      <c r="H472" s="53"/>
      <c r="I472" s="54"/>
      <c r="J472" s="55"/>
      <c r="K472" s="55"/>
      <c r="L472" s="55"/>
      <c r="M472" s="53"/>
      <c r="N472" s="56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</row>
    <row r="473" spans="1:37" ht="13.8" x14ac:dyDescent="0.25">
      <c r="A473" s="46"/>
      <c r="B473" s="47"/>
      <c r="C473" s="48"/>
      <c r="D473" s="49"/>
      <c r="E473" s="50"/>
      <c r="F473" s="51"/>
      <c r="G473" s="52"/>
      <c r="H473" s="53"/>
      <c r="I473" s="54"/>
      <c r="J473" s="55"/>
      <c r="K473" s="55"/>
      <c r="L473" s="55"/>
      <c r="M473" s="53"/>
      <c r="N473" s="56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</row>
    <row r="474" spans="1:37" ht="13.8" x14ac:dyDescent="0.25">
      <c r="A474" s="46"/>
      <c r="B474" s="47"/>
      <c r="C474" s="48"/>
      <c r="D474" s="49"/>
      <c r="E474" s="50"/>
      <c r="F474" s="51"/>
      <c r="G474" s="52"/>
      <c r="H474" s="53"/>
      <c r="I474" s="54"/>
      <c r="J474" s="55"/>
      <c r="K474" s="55"/>
      <c r="L474" s="55"/>
      <c r="M474" s="53"/>
      <c r="N474" s="56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</row>
    <row r="475" spans="1:37" ht="13.8" x14ac:dyDescent="0.25">
      <c r="A475" s="46"/>
      <c r="B475" s="47"/>
      <c r="C475" s="48"/>
      <c r="D475" s="49"/>
      <c r="E475" s="50"/>
      <c r="F475" s="51"/>
      <c r="G475" s="52"/>
      <c r="H475" s="53"/>
      <c r="I475" s="54"/>
      <c r="J475" s="55"/>
      <c r="K475" s="55"/>
      <c r="L475" s="55"/>
      <c r="M475" s="53"/>
      <c r="N475" s="56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</row>
    <row r="476" spans="1:37" ht="13.8" x14ac:dyDescent="0.25">
      <c r="A476" s="46"/>
      <c r="B476" s="47"/>
      <c r="C476" s="48"/>
      <c r="D476" s="49"/>
      <c r="E476" s="50"/>
      <c r="F476" s="51"/>
      <c r="G476" s="52"/>
      <c r="H476" s="53"/>
      <c r="I476" s="54"/>
      <c r="J476" s="55"/>
      <c r="K476" s="55"/>
      <c r="L476" s="55"/>
      <c r="M476" s="53"/>
      <c r="N476" s="56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</row>
    <row r="477" spans="1:37" ht="13.8" x14ac:dyDescent="0.25">
      <c r="A477" s="46"/>
      <c r="B477" s="47"/>
      <c r="C477" s="48"/>
      <c r="D477" s="49"/>
      <c r="E477" s="50"/>
      <c r="F477" s="51"/>
      <c r="G477" s="52"/>
      <c r="H477" s="53"/>
      <c r="I477" s="54"/>
      <c r="J477" s="55"/>
      <c r="K477" s="55"/>
      <c r="L477" s="55"/>
      <c r="M477" s="53"/>
      <c r="N477" s="56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</row>
    <row r="478" spans="1:37" ht="13.8" x14ac:dyDescent="0.25">
      <c r="A478" s="46"/>
      <c r="B478" s="47"/>
      <c r="C478" s="48"/>
      <c r="D478" s="49"/>
      <c r="E478" s="50"/>
      <c r="F478" s="51"/>
      <c r="G478" s="52"/>
      <c r="H478" s="53"/>
      <c r="I478" s="54"/>
      <c r="J478" s="55"/>
      <c r="K478" s="55"/>
      <c r="L478" s="55"/>
      <c r="M478" s="53"/>
      <c r="N478" s="56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</row>
    <row r="479" spans="1:37" ht="13.8" x14ac:dyDescent="0.25">
      <c r="A479" s="46"/>
      <c r="B479" s="47"/>
      <c r="C479" s="48"/>
      <c r="D479" s="49"/>
      <c r="E479" s="50"/>
      <c r="F479" s="51"/>
      <c r="G479" s="52"/>
      <c r="H479" s="53"/>
      <c r="I479" s="54"/>
      <c r="J479" s="55"/>
      <c r="K479" s="55"/>
      <c r="L479" s="55"/>
      <c r="M479" s="53"/>
      <c r="N479" s="56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</row>
    <row r="480" spans="1:37" ht="13.8" x14ac:dyDescent="0.25">
      <c r="A480" s="46"/>
      <c r="B480" s="47"/>
      <c r="C480" s="48"/>
      <c r="D480" s="49"/>
      <c r="E480" s="50"/>
      <c r="F480" s="51"/>
      <c r="G480" s="52"/>
      <c r="H480" s="53"/>
      <c r="I480" s="54"/>
      <c r="J480" s="55"/>
      <c r="K480" s="55"/>
      <c r="L480" s="55"/>
      <c r="M480" s="53"/>
      <c r="N480" s="56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</row>
    <row r="481" spans="1:37" ht="13.8" x14ac:dyDescent="0.25">
      <c r="A481" s="46"/>
      <c r="B481" s="47"/>
      <c r="C481" s="48"/>
      <c r="D481" s="49"/>
      <c r="E481" s="50"/>
      <c r="F481" s="51"/>
      <c r="G481" s="52"/>
      <c r="H481" s="53"/>
      <c r="I481" s="54"/>
      <c r="J481" s="55"/>
      <c r="K481" s="55"/>
      <c r="L481" s="55"/>
      <c r="M481" s="53"/>
      <c r="N481" s="56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</row>
    <row r="482" spans="1:37" ht="13.8" x14ac:dyDescent="0.25">
      <c r="A482" s="46"/>
      <c r="B482" s="47"/>
      <c r="C482" s="48"/>
      <c r="D482" s="49"/>
      <c r="E482" s="50"/>
      <c r="F482" s="51"/>
      <c r="G482" s="52"/>
      <c r="H482" s="53"/>
      <c r="I482" s="54"/>
      <c r="J482" s="55"/>
      <c r="K482" s="55"/>
      <c r="L482" s="55"/>
      <c r="M482" s="53"/>
      <c r="N482" s="56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</row>
    <row r="483" spans="1:37" ht="13.8" x14ac:dyDescent="0.25">
      <c r="A483" s="46"/>
      <c r="B483" s="47"/>
      <c r="C483" s="48"/>
      <c r="D483" s="49"/>
      <c r="E483" s="50"/>
      <c r="F483" s="51"/>
      <c r="G483" s="52"/>
      <c r="H483" s="53"/>
      <c r="I483" s="54"/>
      <c r="J483" s="55"/>
      <c r="K483" s="55"/>
      <c r="L483" s="55"/>
      <c r="M483" s="53"/>
      <c r="N483" s="56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</row>
    <row r="484" spans="1:37" ht="13.8" x14ac:dyDescent="0.25">
      <c r="A484" s="46"/>
      <c r="B484" s="47"/>
      <c r="C484" s="48"/>
      <c r="D484" s="49"/>
      <c r="E484" s="50"/>
      <c r="F484" s="51"/>
      <c r="G484" s="52"/>
      <c r="H484" s="53"/>
      <c r="I484" s="54"/>
      <c r="J484" s="55"/>
      <c r="K484" s="55"/>
      <c r="L484" s="55"/>
      <c r="M484" s="53"/>
      <c r="N484" s="56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</row>
    <row r="485" spans="1:37" ht="13.8" x14ac:dyDescent="0.25">
      <c r="A485" s="46"/>
      <c r="B485" s="47"/>
      <c r="C485" s="48"/>
      <c r="D485" s="49"/>
      <c r="E485" s="50"/>
      <c r="F485" s="51"/>
      <c r="G485" s="52"/>
      <c r="H485" s="53"/>
      <c r="I485" s="54"/>
      <c r="J485" s="55"/>
      <c r="K485" s="55"/>
      <c r="L485" s="55"/>
      <c r="M485" s="53"/>
      <c r="N485" s="56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</row>
    <row r="486" spans="1:37" ht="13.8" x14ac:dyDescent="0.25">
      <c r="A486" s="46"/>
      <c r="B486" s="47"/>
      <c r="C486" s="48"/>
      <c r="D486" s="49"/>
      <c r="E486" s="50"/>
      <c r="F486" s="51"/>
      <c r="G486" s="52"/>
      <c r="H486" s="53"/>
      <c r="I486" s="54"/>
      <c r="J486" s="55"/>
      <c r="K486" s="55"/>
      <c r="L486" s="55"/>
      <c r="M486" s="53"/>
      <c r="N486" s="56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</row>
    <row r="487" spans="1:37" ht="13.8" x14ac:dyDescent="0.25">
      <c r="A487" s="46"/>
      <c r="B487" s="47"/>
      <c r="C487" s="48"/>
      <c r="D487" s="49"/>
      <c r="E487" s="50"/>
      <c r="F487" s="51"/>
      <c r="G487" s="52"/>
      <c r="H487" s="53"/>
      <c r="I487" s="54"/>
      <c r="J487" s="55"/>
      <c r="K487" s="55"/>
      <c r="L487" s="55"/>
      <c r="M487" s="53"/>
      <c r="N487" s="56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</row>
    <row r="488" spans="1:37" ht="13.8" x14ac:dyDescent="0.25">
      <c r="A488" s="46"/>
      <c r="B488" s="47"/>
      <c r="C488" s="48"/>
      <c r="D488" s="49"/>
      <c r="E488" s="50"/>
      <c r="F488" s="51"/>
      <c r="G488" s="52"/>
      <c r="H488" s="53"/>
      <c r="I488" s="54"/>
      <c r="J488" s="55"/>
      <c r="K488" s="55"/>
      <c r="L488" s="55"/>
      <c r="M488" s="53"/>
      <c r="N488" s="56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</row>
    <row r="489" spans="1:37" ht="13.8" x14ac:dyDescent="0.25">
      <c r="A489" s="46"/>
      <c r="B489" s="47"/>
      <c r="C489" s="48"/>
      <c r="D489" s="49"/>
      <c r="E489" s="50"/>
      <c r="F489" s="51"/>
      <c r="G489" s="52"/>
      <c r="H489" s="53"/>
      <c r="I489" s="54"/>
      <c r="J489" s="55"/>
      <c r="K489" s="55"/>
      <c r="L489" s="55"/>
      <c r="M489" s="53"/>
      <c r="N489" s="56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</row>
    <row r="490" spans="1:37" ht="13.8" x14ac:dyDescent="0.25">
      <c r="A490" s="46"/>
      <c r="B490" s="47"/>
      <c r="C490" s="48"/>
      <c r="D490" s="49"/>
      <c r="E490" s="50"/>
      <c r="F490" s="51"/>
      <c r="G490" s="52"/>
      <c r="H490" s="53"/>
      <c r="I490" s="54"/>
      <c r="J490" s="55"/>
      <c r="K490" s="55"/>
      <c r="L490" s="55"/>
      <c r="M490" s="53"/>
      <c r="N490" s="56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</row>
    <row r="491" spans="1:37" ht="13.8" x14ac:dyDescent="0.25">
      <c r="A491" s="46"/>
      <c r="B491" s="47"/>
      <c r="C491" s="48"/>
      <c r="D491" s="49"/>
      <c r="E491" s="50"/>
      <c r="F491" s="51"/>
      <c r="G491" s="52"/>
      <c r="H491" s="53"/>
      <c r="I491" s="54"/>
      <c r="J491" s="55"/>
      <c r="K491" s="55"/>
      <c r="L491" s="55"/>
      <c r="M491" s="53"/>
      <c r="N491" s="56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</row>
    <row r="492" spans="1:37" ht="13.8" x14ac:dyDescent="0.25">
      <c r="A492" s="46"/>
      <c r="B492" s="47"/>
      <c r="C492" s="48"/>
      <c r="D492" s="49"/>
      <c r="E492" s="50"/>
      <c r="F492" s="51"/>
      <c r="G492" s="52"/>
      <c r="H492" s="53"/>
      <c r="I492" s="54"/>
      <c r="J492" s="55"/>
      <c r="K492" s="55"/>
      <c r="L492" s="55"/>
      <c r="M492" s="53"/>
      <c r="N492" s="56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</row>
    <row r="493" spans="1:37" ht="13.8" x14ac:dyDescent="0.25">
      <c r="A493" s="46"/>
      <c r="B493" s="47"/>
      <c r="C493" s="48"/>
      <c r="D493" s="49"/>
      <c r="E493" s="50"/>
      <c r="F493" s="51"/>
      <c r="G493" s="52"/>
      <c r="H493" s="53"/>
      <c r="I493" s="54"/>
      <c r="J493" s="55"/>
      <c r="K493" s="55"/>
      <c r="L493" s="55"/>
      <c r="M493" s="53"/>
      <c r="N493" s="56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</row>
    <row r="494" spans="1:37" ht="13.8" x14ac:dyDescent="0.25">
      <c r="A494" s="46"/>
      <c r="B494" s="47"/>
      <c r="C494" s="48"/>
      <c r="D494" s="49"/>
      <c r="E494" s="50"/>
      <c r="F494" s="51"/>
      <c r="G494" s="52"/>
      <c r="H494" s="53"/>
      <c r="I494" s="54"/>
      <c r="J494" s="55"/>
      <c r="K494" s="55"/>
      <c r="L494" s="55"/>
      <c r="M494" s="53"/>
      <c r="N494" s="56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</row>
    <row r="495" spans="1:37" ht="13.8" x14ac:dyDescent="0.25">
      <c r="A495" s="46"/>
      <c r="B495" s="47"/>
      <c r="C495" s="48"/>
      <c r="D495" s="49"/>
      <c r="E495" s="50"/>
      <c r="F495" s="51"/>
      <c r="G495" s="52"/>
      <c r="H495" s="53"/>
      <c r="I495" s="54"/>
      <c r="J495" s="55"/>
      <c r="K495" s="55"/>
      <c r="L495" s="55"/>
      <c r="M495" s="53"/>
      <c r="N495" s="56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</row>
    <row r="496" spans="1:37" ht="13.8" x14ac:dyDescent="0.25">
      <c r="A496" s="46"/>
      <c r="B496" s="47"/>
      <c r="C496" s="48"/>
      <c r="D496" s="49"/>
      <c r="E496" s="50"/>
      <c r="F496" s="51"/>
      <c r="G496" s="52"/>
      <c r="H496" s="53"/>
      <c r="I496" s="54"/>
      <c r="J496" s="55"/>
      <c r="K496" s="55"/>
      <c r="L496" s="55"/>
      <c r="M496" s="53"/>
      <c r="N496" s="56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</row>
    <row r="497" spans="1:37" ht="13.8" x14ac:dyDescent="0.25">
      <c r="A497" s="46"/>
      <c r="B497" s="47"/>
      <c r="C497" s="48"/>
      <c r="D497" s="49"/>
      <c r="E497" s="50"/>
      <c r="F497" s="51"/>
      <c r="G497" s="52"/>
      <c r="H497" s="53"/>
      <c r="I497" s="54"/>
      <c r="J497" s="55"/>
      <c r="K497" s="55"/>
      <c r="L497" s="55"/>
      <c r="M497" s="53"/>
      <c r="N497" s="56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</row>
    <row r="498" spans="1:37" ht="13.8" x14ac:dyDescent="0.25">
      <c r="A498" s="46"/>
      <c r="B498" s="47"/>
      <c r="C498" s="48"/>
      <c r="D498" s="49"/>
      <c r="E498" s="50"/>
      <c r="F498" s="51"/>
      <c r="G498" s="52"/>
      <c r="H498" s="53"/>
      <c r="I498" s="54"/>
      <c r="J498" s="55"/>
      <c r="K498" s="55"/>
      <c r="L498" s="55"/>
      <c r="M498" s="53"/>
      <c r="N498" s="56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</row>
    <row r="499" spans="1:37" ht="13.8" x14ac:dyDescent="0.25">
      <c r="A499" s="46"/>
      <c r="B499" s="47"/>
      <c r="C499" s="48"/>
      <c r="D499" s="49"/>
      <c r="E499" s="50"/>
      <c r="F499" s="51"/>
      <c r="G499" s="52"/>
      <c r="H499" s="53"/>
      <c r="I499" s="54"/>
      <c r="J499" s="55"/>
      <c r="K499" s="55"/>
      <c r="L499" s="55"/>
      <c r="M499" s="53"/>
      <c r="N499" s="56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</row>
    <row r="500" spans="1:37" ht="13.8" x14ac:dyDescent="0.25">
      <c r="A500" s="46"/>
      <c r="B500" s="47"/>
      <c r="C500" s="48"/>
      <c r="D500" s="49"/>
      <c r="E500" s="50"/>
      <c r="F500" s="51"/>
      <c r="G500" s="52"/>
      <c r="H500" s="53"/>
      <c r="I500" s="54"/>
      <c r="J500" s="55"/>
      <c r="K500" s="55"/>
      <c r="L500" s="55"/>
      <c r="M500" s="53"/>
      <c r="N500" s="56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</row>
    <row r="501" spans="1:37" ht="13.8" x14ac:dyDescent="0.25">
      <c r="A501" s="46"/>
      <c r="B501" s="47"/>
      <c r="C501" s="48"/>
      <c r="D501" s="49"/>
      <c r="E501" s="50"/>
      <c r="F501" s="51"/>
      <c r="G501" s="52"/>
      <c r="H501" s="53"/>
      <c r="I501" s="54"/>
      <c r="J501" s="55"/>
      <c r="K501" s="55"/>
      <c r="L501" s="55"/>
      <c r="M501" s="53"/>
      <c r="N501" s="56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</row>
    <row r="502" spans="1:37" ht="13.8" x14ac:dyDescent="0.25">
      <c r="A502" s="46"/>
      <c r="B502" s="47"/>
      <c r="C502" s="48"/>
      <c r="D502" s="49"/>
      <c r="E502" s="50"/>
      <c r="F502" s="51"/>
      <c r="G502" s="52"/>
      <c r="H502" s="53"/>
      <c r="I502" s="54"/>
      <c r="J502" s="55"/>
      <c r="K502" s="55"/>
      <c r="L502" s="55"/>
      <c r="M502" s="53"/>
      <c r="N502" s="56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</row>
    <row r="503" spans="1:37" ht="13.8" x14ac:dyDescent="0.25">
      <c r="A503" s="46"/>
      <c r="B503" s="47"/>
      <c r="C503" s="48"/>
      <c r="D503" s="49"/>
      <c r="E503" s="50"/>
      <c r="F503" s="51"/>
      <c r="G503" s="52"/>
      <c r="H503" s="53"/>
      <c r="I503" s="54"/>
      <c r="J503" s="55"/>
      <c r="K503" s="55"/>
      <c r="L503" s="55"/>
      <c r="M503" s="53"/>
      <c r="N503" s="56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</row>
    <row r="504" spans="1:37" ht="13.8" x14ac:dyDescent="0.25">
      <c r="A504" s="46"/>
      <c r="B504" s="47"/>
      <c r="C504" s="48"/>
      <c r="D504" s="49"/>
      <c r="E504" s="50"/>
      <c r="F504" s="51"/>
      <c r="G504" s="52"/>
      <c r="H504" s="53"/>
      <c r="I504" s="54"/>
      <c r="J504" s="55"/>
      <c r="K504" s="55"/>
      <c r="L504" s="55"/>
      <c r="M504" s="53"/>
      <c r="N504" s="56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</row>
    <row r="505" spans="1:37" ht="13.8" x14ac:dyDescent="0.25">
      <c r="A505" s="46"/>
      <c r="B505" s="47"/>
      <c r="C505" s="48"/>
      <c r="D505" s="49"/>
      <c r="E505" s="50"/>
      <c r="F505" s="51"/>
      <c r="G505" s="52"/>
      <c r="H505" s="53"/>
      <c r="I505" s="54"/>
      <c r="J505" s="55"/>
      <c r="K505" s="55"/>
      <c r="L505" s="55"/>
      <c r="M505" s="53"/>
      <c r="N505" s="56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</row>
    <row r="506" spans="1:37" ht="13.8" x14ac:dyDescent="0.25">
      <c r="A506" s="46"/>
      <c r="B506" s="47"/>
      <c r="C506" s="48"/>
      <c r="D506" s="49"/>
      <c r="E506" s="50"/>
      <c r="F506" s="51"/>
      <c r="G506" s="52"/>
      <c r="H506" s="53"/>
      <c r="I506" s="54"/>
      <c r="J506" s="55"/>
      <c r="K506" s="55"/>
      <c r="L506" s="55"/>
      <c r="M506" s="53"/>
      <c r="N506" s="56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</row>
    <row r="507" spans="1:37" ht="13.8" x14ac:dyDescent="0.25">
      <c r="A507" s="46"/>
      <c r="B507" s="47"/>
      <c r="C507" s="48"/>
      <c r="D507" s="49"/>
      <c r="E507" s="50"/>
      <c r="F507" s="51"/>
      <c r="G507" s="52"/>
      <c r="H507" s="53"/>
      <c r="I507" s="54"/>
      <c r="J507" s="55"/>
      <c r="K507" s="55"/>
      <c r="L507" s="55"/>
      <c r="M507" s="53"/>
      <c r="N507" s="56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</row>
    <row r="508" spans="1:37" ht="13.8" x14ac:dyDescent="0.25">
      <c r="A508" s="46"/>
      <c r="B508" s="47"/>
      <c r="C508" s="48"/>
      <c r="D508" s="49"/>
      <c r="E508" s="50"/>
      <c r="F508" s="51"/>
      <c r="G508" s="52"/>
      <c r="H508" s="53"/>
      <c r="I508" s="54"/>
      <c r="J508" s="55"/>
      <c r="K508" s="55"/>
      <c r="L508" s="55"/>
      <c r="M508" s="53"/>
      <c r="N508" s="56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</row>
    <row r="509" spans="1:37" ht="13.8" x14ac:dyDescent="0.25">
      <c r="A509" s="46"/>
      <c r="B509" s="47"/>
      <c r="C509" s="48"/>
      <c r="D509" s="49"/>
      <c r="E509" s="50"/>
      <c r="F509" s="51"/>
      <c r="G509" s="52"/>
      <c r="H509" s="53"/>
      <c r="I509" s="54"/>
      <c r="J509" s="55"/>
      <c r="K509" s="55"/>
      <c r="L509" s="55"/>
      <c r="M509" s="53"/>
      <c r="N509" s="56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</row>
    <row r="510" spans="1:37" ht="13.8" x14ac:dyDescent="0.25">
      <c r="A510" s="46"/>
      <c r="B510" s="47"/>
      <c r="C510" s="48"/>
      <c r="D510" s="49"/>
      <c r="E510" s="50"/>
      <c r="F510" s="51"/>
      <c r="G510" s="52"/>
      <c r="H510" s="53"/>
      <c r="I510" s="54"/>
      <c r="J510" s="55"/>
      <c r="K510" s="55"/>
      <c r="L510" s="55"/>
      <c r="M510" s="53"/>
      <c r="N510" s="56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</row>
    <row r="511" spans="1:37" ht="13.8" x14ac:dyDescent="0.25">
      <c r="A511" s="46"/>
      <c r="B511" s="47"/>
      <c r="C511" s="48"/>
      <c r="D511" s="49"/>
      <c r="E511" s="50"/>
      <c r="F511" s="51"/>
      <c r="G511" s="52"/>
      <c r="H511" s="53"/>
      <c r="I511" s="54"/>
      <c r="J511" s="55"/>
      <c r="K511" s="55"/>
      <c r="L511" s="55"/>
      <c r="M511" s="53"/>
      <c r="N511" s="56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</row>
    <row r="512" spans="1:37" ht="13.8" x14ac:dyDescent="0.25">
      <c r="A512" s="46"/>
      <c r="B512" s="47"/>
      <c r="C512" s="48"/>
      <c r="D512" s="49"/>
      <c r="E512" s="50"/>
      <c r="F512" s="51"/>
      <c r="G512" s="52"/>
      <c r="H512" s="53"/>
      <c r="I512" s="54"/>
      <c r="J512" s="55"/>
      <c r="K512" s="55"/>
      <c r="L512" s="55"/>
      <c r="M512" s="53"/>
      <c r="N512" s="56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</row>
    <row r="513" spans="1:37" ht="13.8" x14ac:dyDescent="0.25">
      <c r="A513" s="46"/>
      <c r="B513" s="47"/>
      <c r="C513" s="48"/>
      <c r="D513" s="49"/>
      <c r="E513" s="50"/>
      <c r="F513" s="51"/>
      <c r="G513" s="52"/>
      <c r="H513" s="53"/>
      <c r="I513" s="54"/>
      <c r="J513" s="55"/>
      <c r="K513" s="55"/>
      <c r="L513" s="55"/>
      <c r="M513" s="53"/>
      <c r="N513" s="56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</row>
    <row r="514" spans="1:37" ht="13.8" x14ac:dyDescent="0.25">
      <c r="A514" s="46"/>
      <c r="B514" s="47"/>
      <c r="C514" s="48"/>
      <c r="D514" s="49"/>
      <c r="E514" s="50"/>
      <c r="F514" s="51"/>
      <c r="G514" s="52"/>
      <c r="H514" s="53"/>
      <c r="I514" s="54"/>
      <c r="J514" s="55"/>
      <c r="K514" s="55"/>
      <c r="L514" s="55"/>
      <c r="M514" s="53"/>
      <c r="N514" s="56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</row>
    <row r="515" spans="1:37" ht="13.8" x14ac:dyDescent="0.25">
      <c r="A515" s="46"/>
      <c r="B515" s="47"/>
      <c r="C515" s="48"/>
      <c r="D515" s="49"/>
      <c r="E515" s="50"/>
      <c r="F515" s="51"/>
      <c r="G515" s="52"/>
      <c r="H515" s="53"/>
      <c r="I515" s="54"/>
      <c r="J515" s="55"/>
      <c r="K515" s="55"/>
      <c r="L515" s="55"/>
      <c r="M515" s="53"/>
      <c r="N515" s="56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</row>
    <row r="516" spans="1:37" ht="13.8" x14ac:dyDescent="0.25">
      <c r="A516" s="46"/>
      <c r="B516" s="47"/>
      <c r="C516" s="48"/>
      <c r="D516" s="49"/>
      <c r="E516" s="50"/>
      <c r="F516" s="51"/>
      <c r="G516" s="52"/>
      <c r="H516" s="53"/>
      <c r="I516" s="54"/>
      <c r="J516" s="55"/>
      <c r="K516" s="55"/>
      <c r="L516" s="55"/>
      <c r="M516" s="53"/>
      <c r="N516" s="56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</row>
    <row r="517" spans="1:37" ht="13.8" x14ac:dyDescent="0.25">
      <c r="A517" s="46"/>
      <c r="B517" s="47"/>
      <c r="C517" s="48"/>
      <c r="D517" s="49"/>
      <c r="E517" s="50"/>
      <c r="F517" s="51"/>
      <c r="G517" s="52"/>
      <c r="H517" s="53"/>
      <c r="I517" s="54"/>
      <c r="J517" s="55"/>
      <c r="K517" s="55"/>
      <c r="L517" s="55"/>
      <c r="M517" s="53"/>
      <c r="N517" s="56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</row>
    <row r="518" spans="1:37" ht="13.8" x14ac:dyDescent="0.25">
      <c r="A518" s="46"/>
      <c r="B518" s="47"/>
      <c r="C518" s="48"/>
      <c r="D518" s="49"/>
      <c r="E518" s="50"/>
      <c r="F518" s="51"/>
      <c r="G518" s="52"/>
      <c r="H518" s="53"/>
      <c r="I518" s="54"/>
      <c r="J518" s="55"/>
      <c r="K518" s="55"/>
      <c r="L518" s="55"/>
      <c r="M518" s="53"/>
      <c r="N518" s="56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</row>
    <row r="519" spans="1:37" ht="13.8" x14ac:dyDescent="0.25">
      <c r="A519" s="46"/>
      <c r="B519" s="47"/>
      <c r="C519" s="48"/>
      <c r="D519" s="49"/>
      <c r="E519" s="50"/>
      <c r="F519" s="51"/>
      <c r="G519" s="52"/>
      <c r="H519" s="53"/>
      <c r="I519" s="54"/>
      <c r="J519" s="55"/>
      <c r="K519" s="55"/>
      <c r="L519" s="55"/>
      <c r="M519" s="53"/>
      <c r="N519" s="56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</row>
    <row r="520" spans="1:37" ht="13.8" x14ac:dyDescent="0.25">
      <c r="A520" s="46"/>
      <c r="B520" s="47"/>
      <c r="C520" s="48"/>
      <c r="D520" s="49"/>
      <c r="E520" s="50"/>
      <c r="F520" s="51"/>
      <c r="G520" s="52"/>
      <c r="H520" s="53"/>
      <c r="I520" s="54"/>
      <c r="J520" s="55"/>
      <c r="K520" s="55"/>
      <c r="L520" s="55"/>
      <c r="M520" s="53"/>
      <c r="N520" s="56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</row>
    <row r="521" spans="1:37" ht="13.8" x14ac:dyDescent="0.25">
      <c r="A521" s="46"/>
      <c r="B521" s="47"/>
      <c r="C521" s="48"/>
      <c r="D521" s="49"/>
      <c r="E521" s="50"/>
      <c r="F521" s="51"/>
      <c r="G521" s="52"/>
      <c r="H521" s="53"/>
      <c r="I521" s="54"/>
      <c r="J521" s="55"/>
      <c r="K521" s="55"/>
      <c r="L521" s="55"/>
      <c r="M521" s="53"/>
      <c r="N521" s="56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</row>
    <row r="522" spans="1:37" ht="13.8" x14ac:dyDescent="0.25">
      <c r="A522" s="46"/>
      <c r="B522" s="47"/>
      <c r="C522" s="48"/>
      <c r="D522" s="49"/>
      <c r="E522" s="50"/>
      <c r="F522" s="51"/>
      <c r="G522" s="52"/>
      <c r="H522" s="53"/>
      <c r="I522" s="54"/>
      <c r="J522" s="55"/>
      <c r="K522" s="55"/>
      <c r="L522" s="55"/>
      <c r="M522" s="53"/>
      <c r="N522" s="56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</row>
    <row r="523" spans="1:37" ht="13.8" x14ac:dyDescent="0.25">
      <c r="A523" s="46"/>
      <c r="B523" s="47"/>
      <c r="C523" s="48"/>
      <c r="D523" s="49"/>
      <c r="E523" s="50"/>
      <c r="F523" s="51"/>
      <c r="G523" s="52"/>
      <c r="H523" s="53"/>
      <c r="I523" s="54"/>
      <c r="J523" s="55"/>
      <c r="K523" s="55"/>
      <c r="L523" s="55"/>
      <c r="M523" s="53"/>
      <c r="N523" s="56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</row>
    <row r="524" spans="1:37" ht="13.8" x14ac:dyDescent="0.25">
      <c r="A524" s="46"/>
      <c r="B524" s="47"/>
      <c r="C524" s="48"/>
      <c r="D524" s="49"/>
      <c r="E524" s="50"/>
      <c r="F524" s="51"/>
      <c r="G524" s="52"/>
      <c r="H524" s="53"/>
      <c r="I524" s="54"/>
      <c r="J524" s="55"/>
      <c r="K524" s="55"/>
      <c r="L524" s="55"/>
      <c r="M524" s="53"/>
      <c r="N524" s="56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</row>
    <row r="525" spans="1:37" ht="13.8" x14ac:dyDescent="0.25">
      <c r="A525" s="46"/>
      <c r="B525" s="47"/>
      <c r="C525" s="48"/>
      <c r="D525" s="49"/>
      <c r="E525" s="50"/>
      <c r="F525" s="51"/>
      <c r="G525" s="52"/>
      <c r="H525" s="53"/>
      <c r="I525" s="54"/>
      <c r="J525" s="55"/>
      <c r="K525" s="55"/>
      <c r="L525" s="55"/>
      <c r="M525" s="53"/>
      <c r="N525" s="56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</row>
    <row r="526" spans="1:37" ht="13.8" x14ac:dyDescent="0.25">
      <c r="A526" s="46"/>
      <c r="B526" s="47"/>
      <c r="C526" s="48"/>
      <c r="D526" s="49"/>
      <c r="E526" s="50"/>
      <c r="F526" s="51"/>
      <c r="G526" s="52"/>
      <c r="H526" s="53"/>
      <c r="I526" s="54"/>
      <c r="J526" s="55"/>
      <c r="K526" s="55"/>
      <c r="L526" s="55"/>
      <c r="M526" s="53"/>
      <c r="N526" s="56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</row>
    <row r="527" spans="1:37" ht="13.8" x14ac:dyDescent="0.25">
      <c r="A527" s="46"/>
      <c r="B527" s="47"/>
      <c r="C527" s="48"/>
      <c r="D527" s="49"/>
      <c r="E527" s="50"/>
      <c r="F527" s="51"/>
      <c r="G527" s="52"/>
      <c r="H527" s="53"/>
      <c r="I527" s="54"/>
      <c r="J527" s="55"/>
      <c r="K527" s="55"/>
      <c r="L527" s="55"/>
      <c r="M527" s="53"/>
      <c r="N527" s="56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</row>
    <row r="528" spans="1:37" ht="13.8" x14ac:dyDescent="0.25">
      <c r="A528" s="46"/>
      <c r="B528" s="47"/>
      <c r="C528" s="48"/>
      <c r="D528" s="49"/>
      <c r="E528" s="50"/>
      <c r="F528" s="51"/>
      <c r="G528" s="52"/>
      <c r="H528" s="53"/>
      <c r="I528" s="54"/>
      <c r="J528" s="55"/>
      <c r="K528" s="55"/>
      <c r="L528" s="55"/>
      <c r="M528" s="53"/>
      <c r="N528" s="56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</row>
    <row r="529" spans="1:37" ht="13.8" x14ac:dyDescent="0.25">
      <c r="A529" s="46"/>
      <c r="B529" s="47"/>
      <c r="C529" s="48"/>
      <c r="D529" s="49"/>
      <c r="E529" s="50"/>
      <c r="F529" s="51"/>
      <c r="G529" s="52"/>
      <c r="H529" s="53"/>
      <c r="I529" s="54"/>
      <c r="J529" s="55"/>
      <c r="K529" s="55"/>
      <c r="L529" s="55"/>
      <c r="M529" s="53"/>
      <c r="N529" s="56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</row>
    <row r="530" spans="1:37" ht="13.8" x14ac:dyDescent="0.25">
      <c r="A530" s="46"/>
      <c r="B530" s="47"/>
      <c r="C530" s="48"/>
      <c r="D530" s="49"/>
      <c r="E530" s="50"/>
      <c r="F530" s="51"/>
      <c r="G530" s="52"/>
      <c r="H530" s="53"/>
      <c r="I530" s="54"/>
      <c r="J530" s="55"/>
      <c r="K530" s="55"/>
      <c r="L530" s="55"/>
      <c r="M530" s="53"/>
      <c r="N530" s="56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</row>
    <row r="531" spans="1:37" ht="13.8" x14ac:dyDescent="0.25">
      <c r="A531" s="46"/>
      <c r="B531" s="47"/>
      <c r="C531" s="48"/>
      <c r="D531" s="49"/>
      <c r="E531" s="50"/>
      <c r="F531" s="51"/>
      <c r="G531" s="52"/>
      <c r="H531" s="53"/>
      <c r="I531" s="54"/>
      <c r="J531" s="55"/>
      <c r="K531" s="55"/>
      <c r="L531" s="55"/>
      <c r="M531" s="53"/>
      <c r="N531" s="56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</row>
    <row r="532" spans="1:37" ht="13.8" x14ac:dyDescent="0.25">
      <c r="A532" s="46"/>
      <c r="B532" s="47"/>
      <c r="C532" s="48"/>
      <c r="D532" s="49"/>
      <c r="E532" s="50"/>
      <c r="F532" s="51"/>
      <c r="G532" s="52"/>
      <c r="H532" s="53"/>
      <c r="I532" s="54"/>
      <c r="J532" s="55"/>
      <c r="K532" s="55"/>
      <c r="L532" s="55"/>
      <c r="M532" s="53"/>
      <c r="N532" s="56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</row>
    <row r="533" spans="1:37" ht="13.8" x14ac:dyDescent="0.25">
      <c r="A533" s="46"/>
      <c r="B533" s="47"/>
      <c r="C533" s="48"/>
      <c r="D533" s="49"/>
      <c r="E533" s="50"/>
      <c r="F533" s="51"/>
      <c r="G533" s="52"/>
      <c r="H533" s="53"/>
      <c r="I533" s="54"/>
      <c r="J533" s="55"/>
      <c r="K533" s="55"/>
      <c r="L533" s="55"/>
      <c r="M533" s="53"/>
      <c r="N533" s="56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</row>
    <row r="534" spans="1:37" ht="13.8" x14ac:dyDescent="0.25">
      <c r="A534" s="46"/>
      <c r="B534" s="47"/>
      <c r="C534" s="48"/>
      <c r="D534" s="49"/>
      <c r="E534" s="50"/>
      <c r="F534" s="51"/>
      <c r="G534" s="52"/>
      <c r="H534" s="53"/>
      <c r="I534" s="54"/>
      <c r="J534" s="55"/>
      <c r="K534" s="55"/>
      <c r="L534" s="55"/>
      <c r="M534" s="53"/>
      <c r="N534" s="56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</row>
    <row r="535" spans="1:37" ht="13.8" x14ac:dyDescent="0.25">
      <c r="A535" s="46"/>
      <c r="B535" s="47"/>
      <c r="C535" s="48"/>
      <c r="D535" s="49"/>
      <c r="E535" s="50"/>
      <c r="F535" s="51"/>
      <c r="G535" s="52"/>
      <c r="H535" s="53"/>
      <c r="I535" s="54"/>
      <c r="J535" s="55"/>
      <c r="K535" s="55"/>
      <c r="L535" s="55"/>
      <c r="M535" s="53"/>
      <c r="N535" s="56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</row>
    <row r="536" spans="1:37" ht="13.8" x14ac:dyDescent="0.25">
      <c r="A536" s="46"/>
      <c r="B536" s="47"/>
      <c r="C536" s="48"/>
      <c r="D536" s="49"/>
      <c r="E536" s="50"/>
      <c r="F536" s="51"/>
      <c r="G536" s="52"/>
      <c r="H536" s="53"/>
      <c r="I536" s="54"/>
      <c r="J536" s="55"/>
      <c r="K536" s="55"/>
      <c r="L536" s="55"/>
      <c r="M536" s="53"/>
      <c r="N536" s="56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</row>
    <row r="537" spans="1:37" ht="13.8" x14ac:dyDescent="0.25">
      <c r="A537" s="46"/>
      <c r="B537" s="47"/>
      <c r="C537" s="48"/>
      <c r="D537" s="49"/>
      <c r="E537" s="50"/>
      <c r="F537" s="51"/>
      <c r="G537" s="52"/>
      <c r="H537" s="53"/>
      <c r="I537" s="54"/>
      <c r="J537" s="55"/>
      <c r="K537" s="55"/>
      <c r="L537" s="55"/>
      <c r="M537" s="53"/>
      <c r="N537" s="56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</row>
    <row r="538" spans="1:37" ht="13.8" x14ac:dyDescent="0.25">
      <c r="A538" s="46"/>
      <c r="B538" s="47"/>
      <c r="C538" s="48"/>
      <c r="D538" s="49"/>
      <c r="E538" s="50"/>
      <c r="F538" s="51"/>
      <c r="G538" s="52"/>
      <c r="H538" s="53"/>
      <c r="I538" s="54"/>
      <c r="J538" s="55"/>
      <c r="K538" s="55"/>
      <c r="L538" s="55"/>
      <c r="M538" s="53"/>
      <c r="N538" s="56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</row>
    <row r="539" spans="1:37" ht="13.8" x14ac:dyDescent="0.25">
      <c r="A539" s="46"/>
      <c r="B539" s="47"/>
      <c r="C539" s="48"/>
      <c r="D539" s="49"/>
      <c r="E539" s="50"/>
      <c r="F539" s="51"/>
      <c r="G539" s="52"/>
      <c r="H539" s="53"/>
      <c r="I539" s="54"/>
      <c r="J539" s="55"/>
      <c r="K539" s="55"/>
      <c r="L539" s="55"/>
      <c r="M539" s="53"/>
      <c r="N539" s="56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</row>
    <row r="540" spans="1:37" ht="13.8" x14ac:dyDescent="0.25">
      <c r="A540" s="46"/>
      <c r="B540" s="47"/>
      <c r="C540" s="48"/>
      <c r="D540" s="49"/>
      <c r="E540" s="50"/>
      <c r="F540" s="51"/>
      <c r="G540" s="52"/>
      <c r="H540" s="53"/>
      <c r="I540" s="54"/>
      <c r="J540" s="55"/>
      <c r="K540" s="55"/>
      <c r="L540" s="55"/>
      <c r="M540" s="53"/>
      <c r="N540" s="56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</row>
    <row r="541" spans="1:37" ht="13.8" x14ac:dyDescent="0.25">
      <c r="A541" s="46"/>
      <c r="B541" s="47"/>
      <c r="C541" s="48"/>
      <c r="D541" s="49"/>
      <c r="E541" s="50"/>
      <c r="F541" s="51"/>
      <c r="G541" s="52"/>
      <c r="H541" s="53"/>
      <c r="I541" s="54"/>
      <c r="J541" s="55"/>
      <c r="K541" s="55"/>
      <c r="L541" s="55"/>
      <c r="M541" s="53"/>
      <c r="N541" s="56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</row>
    <row r="542" spans="1:37" ht="13.8" x14ac:dyDescent="0.25">
      <c r="A542" s="46"/>
      <c r="B542" s="47"/>
      <c r="C542" s="48"/>
      <c r="D542" s="49"/>
      <c r="E542" s="50"/>
      <c r="F542" s="51"/>
      <c r="G542" s="52"/>
      <c r="H542" s="53"/>
      <c r="I542" s="54"/>
      <c r="J542" s="55"/>
      <c r="K542" s="55"/>
      <c r="L542" s="55"/>
      <c r="M542" s="53"/>
      <c r="N542" s="56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</row>
    <row r="543" spans="1:37" ht="13.8" x14ac:dyDescent="0.25">
      <c r="A543" s="46"/>
      <c r="B543" s="47"/>
      <c r="C543" s="48"/>
      <c r="D543" s="49"/>
      <c r="E543" s="50"/>
      <c r="F543" s="51"/>
      <c r="G543" s="52"/>
      <c r="H543" s="53"/>
      <c r="I543" s="54"/>
      <c r="J543" s="55"/>
      <c r="K543" s="55"/>
      <c r="L543" s="55"/>
      <c r="M543" s="53"/>
      <c r="N543" s="56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</row>
    <row r="544" spans="1:37" ht="13.8" x14ac:dyDescent="0.25">
      <c r="A544" s="46"/>
      <c r="B544" s="47"/>
      <c r="C544" s="48"/>
      <c r="D544" s="49"/>
      <c r="E544" s="50"/>
      <c r="F544" s="51"/>
      <c r="G544" s="52"/>
      <c r="H544" s="53"/>
      <c r="I544" s="54"/>
      <c r="J544" s="55"/>
      <c r="K544" s="55"/>
      <c r="L544" s="55"/>
      <c r="M544" s="53"/>
      <c r="N544" s="56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</row>
    <row r="545" spans="1:37" ht="13.8" x14ac:dyDescent="0.25">
      <c r="A545" s="46"/>
      <c r="B545" s="47"/>
      <c r="C545" s="48"/>
      <c r="D545" s="49"/>
      <c r="E545" s="50"/>
      <c r="F545" s="51"/>
      <c r="G545" s="52"/>
      <c r="H545" s="53"/>
      <c r="I545" s="54"/>
      <c r="J545" s="55"/>
      <c r="K545" s="55"/>
      <c r="L545" s="55"/>
      <c r="M545" s="53"/>
      <c r="N545" s="56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</row>
    <row r="546" spans="1:37" ht="13.8" x14ac:dyDescent="0.25">
      <c r="A546" s="46"/>
      <c r="B546" s="47"/>
      <c r="C546" s="48"/>
      <c r="D546" s="49"/>
      <c r="E546" s="50"/>
      <c r="F546" s="51"/>
      <c r="G546" s="52"/>
      <c r="H546" s="53"/>
      <c r="I546" s="54"/>
      <c r="J546" s="55"/>
      <c r="K546" s="55"/>
      <c r="L546" s="55"/>
      <c r="M546" s="53"/>
      <c r="N546" s="56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</row>
    <row r="547" spans="1:37" ht="13.8" x14ac:dyDescent="0.25">
      <c r="A547" s="46"/>
      <c r="B547" s="47"/>
      <c r="C547" s="48"/>
      <c r="D547" s="49"/>
      <c r="E547" s="50"/>
      <c r="F547" s="51"/>
      <c r="G547" s="52"/>
      <c r="H547" s="53"/>
      <c r="I547" s="54"/>
      <c r="J547" s="55"/>
      <c r="K547" s="55"/>
      <c r="L547" s="55"/>
      <c r="M547" s="53"/>
      <c r="N547" s="56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</row>
    <row r="548" spans="1:37" ht="13.8" x14ac:dyDescent="0.25">
      <c r="A548" s="46"/>
      <c r="B548" s="47"/>
      <c r="C548" s="48"/>
      <c r="D548" s="49"/>
      <c r="E548" s="50"/>
      <c r="F548" s="51"/>
      <c r="G548" s="52"/>
      <c r="H548" s="53"/>
      <c r="I548" s="54"/>
      <c r="J548" s="55"/>
      <c r="K548" s="55"/>
      <c r="L548" s="55"/>
      <c r="M548" s="53"/>
      <c r="N548" s="56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</row>
    <row r="549" spans="1:37" ht="13.8" x14ac:dyDescent="0.25">
      <c r="A549" s="46"/>
      <c r="B549" s="47"/>
      <c r="C549" s="48"/>
      <c r="D549" s="49"/>
      <c r="E549" s="50"/>
      <c r="F549" s="51"/>
      <c r="G549" s="52"/>
      <c r="H549" s="53"/>
      <c r="I549" s="54"/>
      <c r="J549" s="55"/>
      <c r="K549" s="55"/>
      <c r="L549" s="55"/>
      <c r="M549" s="53"/>
      <c r="N549" s="56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</row>
    <row r="550" spans="1:37" ht="13.8" x14ac:dyDescent="0.25">
      <c r="A550" s="46"/>
      <c r="B550" s="47"/>
      <c r="C550" s="48"/>
      <c r="D550" s="49"/>
      <c r="E550" s="50"/>
      <c r="F550" s="51"/>
      <c r="G550" s="52"/>
      <c r="H550" s="53"/>
      <c r="I550" s="54"/>
      <c r="J550" s="55"/>
      <c r="K550" s="55"/>
      <c r="L550" s="55"/>
      <c r="M550" s="53"/>
      <c r="N550" s="56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</row>
    <row r="551" spans="1:37" ht="13.8" x14ac:dyDescent="0.25">
      <c r="A551" s="46"/>
      <c r="B551" s="47"/>
      <c r="C551" s="48"/>
      <c r="D551" s="49"/>
      <c r="E551" s="50"/>
      <c r="F551" s="51"/>
      <c r="G551" s="52"/>
      <c r="H551" s="53"/>
      <c r="I551" s="54"/>
      <c r="J551" s="55"/>
      <c r="K551" s="55"/>
      <c r="L551" s="55"/>
      <c r="M551" s="53"/>
      <c r="N551" s="56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</row>
    <row r="552" spans="1:37" ht="13.8" x14ac:dyDescent="0.25">
      <c r="A552" s="46"/>
      <c r="B552" s="47"/>
      <c r="C552" s="48"/>
      <c r="D552" s="49"/>
      <c r="E552" s="50"/>
      <c r="F552" s="51"/>
      <c r="G552" s="52"/>
      <c r="H552" s="53"/>
      <c r="I552" s="54"/>
      <c r="J552" s="55"/>
      <c r="K552" s="55"/>
      <c r="L552" s="55"/>
      <c r="M552" s="53"/>
      <c r="N552" s="56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</row>
    <row r="553" spans="1:37" ht="13.8" x14ac:dyDescent="0.25">
      <c r="A553" s="46"/>
      <c r="B553" s="47"/>
      <c r="C553" s="48"/>
      <c r="D553" s="49"/>
      <c r="E553" s="50"/>
      <c r="F553" s="51"/>
      <c r="G553" s="52"/>
      <c r="H553" s="53"/>
      <c r="I553" s="54"/>
      <c r="J553" s="55"/>
      <c r="K553" s="55"/>
      <c r="L553" s="55"/>
      <c r="M553" s="53"/>
      <c r="N553" s="56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</row>
    <row r="554" spans="1:37" ht="13.8" x14ac:dyDescent="0.25">
      <c r="A554" s="46"/>
      <c r="B554" s="47"/>
      <c r="C554" s="48"/>
      <c r="D554" s="49"/>
      <c r="E554" s="50"/>
      <c r="F554" s="51"/>
      <c r="G554" s="52"/>
      <c r="H554" s="53"/>
      <c r="I554" s="54"/>
      <c r="J554" s="55"/>
      <c r="K554" s="55"/>
      <c r="L554" s="55"/>
      <c r="M554" s="53"/>
      <c r="N554" s="56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</row>
    <row r="555" spans="1:37" ht="13.8" x14ac:dyDescent="0.25">
      <c r="A555" s="46"/>
      <c r="B555" s="47"/>
      <c r="C555" s="48"/>
      <c r="D555" s="49"/>
      <c r="E555" s="50"/>
      <c r="F555" s="51"/>
      <c r="G555" s="52"/>
      <c r="H555" s="53"/>
      <c r="I555" s="54"/>
      <c r="J555" s="55"/>
      <c r="K555" s="55"/>
      <c r="L555" s="55"/>
      <c r="M555" s="53"/>
      <c r="N555" s="56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</row>
    <row r="556" spans="1:37" ht="13.8" x14ac:dyDescent="0.25">
      <c r="A556" s="46"/>
      <c r="B556" s="47"/>
      <c r="C556" s="48"/>
      <c r="D556" s="49"/>
      <c r="E556" s="50"/>
      <c r="F556" s="51"/>
      <c r="G556" s="52"/>
      <c r="H556" s="53"/>
      <c r="I556" s="54"/>
      <c r="J556" s="55"/>
      <c r="K556" s="55"/>
      <c r="L556" s="55"/>
      <c r="M556" s="53"/>
      <c r="N556" s="56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</row>
    <row r="557" spans="1:37" ht="13.8" x14ac:dyDescent="0.25">
      <c r="A557" s="46"/>
      <c r="B557" s="47"/>
      <c r="C557" s="48"/>
      <c r="D557" s="49"/>
      <c r="E557" s="50"/>
      <c r="F557" s="51"/>
      <c r="G557" s="52"/>
      <c r="H557" s="53"/>
      <c r="I557" s="54"/>
      <c r="J557" s="55"/>
      <c r="K557" s="55"/>
      <c r="L557" s="55"/>
      <c r="M557" s="53"/>
      <c r="N557" s="56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</row>
    <row r="558" spans="1:37" ht="13.8" x14ac:dyDescent="0.25">
      <c r="A558" s="46"/>
      <c r="B558" s="47"/>
      <c r="C558" s="48"/>
      <c r="D558" s="49"/>
      <c r="E558" s="50"/>
      <c r="F558" s="51"/>
      <c r="G558" s="52"/>
      <c r="H558" s="53"/>
      <c r="I558" s="54"/>
      <c r="J558" s="55"/>
      <c r="K558" s="55"/>
      <c r="L558" s="55"/>
      <c r="M558" s="53"/>
      <c r="N558" s="56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</row>
    <row r="559" spans="1:37" ht="13.8" x14ac:dyDescent="0.25">
      <c r="A559" s="46"/>
      <c r="B559" s="47"/>
      <c r="C559" s="48"/>
      <c r="D559" s="49"/>
      <c r="E559" s="50"/>
      <c r="F559" s="51"/>
      <c r="G559" s="52"/>
      <c r="H559" s="53"/>
      <c r="I559" s="54"/>
      <c r="J559" s="55"/>
      <c r="K559" s="55"/>
      <c r="L559" s="55"/>
      <c r="M559" s="53"/>
      <c r="N559" s="56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</row>
    <row r="560" spans="1:37" ht="13.8" x14ac:dyDescent="0.25">
      <c r="A560" s="46"/>
      <c r="B560" s="47"/>
      <c r="C560" s="48"/>
      <c r="D560" s="49"/>
      <c r="E560" s="50"/>
      <c r="F560" s="51"/>
      <c r="G560" s="52"/>
      <c r="H560" s="53"/>
      <c r="I560" s="54"/>
      <c r="J560" s="55"/>
      <c r="K560" s="55"/>
      <c r="L560" s="55"/>
      <c r="M560" s="53"/>
      <c r="N560" s="56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</row>
    <row r="561" spans="1:37" ht="13.8" x14ac:dyDescent="0.25">
      <c r="A561" s="46"/>
      <c r="B561" s="47"/>
      <c r="C561" s="48"/>
      <c r="D561" s="49"/>
      <c r="E561" s="50"/>
      <c r="F561" s="51"/>
      <c r="G561" s="52"/>
      <c r="H561" s="53"/>
      <c r="I561" s="54"/>
      <c r="J561" s="55"/>
      <c r="K561" s="55"/>
      <c r="L561" s="55"/>
      <c r="M561" s="53"/>
      <c r="N561" s="56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</row>
    <row r="562" spans="1:37" ht="13.8" x14ac:dyDescent="0.25">
      <c r="A562" s="46"/>
      <c r="B562" s="47"/>
      <c r="C562" s="48"/>
      <c r="D562" s="49"/>
      <c r="E562" s="50"/>
      <c r="F562" s="51"/>
      <c r="G562" s="52"/>
      <c r="H562" s="53"/>
      <c r="I562" s="54"/>
      <c r="J562" s="55"/>
      <c r="K562" s="55"/>
      <c r="L562" s="55"/>
      <c r="M562" s="53"/>
      <c r="N562" s="56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</row>
    <row r="563" spans="1:37" ht="13.8" x14ac:dyDescent="0.25">
      <c r="A563" s="46"/>
      <c r="B563" s="47"/>
      <c r="C563" s="48"/>
      <c r="D563" s="49"/>
      <c r="E563" s="50"/>
      <c r="F563" s="51"/>
      <c r="G563" s="52"/>
      <c r="H563" s="53"/>
      <c r="I563" s="54"/>
      <c r="J563" s="55"/>
      <c r="K563" s="55"/>
      <c r="L563" s="55"/>
      <c r="M563" s="53"/>
      <c r="N563" s="56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</row>
    <row r="564" spans="1:37" ht="13.8" x14ac:dyDescent="0.25">
      <c r="A564" s="46"/>
      <c r="B564" s="47"/>
      <c r="C564" s="48"/>
      <c r="D564" s="49"/>
      <c r="E564" s="50"/>
      <c r="F564" s="51"/>
      <c r="G564" s="52"/>
      <c r="H564" s="53"/>
      <c r="I564" s="54"/>
      <c r="J564" s="55"/>
      <c r="K564" s="55"/>
      <c r="L564" s="55"/>
      <c r="M564" s="53"/>
      <c r="N564" s="56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</row>
    <row r="565" spans="1:37" ht="13.8" x14ac:dyDescent="0.25">
      <c r="A565" s="46"/>
      <c r="B565" s="47"/>
      <c r="C565" s="48"/>
      <c r="D565" s="49"/>
      <c r="E565" s="50"/>
      <c r="F565" s="51"/>
      <c r="G565" s="52"/>
      <c r="H565" s="53"/>
      <c r="I565" s="54"/>
      <c r="J565" s="55"/>
      <c r="K565" s="55"/>
      <c r="L565" s="55"/>
      <c r="M565" s="53"/>
      <c r="N565" s="56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</row>
    <row r="566" spans="1:37" ht="13.8" x14ac:dyDescent="0.25">
      <c r="A566" s="46"/>
      <c r="B566" s="47"/>
      <c r="C566" s="48"/>
      <c r="D566" s="49"/>
      <c r="E566" s="50"/>
      <c r="F566" s="51"/>
      <c r="G566" s="52"/>
      <c r="H566" s="53"/>
      <c r="I566" s="54"/>
      <c r="J566" s="55"/>
      <c r="K566" s="55"/>
      <c r="L566" s="55"/>
      <c r="M566" s="53"/>
      <c r="N566" s="56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</row>
    <row r="567" spans="1:37" ht="13.8" x14ac:dyDescent="0.25">
      <c r="A567" s="46"/>
      <c r="B567" s="47"/>
      <c r="C567" s="48"/>
      <c r="D567" s="49"/>
      <c r="E567" s="50"/>
      <c r="F567" s="51"/>
      <c r="G567" s="52"/>
      <c r="H567" s="53"/>
      <c r="I567" s="54"/>
      <c r="J567" s="55"/>
      <c r="K567" s="55"/>
      <c r="L567" s="55"/>
      <c r="M567" s="53"/>
      <c r="N567" s="56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</row>
    <row r="568" spans="1:37" ht="13.8" x14ac:dyDescent="0.25">
      <c r="A568" s="46"/>
      <c r="B568" s="47"/>
      <c r="C568" s="48"/>
      <c r="D568" s="49"/>
      <c r="E568" s="50"/>
      <c r="F568" s="51"/>
      <c r="G568" s="52"/>
      <c r="H568" s="53"/>
      <c r="I568" s="54"/>
      <c r="J568" s="55"/>
      <c r="K568" s="55"/>
      <c r="L568" s="55"/>
      <c r="M568" s="53"/>
      <c r="N568" s="56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</row>
    <row r="569" spans="1:37" ht="13.8" x14ac:dyDescent="0.25">
      <c r="A569" s="46"/>
      <c r="B569" s="47"/>
      <c r="C569" s="48"/>
      <c r="D569" s="49"/>
      <c r="E569" s="50"/>
      <c r="F569" s="51"/>
      <c r="G569" s="52"/>
      <c r="H569" s="53"/>
      <c r="I569" s="54"/>
      <c r="J569" s="55"/>
      <c r="K569" s="55"/>
      <c r="L569" s="55"/>
      <c r="M569" s="53"/>
      <c r="N569" s="56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</row>
    <row r="570" spans="1:37" ht="13.8" x14ac:dyDescent="0.25">
      <c r="A570" s="46"/>
      <c r="B570" s="47"/>
      <c r="C570" s="48"/>
      <c r="D570" s="49"/>
      <c r="E570" s="50"/>
      <c r="F570" s="51"/>
      <c r="G570" s="52"/>
      <c r="H570" s="53"/>
      <c r="I570" s="54"/>
      <c r="J570" s="55"/>
      <c r="K570" s="55"/>
      <c r="L570" s="55"/>
      <c r="M570" s="53"/>
      <c r="N570" s="56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</row>
    <row r="571" spans="1:37" ht="13.8" x14ac:dyDescent="0.25">
      <c r="A571" s="46"/>
      <c r="B571" s="47"/>
      <c r="C571" s="48"/>
      <c r="D571" s="49"/>
      <c r="E571" s="50"/>
      <c r="F571" s="51"/>
      <c r="G571" s="52"/>
      <c r="H571" s="53"/>
      <c r="I571" s="54"/>
      <c r="J571" s="55"/>
      <c r="K571" s="55"/>
      <c r="L571" s="55"/>
      <c r="M571" s="53"/>
      <c r="N571" s="56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</row>
    <row r="572" spans="1:37" ht="13.8" x14ac:dyDescent="0.25">
      <c r="A572" s="46"/>
      <c r="B572" s="47"/>
      <c r="C572" s="48"/>
      <c r="D572" s="49"/>
      <c r="E572" s="50"/>
      <c r="F572" s="51"/>
      <c r="G572" s="52"/>
      <c r="H572" s="53"/>
      <c r="I572" s="54"/>
      <c r="J572" s="55"/>
      <c r="K572" s="55"/>
      <c r="L572" s="55"/>
      <c r="M572" s="53"/>
      <c r="N572" s="56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</row>
    <row r="573" spans="1:37" ht="13.8" x14ac:dyDescent="0.25">
      <c r="A573" s="46"/>
      <c r="B573" s="47"/>
      <c r="C573" s="48"/>
      <c r="D573" s="49"/>
      <c r="E573" s="50"/>
      <c r="F573" s="51"/>
      <c r="G573" s="52"/>
      <c r="H573" s="53"/>
      <c r="I573" s="54"/>
      <c r="J573" s="55"/>
      <c r="K573" s="55"/>
      <c r="L573" s="55"/>
      <c r="M573" s="53"/>
      <c r="N573" s="56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</row>
    <row r="574" spans="1:37" ht="13.8" x14ac:dyDescent="0.25">
      <c r="A574" s="46"/>
      <c r="B574" s="47"/>
      <c r="C574" s="48"/>
      <c r="D574" s="49"/>
      <c r="E574" s="50"/>
      <c r="F574" s="51"/>
      <c r="G574" s="52"/>
      <c r="H574" s="53"/>
      <c r="I574" s="54"/>
      <c r="J574" s="55"/>
      <c r="K574" s="55"/>
      <c r="L574" s="55"/>
      <c r="M574" s="53"/>
      <c r="N574" s="56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</row>
    <row r="575" spans="1:37" ht="13.8" x14ac:dyDescent="0.25">
      <c r="A575" s="46"/>
      <c r="B575" s="47"/>
      <c r="C575" s="48"/>
      <c r="D575" s="49"/>
      <c r="E575" s="50"/>
      <c r="F575" s="51"/>
      <c r="G575" s="52"/>
      <c r="H575" s="53"/>
      <c r="I575" s="54"/>
      <c r="J575" s="55"/>
      <c r="K575" s="55"/>
      <c r="L575" s="55"/>
      <c r="M575" s="53"/>
      <c r="N575" s="56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</row>
    <row r="576" spans="1:37" ht="13.8" x14ac:dyDescent="0.25">
      <c r="A576" s="46"/>
      <c r="B576" s="47"/>
      <c r="C576" s="48"/>
      <c r="D576" s="49"/>
      <c r="E576" s="50"/>
      <c r="F576" s="51"/>
      <c r="G576" s="52"/>
      <c r="H576" s="53"/>
      <c r="I576" s="54"/>
      <c r="J576" s="55"/>
      <c r="K576" s="55"/>
      <c r="L576" s="55"/>
      <c r="M576" s="53"/>
      <c r="N576" s="56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</row>
    <row r="577" spans="1:37" ht="13.8" x14ac:dyDescent="0.25">
      <c r="A577" s="46"/>
      <c r="B577" s="47"/>
      <c r="C577" s="48"/>
      <c r="D577" s="49"/>
      <c r="E577" s="50"/>
      <c r="F577" s="51"/>
      <c r="G577" s="52"/>
      <c r="H577" s="53"/>
      <c r="I577" s="54"/>
      <c r="J577" s="55"/>
      <c r="K577" s="55"/>
      <c r="L577" s="55"/>
      <c r="M577" s="53"/>
      <c r="N577" s="56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</row>
    <row r="578" spans="1:37" ht="13.8" x14ac:dyDescent="0.25">
      <c r="A578" s="46"/>
      <c r="B578" s="47"/>
      <c r="C578" s="48"/>
      <c r="D578" s="49"/>
      <c r="E578" s="50"/>
      <c r="F578" s="51"/>
      <c r="G578" s="52"/>
      <c r="H578" s="53"/>
      <c r="I578" s="54"/>
      <c r="J578" s="55"/>
      <c r="K578" s="55"/>
      <c r="L578" s="55"/>
      <c r="M578" s="53"/>
      <c r="N578" s="56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</row>
    <row r="579" spans="1:37" ht="13.8" x14ac:dyDescent="0.25">
      <c r="A579" s="46"/>
      <c r="B579" s="47"/>
      <c r="C579" s="48"/>
      <c r="D579" s="49"/>
      <c r="E579" s="50"/>
      <c r="F579" s="51"/>
      <c r="G579" s="52"/>
      <c r="H579" s="53"/>
      <c r="I579" s="54"/>
      <c r="J579" s="55"/>
      <c r="K579" s="55"/>
      <c r="L579" s="55"/>
      <c r="M579" s="53"/>
      <c r="N579" s="56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</row>
    <row r="580" spans="1:37" ht="13.8" x14ac:dyDescent="0.25">
      <c r="A580" s="46"/>
      <c r="B580" s="47"/>
      <c r="C580" s="48"/>
      <c r="D580" s="49"/>
      <c r="E580" s="50"/>
      <c r="F580" s="51"/>
      <c r="G580" s="52"/>
      <c r="H580" s="53"/>
      <c r="I580" s="54"/>
      <c r="J580" s="55"/>
      <c r="K580" s="55"/>
      <c r="L580" s="55"/>
      <c r="M580" s="53"/>
      <c r="N580" s="56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</row>
    <row r="581" spans="1:37" ht="13.8" x14ac:dyDescent="0.25">
      <c r="A581" s="46"/>
      <c r="B581" s="47"/>
      <c r="C581" s="48"/>
      <c r="D581" s="49"/>
      <c r="E581" s="50"/>
      <c r="F581" s="51"/>
      <c r="G581" s="52"/>
      <c r="H581" s="53"/>
      <c r="I581" s="54"/>
      <c r="J581" s="55"/>
      <c r="K581" s="55"/>
      <c r="L581" s="55"/>
      <c r="M581" s="53"/>
      <c r="N581" s="56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</row>
    <row r="582" spans="1:37" ht="13.8" x14ac:dyDescent="0.25">
      <c r="A582" s="46"/>
      <c r="B582" s="47"/>
      <c r="C582" s="48"/>
      <c r="D582" s="49"/>
      <c r="E582" s="50"/>
      <c r="F582" s="51"/>
      <c r="G582" s="52"/>
      <c r="H582" s="53"/>
      <c r="I582" s="54"/>
      <c r="J582" s="55"/>
      <c r="K582" s="55"/>
      <c r="L582" s="55"/>
      <c r="M582" s="53"/>
      <c r="N582" s="56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</row>
    <row r="583" spans="1:37" ht="13.8" x14ac:dyDescent="0.25">
      <c r="A583" s="46"/>
      <c r="B583" s="47"/>
      <c r="C583" s="48"/>
      <c r="D583" s="49"/>
      <c r="E583" s="50"/>
      <c r="F583" s="51"/>
      <c r="G583" s="52"/>
      <c r="H583" s="53"/>
      <c r="I583" s="54"/>
      <c r="J583" s="55"/>
      <c r="K583" s="55"/>
      <c r="L583" s="55"/>
      <c r="M583" s="53"/>
      <c r="N583" s="56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</row>
    <row r="584" spans="1:37" ht="13.8" x14ac:dyDescent="0.25">
      <c r="A584" s="46"/>
      <c r="B584" s="47"/>
      <c r="C584" s="48"/>
      <c r="D584" s="49"/>
      <c r="E584" s="50"/>
      <c r="F584" s="51"/>
      <c r="G584" s="52"/>
      <c r="H584" s="53"/>
      <c r="I584" s="54"/>
      <c r="J584" s="55"/>
      <c r="K584" s="55"/>
      <c r="L584" s="55"/>
      <c r="M584" s="53"/>
      <c r="N584" s="56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</row>
    <row r="585" spans="1:37" ht="13.8" x14ac:dyDescent="0.25">
      <c r="A585" s="46"/>
      <c r="B585" s="47"/>
      <c r="C585" s="48"/>
      <c r="D585" s="49"/>
      <c r="E585" s="50"/>
      <c r="F585" s="51"/>
      <c r="G585" s="52"/>
      <c r="H585" s="53"/>
      <c r="I585" s="54"/>
      <c r="J585" s="55"/>
      <c r="K585" s="55"/>
      <c r="L585" s="55"/>
      <c r="M585" s="53"/>
      <c r="N585" s="56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</row>
    <row r="586" spans="1:37" ht="13.8" x14ac:dyDescent="0.25">
      <c r="A586" s="46"/>
      <c r="B586" s="47"/>
      <c r="C586" s="48"/>
      <c r="D586" s="49"/>
      <c r="E586" s="50"/>
      <c r="F586" s="51"/>
      <c r="G586" s="52"/>
      <c r="H586" s="53"/>
      <c r="I586" s="54"/>
      <c r="J586" s="55"/>
      <c r="K586" s="55"/>
      <c r="L586" s="55"/>
      <c r="M586" s="53"/>
      <c r="N586" s="56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</row>
    <row r="587" spans="1:37" ht="13.8" x14ac:dyDescent="0.25">
      <c r="A587" s="46"/>
      <c r="B587" s="47"/>
      <c r="C587" s="48"/>
      <c r="D587" s="49"/>
      <c r="E587" s="50"/>
      <c r="F587" s="51"/>
      <c r="G587" s="52"/>
      <c r="H587" s="53"/>
      <c r="I587" s="54"/>
      <c r="J587" s="55"/>
      <c r="K587" s="55"/>
      <c r="L587" s="55"/>
      <c r="M587" s="53"/>
      <c r="N587" s="56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</row>
    <row r="588" spans="1:37" ht="13.8" x14ac:dyDescent="0.25">
      <c r="A588" s="46"/>
      <c r="B588" s="47"/>
      <c r="C588" s="48"/>
      <c r="D588" s="49"/>
      <c r="E588" s="50"/>
      <c r="F588" s="51"/>
      <c r="G588" s="52"/>
      <c r="H588" s="53"/>
      <c r="I588" s="54"/>
      <c r="J588" s="55"/>
      <c r="K588" s="55"/>
      <c r="L588" s="55"/>
      <c r="M588" s="53"/>
      <c r="N588" s="56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</row>
    <row r="589" spans="1:37" ht="13.8" x14ac:dyDescent="0.25">
      <c r="A589" s="46"/>
      <c r="B589" s="47"/>
      <c r="C589" s="48"/>
      <c r="D589" s="49"/>
      <c r="E589" s="50"/>
      <c r="F589" s="51"/>
      <c r="G589" s="52"/>
      <c r="H589" s="53"/>
      <c r="I589" s="54"/>
      <c r="J589" s="55"/>
      <c r="K589" s="55"/>
      <c r="L589" s="55"/>
      <c r="M589" s="53"/>
      <c r="N589" s="56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</row>
    <row r="590" spans="1:37" ht="13.8" x14ac:dyDescent="0.25">
      <c r="A590" s="46"/>
      <c r="B590" s="47"/>
      <c r="C590" s="48"/>
      <c r="D590" s="49"/>
      <c r="E590" s="50"/>
      <c r="F590" s="51"/>
      <c r="G590" s="52"/>
      <c r="H590" s="53"/>
      <c r="I590" s="54"/>
      <c r="J590" s="55"/>
      <c r="K590" s="55"/>
      <c r="L590" s="55"/>
      <c r="M590" s="53"/>
      <c r="N590" s="56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</row>
    <row r="591" spans="1:37" ht="13.8" x14ac:dyDescent="0.25">
      <c r="A591" s="46"/>
      <c r="B591" s="47"/>
      <c r="C591" s="48"/>
      <c r="D591" s="49"/>
      <c r="E591" s="50"/>
      <c r="F591" s="51"/>
      <c r="G591" s="52"/>
      <c r="H591" s="53"/>
      <c r="I591" s="54"/>
      <c r="J591" s="55"/>
      <c r="K591" s="55"/>
      <c r="L591" s="55"/>
      <c r="M591" s="53"/>
      <c r="N591" s="56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</row>
    <row r="592" spans="1:37" ht="13.8" x14ac:dyDescent="0.25">
      <c r="A592" s="46"/>
      <c r="B592" s="47"/>
      <c r="C592" s="48"/>
      <c r="D592" s="49"/>
      <c r="E592" s="50"/>
      <c r="F592" s="51"/>
      <c r="G592" s="52"/>
      <c r="H592" s="53"/>
      <c r="I592" s="54"/>
      <c r="J592" s="55"/>
      <c r="K592" s="55"/>
      <c r="L592" s="55"/>
      <c r="M592" s="53"/>
      <c r="N592" s="56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</row>
    <row r="593" spans="1:37" ht="13.8" x14ac:dyDescent="0.25">
      <c r="A593" s="46"/>
      <c r="B593" s="47"/>
      <c r="C593" s="48"/>
      <c r="D593" s="49"/>
      <c r="E593" s="50"/>
      <c r="F593" s="51"/>
      <c r="G593" s="52"/>
      <c r="H593" s="53"/>
      <c r="I593" s="54"/>
      <c r="J593" s="55"/>
      <c r="K593" s="55"/>
      <c r="L593" s="55"/>
      <c r="M593" s="53"/>
      <c r="N593" s="56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</row>
    <row r="594" spans="1:37" ht="13.8" x14ac:dyDescent="0.25">
      <c r="A594" s="46"/>
      <c r="B594" s="47"/>
      <c r="C594" s="48"/>
      <c r="D594" s="49"/>
      <c r="E594" s="50"/>
      <c r="F594" s="51"/>
      <c r="G594" s="52"/>
      <c r="H594" s="53"/>
      <c r="I594" s="54"/>
      <c r="J594" s="55"/>
      <c r="K594" s="55"/>
      <c r="L594" s="55"/>
      <c r="M594" s="53"/>
      <c r="N594" s="56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</row>
    <row r="595" spans="1:37" ht="13.8" x14ac:dyDescent="0.25">
      <c r="A595" s="46"/>
      <c r="B595" s="47"/>
      <c r="C595" s="48"/>
      <c r="D595" s="49"/>
      <c r="E595" s="50"/>
      <c r="F595" s="51"/>
      <c r="G595" s="52"/>
      <c r="H595" s="53"/>
      <c r="I595" s="54"/>
      <c r="J595" s="55"/>
      <c r="K595" s="55"/>
      <c r="L595" s="55"/>
      <c r="M595" s="53"/>
      <c r="N595" s="56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</row>
    <row r="596" spans="1:37" ht="13.8" x14ac:dyDescent="0.25">
      <c r="A596" s="46"/>
      <c r="B596" s="47"/>
      <c r="C596" s="48"/>
      <c r="D596" s="49"/>
      <c r="E596" s="50"/>
      <c r="F596" s="51"/>
      <c r="G596" s="52"/>
      <c r="H596" s="53"/>
      <c r="I596" s="54"/>
      <c r="J596" s="55"/>
      <c r="K596" s="55"/>
      <c r="L596" s="55"/>
      <c r="M596" s="53"/>
      <c r="N596" s="56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</row>
    <row r="597" spans="1:37" ht="13.8" x14ac:dyDescent="0.25">
      <c r="A597" s="46"/>
      <c r="B597" s="47"/>
      <c r="C597" s="48"/>
      <c r="D597" s="49"/>
      <c r="E597" s="50"/>
      <c r="F597" s="51"/>
      <c r="G597" s="52"/>
      <c r="H597" s="53"/>
      <c r="I597" s="54"/>
      <c r="J597" s="55"/>
      <c r="K597" s="55"/>
      <c r="L597" s="55"/>
      <c r="M597" s="53"/>
      <c r="N597" s="56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</row>
    <row r="598" spans="1:37" ht="13.8" x14ac:dyDescent="0.25">
      <c r="A598" s="46"/>
      <c r="B598" s="47"/>
      <c r="C598" s="48"/>
      <c r="D598" s="49"/>
      <c r="E598" s="50"/>
      <c r="F598" s="51"/>
      <c r="G598" s="52"/>
      <c r="H598" s="53"/>
      <c r="I598" s="54"/>
      <c r="J598" s="55"/>
      <c r="K598" s="55"/>
      <c r="L598" s="55"/>
      <c r="M598" s="53"/>
      <c r="N598" s="56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</row>
    <row r="599" spans="1:37" ht="13.8" x14ac:dyDescent="0.25">
      <c r="A599" s="46"/>
      <c r="B599" s="47"/>
      <c r="C599" s="48"/>
      <c r="D599" s="49"/>
      <c r="E599" s="50"/>
      <c r="F599" s="51"/>
      <c r="G599" s="52"/>
      <c r="H599" s="53"/>
      <c r="I599" s="54"/>
      <c r="J599" s="55"/>
      <c r="K599" s="55"/>
      <c r="L599" s="55"/>
      <c r="M599" s="53"/>
      <c r="N599" s="56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</row>
    <row r="600" spans="1:37" ht="13.8" x14ac:dyDescent="0.25">
      <c r="A600" s="46"/>
      <c r="B600" s="47"/>
      <c r="C600" s="48"/>
      <c r="D600" s="49"/>
      <c r="E600" s="50"/>
      <c r="F600" s="51"/>
      <c r="G600" s="52"/>
      <c r="H600" s="53"/>
      <c r="I600" s="54"/>
      <c r="J600" s="55"/>
      <c r="K600" s="55"/>
      <c r="L600" s="55"/>
      <c r="M600" s="53"/>
      <c r="N600" s="56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</row>
    <row r="601" spans="1:37" ht="13.8" x14ac:dyDescent="0.25">
      <c r="A601" s="46"/>
      <c r="B601" s="47"/>
      <c r="C601" s="48"/>
      <c r="D601" s="49"/>
      <c r="E601" s="50"/>
      <c r="F601" s="51"/>
      <c r="G601" s="52"/>
      <c r="H601" s="53"/>
      <c r="I601" s="54"/>
      <c r="J601" s="55"/>
      <c r="K601" s="55"/>
      <c r="L601" s="55"/>
      <c r="M601" s="53"/>
      <c r="N601" s="56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</row>
    <row r="602" spans="1:37" ht="13.8" x14ac:dyDescent="0.25">
      <c r="A602" s="46"/>
      <c r="B602" s="47"/>
      <c r="C602" s="48"/>
      <c r="D602" s="49"/>
      <c r="E602" s="50"/>
      <c r="F602" s="51"/>
      <c r="G602" s="52"/>
      <c r="H602" s="53"/>
      <c r="I602" s="54"/>
      <c r="J602" s="55"/>
      <c r="K602" s="55"/>
      <c r="L602" s="55"/>
      <c r="M602" s="53"/>
      <c r="N602" s="56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</row>
    <row r="603" spans="1:37" ht="13.8" x14ac:dyDescent="0.25">
      <c r="A603" s="46"/>
      <c r="B603" s="47"/>
      <c r="C603" s="48"/>
      <c r="D603" s="49"/>
      <c r="E603" s="50"/>
      <c r="F603" s="51"/>
      <c r="G603" s="52"/>
      <c r="H603" s="53"/>
      <c r="I603" s="54"/>
      <c r="J603" s="55"/>
      <c r="K603" s="55"/>
      <c r="L603" s="55"/>
      <c r="M603" s="53"/>
      <c r="N603" s="56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</row>
    <row r="604" spans="1:37" ht="13.8" x14ac:dyDescent="0.25">
      <c r="A604" s="46"/>
      <c r="B604" s="47"/>
      <c r="C604" s="48"/>
      <c r="D604" s="49"/>
      <c r="E604" s="50"/>
      <c r="F604" s="51"/>
      <c r="G604" s="52"/>
      <c r="H604" s="53"/>
      <c r="I604" s="54"/>
      <c r="J604" s="55"/>
      <c r="K604" s="55"/>
      <c r="L604" s="55"/>
      <c r="M604" s="53"/>
      <c r="N604" s="56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</row>
    <row r="605" spans="1:37" ht="13.8" x14ac:dyDescent="0.25">
      <c r="A605" s="46"/>
      <c r="B605" s="47"/>
      <c r="C605" s="48"/>
      <c r="D605" s="49"/>
      <c r="E605" s="50"/>
      <c r="F605" s="51"/>
      <c r="G605" s="52"/>
      <c r="H605" s="53"/>
      <c r="I605" s="54"/>
      <c r="J605" s="55"/>
      <c r="K605" s="55"/>
      <c r="L605" s="55"/>
      <c r="M605" s="53"/>
      <c r="N605" s="56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</row>
    <row r="606" spans="1:37" ht="13.8" x14ac:dyDescent="0.25">
      <c r="A606" s="46"/>
      <c r="B606" s="47"/>
      <c r="C606" s="48"/>
      <c r="D606" s="49"/>
      <c r="E606" s="50"/>
      <c r="F606" s="51"/>
      <c r="G606" s="52"/>
      <c r="H606" s="53"/>
      <c r="I606" s="54"/>
      <c r="J606" s="55"/>
      <c r="K606" s="55"/>
      <c r="L606" s="55"/>
      <c r="M606" s="53"/>
      <c r="N606" s="56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</row>
    <row r="607" spans="1:37" ht="13.8" x14ac:dyDescent="0.25">
      <c r="A607" s="46"/>
      <c r="B607" s="47"/>
      <c r="C607" s="48"/>
      <c r="D607" s="49"/>
      <c r="E607" s="50"/>
      <c r="F607" s="51"/>
      <c r="G607" s="52"/>
      <c r="H607" s="53"/>
      <c r="I607" s="54"/>
      <c r="J607" s="55"/>
      <c r="K607" s="55"/>
      <c r="L607" s="55"/>
      <c r="M607" s="53"/>
      <c r="N607" s="56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</row>
    <row r="608" spans="1:37" ht="13.8" x14ac:dyDescent="0.25">
      <c r="A608" s="46"/>
      <c r="B608" s="47"/>
      <c r="C608" s="48"/>
      <c r="D608" s="49"/>
      <c r="E608" s="50"/>
      <c r="F608" s="51"/>
      <c r="G608" s="52"/>
      <c r="H608" s="53"/>
      <c r="I608" s="54"/>
      <c r="J608" s="55"/>
      <c r="K608" s="55"/>
      <c r="L608" s="55"/>
      <c r="M608" s="53"/>
      <c r="N608" s="56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</row>
    <row r="609" spans="1:37" ht="13.8" x14ac:dyDescent="0.25">
      <c r="A609" s="46"/>
      <c r="B609" s="47"/>
      <c r="C609" s="48"/>
      <c r="D609" s="49"/>
      <c r="E609" s="50"/>
      <c r="F609" s="51"/>
      <c r="G609" s="52"/>
      <c r="H609" s="53"/>
      <c r="I609" s="54"/>
      <c r="J609" s="55"/>
      <c r="K609" s="55"/>
      <c r="L609" s="55"/>
      <c r="M609" s="53"/>
      <c r="N609" s="56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</row>
    <row r="610" spans="1:37" ht="13.8" x14ac:dyDescent="0.25">
      <c r="A610" s="46"/>
      <c r="B610" s="47"/>
      <c r="C610" s="48"/>
      <c r="D610" s="49"/>
      <c r="E610" s="50"/>
      <c r="F610" s="51"/>
      <c r="G610" s="52"/>
      <c r="H610" s="53"/>
      <c r="I610" s="54"/>
      <c r="J610" s="55"/>
      <c r="K610" s="55"/>
      <c r="L610" s="55"/>
      <c r="M610" s="53"/>
      <c r="N610" s="56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</row>
    <row r="611" spans="1:37" ht="13.8" x14ac:dyDescent="0.25">
      <c r="A611" s="46"/>
      <c r="B611" s="47"/>
      <c r="C611" s="48"/>
      <c r="D611" s="49"/>
      <c r="E611" s="50"/>
      <c r="F611" s="51"/>
      <c r="G611" s="52"/>
      <c r="H611" s="53"/>
      <c r="I611" s="54"/>
      <c r="J611" s="55"/>
      <c r="K611" s="55"/>
      <c r="L611" s="55"/>
      <c r="M611" s="53"/>
      <c r="N611" s="56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</row>
    <row r="612" spans="1:37" ht="13.8" x14ac:dyDescent="0.25">
      <c r="A612" s="46"/>
      <c r="B612" s="47"/>
      <c r="C612" s="48"/>
      <c r="D612" s="49"/>
      <c r="E612" s="50"/>
      <c r="F612" s="51"/>
      <c r="G612" s="52"/>
      <c r="H612" s="53"/>
      <c r="I612" s="54"/>
      <c r="J612" s="55"/>
      <c r="K612" s="55"/>
      <c r="L612" s="55"/>
      <c r="M612" s="53"/>
      <c r="N612" s="56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</row>
    <row r="613" spans="1:37" ht="13.8" x14ac:dyDescent="0.25">
      <c r="A613" s="46"/>
      <c r="B613" s="47"/>
      <c r="C613" s="48"/>
      <c r="D613" s="49"/>
      <c r="E613" s="50"/>
      <c r="F613" s="51"/>
      <c r="G613" s="52"/>
      <c r="H613" s="53"/>
      <c r="I613" s="54"/>
      <c r="J613" s="55"/>
      <c r="K613" s="55"/>
      <c r="L613" s="55"/>
      <c r="M613" s="53"/>
      <c r="N613" s="56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</row>
    <row r="614" spans="1:37" ht="13.8" x14ac:dyDescent="0.25">
      <c r="A614" s="46"/>
      <c r="B614" s="47"/>
      <c r="C614" s="48"/>
      <c r="D614" s="49"/>
      <c r="E614" s="50"/>
      <c r="F614" s="51"/>
      <c r="G614" s="52"/>
      <c r="H614" s="53"/>
      <c r="I614" s="54"/>
      <c r="J614" s="55"/>
      <c r="K614" s="55"/>
      <c r="L614" s="55"/>
      <c r="M614" s="53"/>
      <c r="N614" s="56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</row>
    <row r="615" spans="1:37" ht="13.8" x14ac:dyDescent="0.25">
      <c r="A615" s="46"/>
      <c r="B615" s="47"/>
      <c r="C615" s="48"/>
      <c r="D615" s="49"/>
      <c r="E615" s="50"/>
      <c r="F615" s="51"/>
      <c r="G615" s="52"/>
      <c r="H615" s="53"/>
      <c r="I615" s="54"/>
      <c r="J615" s="55"/>
      <c r="K615" s="55"/>
      <c r="L615" s="55"/>
      <c r="M615" s="53"/>
      <c r="N615" s="56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</row>
    <row r="616" spans="1:37" ht="13.8" x14ac:dyDescent="0.25">
      <c r="A616" s="46"/>
      <c r="B616" s="47"/>
      <c r="C616" s="48"/>
      <c r="D616" s="49"/>
      <c r="E616" s="50"/>
      <c r="F616" s="51"/>
      <c r="G616" s="52"/>
      <c r="H616" s="53"/>
      <c r="I616" s="54"/>
      <c r="J616" s="55"/>
      <c r="K616" s="55"/>
      <c r="L616" s="55"/>
      <c r="M616" s="53"/>
      <c r="N616" s="56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</row>
    <row r="617" spans="1:37" ht="13.8" x14ac:dyDescent="0.25">
      <c r="A617" s="46"/>
      <c r="B617" s="47"/>
      <c r="C617" s="48"/>
      <c r="D617" s="49"/>
      <c r="E617" s="50"/>
      <c r="F617" s="51"/>
      <c r="G617" s="52"/>
      <c r="H617" s="53"/>
      <c r="I617" s="54"/>
      <c r="J617" s="55"/>
      <c r="K617" s="55"/>
      <c r="L617" s="55"/>
      <c r="M617" s="53"/>
      <c r="N617" s="56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</row>
    <row r="618" spans="1:37" ht="13.8" x14ac:dyDescent="0.25">
      <c r="A618" s="46"/>
      <c r="B618" s="47"/>
      <c r="C618" s="48"/>
      <c r="D618" s="49"/>
      <c r="E618" s="50"/>
      <c r="F618" s="51"/>
      <c r="G618" s="52"/>
      <c r="H618" s="53"/>
      <c r="I618" s="54"/>
      <c r="J618" s="55"/>
      <c r="K618" s="55"/>
      <c r="L618" s="55"/>
      <c r="M618" s="53"/>
      <c r="N618" s="56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</row>
    <row r="619" spans="1:37" ht="13.8" x14ac:dyDescent="0.25">
      <c r="A619" s="46"/>
      <c r="B619" s="47"/>
      <c r="C619" s="48"/>
      <c r="D619" s="49"/>
      <c r="E619" s="50"/>
      <c r="F619" s="51"/>
      <c r="G619" s="52"/>
      <c r="H619" s="53"/>
      <c r="I619" s="54"/>
      <c r="J619" s="55"/>
      <c r="K619" s="55"/>
      <c r="L619" s="55"/>
      <c r="M619" s="53"/>
      <c r="N619" s="56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</row>
    <row r="620" spans="1:37" ht="13.8" x14ac:dyDescent="0.25">
      <c r="A620" s="46"/>
      <c r="B620" s="47"/>
      <c r="C620" s="48"/>
      <c r="D620" s="49"/>
      <c r="E620" s="50"/>
      <c r="F620" s="51"/>
      <c r="G620" s="52"/>
      <c r="H620" s="53"/>
      <c r="I620" s="54"/>
      <c r="J620" s="55"/>
      <c r="K620" s="55"/>
      <c r="L620" s="55"/>
      <c r="M620" s="53"/>
      <c r="N620" s="56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</row>
    <row r="621" spans="1:37" ht="13.8" x14ac:dyDescent="0.25">
      <c r="A621" s="46"/>
      <c r="B621" s="47"/>
      <c r="C621" s="48"/>
      <c r="D621" s="49"/>
      <c r="E621" s="50"/>
      <c r="F621" s="51"/>
      <c r="G621" s="52"/>
      <c r="H621" s="53"/>
      <c r="I621" s="54"/>
      <c r="J621" s="55"/>
      <c r="K621" s="55"/>
      <c r="L621" s="55"/>
      <c r="M621" s="53"/>
      <c r="N621" s="56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</row>
    <row r="622" spans="1:37" ht="13.8" x14ac:dyDescent="0.25">
      <c r="A622" s="46"/>
      <c r="B622" s="47"/>
      <c r="C622" s="48"/>
      <c r="D622" s="49"/>
      <c r="E622" s="50"/>
      <c r="F622" s="51"/>
      <c r="G622" s="52"/>
      <c r="H622" s="53"/>
      <c r="I622" s="54"/>
      <c r="J622" s="55"/>
      <c r="K622" s="55"/>
      <c r="L622" s="55"/>
      <c r="M622" s="53"/>
      <c r="N622" s="56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</row>
    <row r="623" spans="1:37" ht="13.8" x14ac:dyDescent="0.25">
      <c r="A623" s="46"/>
      <c r="B623" s="47"/>
      <c r="C623" s="48"/>
      <c r="D623" s="49"/>
      <c r="E623" s="50"/>
      <c r="F623" s="51"/>
      <c r="G623" s="52"/>
      <c r="H623" s="53"/>
      <c r="I623" s="54"/>
      <c r="J623" s="55"/>
      <c r="K623" s="55"/>
      <c r="L623" s="55"/>
      <c r="M623" s="53"/>
      <c r="N623" s="56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</row>
    <row r="624" spans="1:37" ht="13.8" x14ac:dyDescent="0.25">
      <c r="A624" s="46"/>
      <c r="B624" s="47"/>
      <c r="C624" s="48"/>
      <c r="D624" s="49"/>
      <c r="E624" s="50"/>
      <c r="F624" s="51"/>
      <c r="G624" s="52"/>
      <c r="H624" s="53"/>
      <c r="I624" s="54"/>
      <c r="J624" s="55"/>
      <c r="K624" s="55"/>
      <c r="L624" s="55"/>
      <c r="M624" s="53"/>
      <c r="N624" s="56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</row>
    <row r="625" spans="1:37" ht="13.8" x14ac:dyDescent="0.25">
      <c r="A625" s="46"/>
      <c r="B625" s="47"/>
      <c r="C625" s="48"/>
      <c r="D625" s="49"/>
      <c r="E625" s="50"/>
      <c r="F625" s="51"/>
      <c r="G625" s="52"/>
      <c r="H625" s="53"/>
      <c r="I625" s="54"/>
      <c r="J625" s="55"/>
      <c r="K625" s="55"/>
      <c r="L625" s="55"/>
      <c r="M625" s="53"/>
      <c r="N625" s="56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</row>
    <row r="626" spans="1:37" ht="13.8" x14ac:dyDescent="0.25">
      <c r="A626" s="46"/>
      <c r="B626" s="47"/>
      <c r="C626" s="48"/>
      <c r="D626" s="49"/>
      <c r="E626" s="50"/>
      <c r="F626" s="51"/>
      <c r="G626" s="52"/>
      <c r="H626" s="53"/>
      <c r="I626" s="54"/>
      <c r="J626" s="55"/>
      <c r="K626" s="55"/>
      <c r="L626" s="55"/>
      <c r="M626" s="53"/>
      <c r="N626" s="56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</row>
    <row r="627" spans="1:37" ht="13.8" x14ac:dyDescent="0.25">
      <c r="A627" s="46"/>
      <c r="B627" s="47"/>
      <c r="C627" s="48"/>
      <c r="D627" s="49"/>
      <c r="E627" s="50"/>
      <c r="F627" s="51"/>
      <c r="G627" s="52"/>
      <c r="H627" s="53"/>
      <c r="I627" s="54"/>
      <c r="J627" s="55"/>
      <c r="K627" s="55"/>
      <c r="L627" s="55"/>
      <c r="M627" s="53"/>
      <c r="N627" s="56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</row>
    <row r="628" spans="1:37" ht="13.8" x14ac:dyDescent="0.25">
      <c r="A628" s="46"/>
      <c r="B628" s="47"/>
      <c r="C628" s="48"/>
      <c r="D628" s="49"/>
      <c r="E628" s="50"/>
      <c r="F628" s="51"/>
      <c r="G628" s="52"/>
      <c r="H628" s="53"/>
      <c r="I628" s="54"/>
      <c r="J628" s="55"/>
      <c r="K628" s="55"/>
      <c r="L628" s="55"/>
      <c r="M628" s="53"/>
      <c r="N628" s="56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</row>
    <row r="629" spans="1:37" ht="13.8" x14ac:dyDescent="0.25">
      <c r="A629" s="46"/>
      <c r="B629" s="47"/>
      <c r="C629" s="48"/>
      <c r="D629" s="49"/>
      <c r="E629" s="50"/>
      <c r="F629" s="51"/>
      <c r="G629" s="52"/>
      <c r="H629" s="53"/>
      <c r="I629" s="54"/>
      <c r="J629" s="55"/>
      <c r="K629" s="55"/>
      <c r="L629" s="55"/>
      <c r="M629" s="53"/>
      <c r="N629" s="56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</row>
    <row r="630" spans="1:37" ht="13.8" x14ac:dyDescent="0.25">
      <c r="A630" s="46"/>
      <c r="B630" s="47"/>
      <c r="C630" s="48"/>
      <c r="D630" s="49"/>
      <c r="E630" s="50"/>
      <c r="F630" s="51"/>
      <c r="G630" s="52"/>
      <c r="H630" s="53"/>
      <c r="I630" s="54"/>
      <c r="J630" s="55"/>
      <c r="K630" s="55"/>
      <c r="L630" s="55"/>
      <c r="M630" s="53"/>
      <c r="N630" s="56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</row>
    <row r="631" spans="1:37" ht="13.8" x14ac:dyDescent="0.25">
      <c r="A631" s="46"/>
      <c r="B631" s="47"/>
      <c r="C631" s="48"/>
      <c r="D631" s="49"/>
      <c r="E631" s="50"/>
      <c r="F631" s="51"/>
      <c r="G631" s="52"/>
      <c r="H631" s="53"/>
      <c r="I631" s="54"/>
      <c r="J631" s="55"/>
      <c r="K631" s="55"/>
      <c r="L631" s="55"/>
      <c r="M631" s="53"/>
      <c r="N631" s="56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</row>
    <row r="632" spans="1:37" ht="13.8" x14ac:dyDescent="0.25">
      <c r="A632" s="46"/>
      <c r="B632" s="47"/>
      <c r="C632" s="48"/>
      <c r="D632" s="49"/>
      <c r="E632" s="50"/>
      <c r="F632" s="51"/>
      <c r="G632" s="52"/>
      <c r="H632" s="53"/>
      <c r="I632" s="54"/>
      <c r="J632" s="55"/>
      <c r="K632" s="55"/>
      <c r="L632" s="55"/>
      <c r="M632" s="53"/>
      <c r="N632" s="56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</row>
    <row r="633" spans="1:37" ht="13.8" x14ac:dyDescent="0.25">
      <c r="A633" s="46"/>
      <c r="B633" s="47"/>
      <c r="C633" s="48"/>
      <c r="D633" s="49"/>
      <c r="E633" s="50"/>
      <c r="F633" s="51"/>
      <c r="G633" s="52"/>
      <c r="H633" s="53"/>
      <c r="I633" s="54"/>
      <c r="J633" s="55"/>
      <c r="K633" s="55"/>
      <c r="L633" s="55"/>
      <c r="M633" s="53"/>
      <c r="N633" s="56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</row>
    <row r="634" spans="1:37" ht="13.8" x14ac:dyDescent="0.25">
      <c r="A634" s="46"/>
      <c r="B634" s="47"/>
      <c r="C634" s="48"/>
      <c r="D634" s="49"/>
      <c r="E634" s="50"/>
      <c r="F634" s="51"/>
      <c r="G634" s="52"/>
      <c r="H634" s="53"/>
      <c r="I634" s="54"/>
      <c r="J634" s="55"/>
      <c r="K634" s="55"/>
      <c r="L634" s="55"/>
      <c r="M634" s="53"/>
      <c r="N634" s="56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</row>
    <row r="635" spans="1:37" ht="13.8" x14ac:dyDescent="0.25">
      <c r="A635" s="46"/>
      <c r="B635" s="47"/>
      <c r="C635" s="48"/>
      <c r="D635" s="49"/>
      <c r="E635" s="50"/>
      <c r="F635" s="51"/>
      <c r="G635" s="52"/>
      <c r="H635" s="53"/>
      <c r="I635" s="54"/>
      <c r="J635" s="55"/>
      <c r="K635" s="55"/>
      <c r="L635" s="55"/>
      <c r="M635" s="53"/>
      <c r="N635" s="56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</row>
    <row r="636" spans="1:37" ht="13.8" x14ac:dyDescent="0.25">
      <c r="A636" s="46"/>
      <c r="B636" s="47"/>
      <c r="C636" s="48"/>
      <c r="D636" s="49"/>
      <c r="E636" s="50"/>
      <c r="F636" s="51"/>
      <c r="G636" s="52"/>
      <c r="H636" s="53"/>
      <c r="I636" s="54"/>
      <c r="J636" s="55"/>
      <c r="K636" s="55"/>
      <c r="L636" s="55"/>
      <c r="M636" s="53"/>
      <c r="N636" s="56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</row>
    <row r="637" spans="1:37" ht="13.8" x14ac:dyDescent="0.25">
      <c r="A637" s="46"/>
      <c r="B637" s="47"/>
      <c r="C637" s="48"/>
      <c r="D637" s="49"/>
      <c r="E637" s="50"/>
      <c r="F637" s="51"/>
      <c r="G637" s="52"/>
      <c r="H637" s="53"/>
      <c r="I637" s="54"/>
      <c r="J637" s="55"/>
      <c r="K637" s="55"/>
      <c r="L637" s="55"/>
      <c r="M637" s="53"/>
      <c r="N637" s="56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</row>
    <row r="638" spans="1:37" ht="13.8" x14ac:dyDescent="0.25">
      <c r="A638" s="46"/>
      <c r="B638" s="47"/>
      <c r="C638" s="48"/>
      <c r="D638" s="49"/>
      <c r="E638" s="50"/>
      <c r="F638" s="51"/>
      <c r="G638" s="52"/>
      <c r="H638" s="53"/>
      <c r="I638" s="54"/>
      <c r="J638" s="55"/>
      <c r="K638" s="55"/>
      <c r="L638" s="55"/>
      <c r="M638" s="53"/>
      <c r="N638" s="56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</row>
    <row r="639" spans="1:37" ht="13.8" x14ac:dyDescent="0.25">
      <c r="A639" s="46"/>
      <c r="B639" s="47"/>
      <c r="C639" s="48"/>
      <c r="D639" s="49"/>
      <c r="E639" s="50"/>
      <c r="F639" s="51"/>
      <c r="G639" s="52"/>
      <c r="H639" s="53"/>
      <c r="I639" s="54"/>
      <c r="J639" s="55"/>
      <c r="K639" s="55"/>
      <c r="L639" s="55"/>
      <c r="M639" s="53"/>
      <c r="N639" s="56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</row>
    <row r="640" spans="1:37" ht="13.8" x14ac:dyDescent="0.25">
      <c r="A640" s="46"/>
      <c r="B640" s="47"/>
      <c r="C640" s="48"/>
      <c r="D640" s="49"/>
      <c r="E640" s="50"/>
      <c r="F640" s="51"/>
      <c r="G640" s="52"/>
      <c r="H640" s="53"/>
      <c r="I640" s="54"/>
      <c r="J640" s="55"/>
      <c r="K640" s="55"/>
      <c r="L640" s="55"/>
      <c r="M640" s="53"/>
      <c r="N640" s="56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</row>
    <row r="641" spans="1:37" ht="13.8" x14ac:dyDescent="0.25">
      <c r="A641" s="46"/>
      <c r="B641" s="47"/>
      <c r="C641" s="48"/>
      <c r="D641" s="49"/>
      <c r="E641" s="50"/>
      <c r="F641" s="51"/>
      <c r="G641" s="52"/>
      <c r="H641" s="53"/>
      <c r="I641" s="54"/>
      <c r="J641" s="55"/>
      <c r="K641" s="55"/>
      <c r="L641" s="55"/>
      <c r="M641" s="53"/>
      <c r="N641" s="56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</row>
    <row r="642" spans="1:37" ht="13.8" x14ac:dyDescent="0.25">
      <c r="A642" s="46"/>
      <c r="B642" s="47"/>
      <c r="C642" s="48"/>
      <c r="D642" s="49"/>
      <c r="E642" s="50"/>
      <c r="F642" s="51"/>
      <c r="G642" s="52"/>
      <c r="H642" s="53"/>
      <c r="I642" s="54"/>
      <c r="J642" s="55"/>
      <c r="K642" s="55"/>
      <c r="L642" s="55"/>
      <c r="M642" s="53"/>
      <c r="N642" s="56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</row>
    <row r="643" spans="1:37" ht="13.8" x14ac:dyDescent="0.25">
      <c r="A643" s="46"/>
      <c r="B643" s="47"/>
      <c r="C643" s="48"/>
      <c r="D643" s="49"/>
      <c r="E643" s="50"/>
      <c r="F643" s="51"/>
      <c r="G643" s="52"/>
      <c r="H643" s="53"/>
      <c r="I643" s="54"/>
      <c r="J643" s="55"/>
      <c r="K643" s="55"/>
      <c r="L643" s="55"/>
      <c r="M643" s="53"/>
      <c r="N643" s="56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</row>
    <row r="644" spans="1:37" ht="13.8" x14ac:dyDescent="0.25">
      <c r="A644" s="46"/>
      <c r="B644" s="47"/>
      <c r="C644" s="48"/>
      <c r="D644" s="49"/>
      <c r="E644" s="50"/>
      <c r="F644" s="51"/>
      <c r="G644" s="52"/>
      <c r="H644" s="53"/>
      <c r="I644" s="54"/>
      <c r="J644" s="55"/>
      <c r="K644" s="55"/>
      <c r="L644" s="55"/>
      <c r="M644" s="53"/>
      <c r="N644" s="56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</row>
    <row r="645" spans="1:37" ht="13.8" x14ac:dyDescent="0.25">
      <c r="A645" s="46"/>
      <c r="B645" s="47"/>
      <c r="C645" s="48"/>
      <c r="D645" s="49"/>
      <c r="E645" s="50"/>
      <c r="F645" s="51"/>
      <c r="G645" s="52"/>
      <c r="H645" s="53"/>
      <c r="I645" s="54"/>
      <c r="J645" s="55"/>
      <c r="K645" s="55"/>
      <c r="L645" s="55"/>
      <c r="M645" s="53"/>
      <c r="N645" s="56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</row>
    <row r="646" spans="1:37" ht="13.8" x14ac:dyDescent="0.25">
      <c r="A646" s="46"/>
      <c r="B646" s="47"/>
      <c r="C646" s="48"/>
      <c r="D646" s="49"/>
      <c r="E646" s="50"/>
      <c r="F646" s="51"/>
      <c r="G646" s="52"/>
      <c r="H646" s="53"/>
      <c r="I646" s="54"/>
      <c r="J646" s="55"/>
      <c r="K646" s="55"/>
      <c r="L646" s="55"/>
      <c r="M646" s="53"/>
      <c r="N646" s="56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</row>
    <row r="647" spans="1:37" ht="13.8" x14ac:dyDescent="0.25">
      <c r="A647" s="46"/>
      <c r="B647" s="47"/>
      <c r="C647" s="48"/>
      <c r="D647" s="49"/>
      <c r="E647" s="50"/>
      <c r="F647" s="51"/>
      <c r="G647" s="52"/>
      <c r="H647" s="53"/>
      <c r="I647" s="54"/>
      <c r="J647" s="55"/>
      <c r="K647" s="55"/>
      <c r="L647" s="55"/>
      <c r="M647" s="53"/>
      <c r="N647" s="56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</row>
    <row r="648" spans="1:37" ht="13.8" x14ac:dyDescent="0.25">
      <c r="A648" s="46"/>
      <c r="B648" s="47"/>
      <c r="C648" s="48"/>
      <c r="D648" s="49"/>
      <c r="E648" s="50"/>
      <c r="F648" s="51"/>
      <c r="G648" s="52"/>
      <c r="H648" s="53"/>
      <c r="I648" s="54"/>
      <c r="J648" s="55"/>
      <c r="K648" s="55"/>
      <c r="L648" s="55"/>
      <c r="M648" s="53"/>
      <c r="N648" s="56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</row>
    <row r="649" spans="1:37" ht="13.8" x14ac:dyDescent="0.25">
      <c r="A649" s="46"/>
      <c r="B649" s="47"/>
      <c r="C649" s="48"/>
      <c r="D649" s="49"/>
      <c r="E649" s="50"/>
      <c r="F649" s="51"/>
      <c r="G649" s="52"/>
      <c r="H649" s="53"/>
      <c r="I649" s="54"/>
      <c r="J649" s="55"/>
      <c r="K649" s="55"/>
      <c r="L649" s="55"/>
      <c r="M649" s="53"/>
      <c r="N649" s="56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</row>
    <row r="650" spans="1:37" ht="13.8" x14ac:dyDescent="0.25">
      <c r="A650" s="46"/>
      <c r="B650" s="47"/>
      <c r="C650" s="48"/>
      <c r="D650" s="49"/>
      <c r="E650" s="50"/>
      <c r="F650" s="51"/>
      <c r="G650" s="52"/>
      <c r="H650" s="53"/>
      <c r="I650" s="54"/>
      <c r="J650" s="55"/>
      <c r="K650" s="55"/>
      <c r="L650" s="55"/>
      <c r="M650" s="53"/>
      <c r="N650" s="56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</row>
    <row r="651" spans="1:37" ht="13.8" x14ac:dyDescent="0.25">
      <c r="A651" s="46"/>
      <c r="B651" s="47"/>
      <c r="C651" s="48"/>
      <c r="D651" s="49"/>
      <c r="E651" s="50"/>
      <c r="F651" s="51"/>
      <c r="G651" s="52"/>
      <c r="H651" s="53"/>
      <c r="I651" s="54"/>
      <c r="J651" s="55"/>
      <c r="K651" s="55"/>
      <c r="L651" s="55"/>
      <c r="M651" s="53"/>
      <c r="N651" s="56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</row>
    <row r="652" spans="1:37" ht="13.8" x14ac:dyDescent="0.25">
      <c r="A652" s="46"/>
      <c r="B652" s="47"/>
      <c r="C652" s="48"/>
      <c r="D652" s="49"/>
      <c r="E652" s="50"/>
      <c r="F652" s="51"/>
      <c r="G652" s="52"/>
      <c r="H652" s="53"/>
      <c r="I652" s="54"/>
      <c r="J652" s="55"/>
      <c r="K652" s="55"/>
      <c r="L652" s="55"/>
      <c r="M652" s="53"/>
      <c r="N652" s="56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</row>
    <row r="653" spans="1:37" ht="13.8" x14ac:dyDescent="0.25">
      <c r="A653" s="46"/>
      <c r="B653" s="47"/>
      <c r="C653" s="48"/>
      <c r="D653" s="49"/>
      <c r="E653" s="50"/>
      <c r="F653" s="51"/>
      <c r="G653" s="52"/>
      <c r="H653" s="53"/>
      <c r="I653" s="54"/>
      <c r="J653" s="55"/>
      <c r="K653" s="55"/>
      <c r="L653" s="55"/>
      <c r="M653" s="53"/>
      <c r="N653" s="56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</row>
    <row r="654" spans="1:37" ht="13.8" x14ac:dyDescent="0.25">
      <c r="A654" s="46"/>
      <c r="B654" s="47"/>
      <c r="C654" s="48"/>
      <c r="D654" s="49"/>
      <c r="E654" s="50"/>
      <c r="F654" s="51"/>
      <c r="G654" s="52"/>
      <c r="H654" s="53"/>
      <c r="I654" s="54"/>
      <c r="J654" s="55"/>
      <c r="K654" s="55"/>
      <c r="L654" s="55"/>
      <c r="M654" s="53"/>
      <c r="N654" s="56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</row>
    <row r="655" spans="1:37" ht="13.8" x14ac:dyDescent="0.25">
      <c r="A655" s="46"/>
      <c r="B655" s="47"/>
      <c r="C655" s="48"/>
      <c r="D655" s="49"/>
      <c r="E655" s="50"/>
      <c r="F655" s="51"/>
      <c r="G655" s="52"/>
      <c r="H655" s="53"/>
      <c r="I655" s="54"/>
      <c r="J655" s="55"/>
      <c r="K655" s="55"/>
      <c r="L655" s="55"/>
      <c r="M655" s="53"/>
      <c r="N655" s="56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</row>
    <row r="656" spans="1:37" ht="13.8" x14ac:dyDescent="0.25">
      <c r="A656" s="46"/>
      <c r="B656" s="47"/>
      <c r="C656" s="48"/>
      <c r="D656" s="49"/>
      <c r="E656" s="50"/>
      <c r="F656" s="51"/>
      <c r="G656" s="52"/>
      <c r="H656" s="53"/>
      <c r="I656" s="54"/>
      <c r="J656" s="55"/>
      <c r="K656" s="55"/>
      <c r="L656" s="55"/>
      <c r="M656" s="53"/>
      <c r="N656" s="56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</row>
    <row r="657" spans="1:37" ht="13.8" x14ac:dyDescent="0.25">
      <c r="A657" s="46"/>
      <c r="B657" s="47"/>
      <c r="C657" s="48"/>
      <c r="D657" s="49"/>
      <c r="E657" s="50"/>
      <c r="F657" s="51"/>
      <c r="G657" s="52"/>
      <c r="H657" s="53"/>
      <c r="I657" s="54"/>
      <c r="J657" s="55"/>
      <c r="K657" s="55"/>
      <c r="L657" s="55"/>
      <c r="M657" s="53"/>
      <c r="N657" s="56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</row>
    <row r="658" spans="1:37" ht="13.8" x14ac:dyDescent="0.25">
      <c r="A658" s="46"/>
      <c r="B658" s="47"/>
      <c r="C658" s="48"/>
      <c r="D658" s="49"/>
      <c r="E658" s="50"/>
      <c r="F658" s="51"/>
      <c r="G658" s="52"/>
      <c r="H658" s="53"/>
      <c r="I658" s="54"/>
      <c r="J658" s="55"/>
      <c r="K658" s="55"/>
      <c r="L658" s="55"/>
      <c r="M658" s="53"/>
      <c r="N658" s="56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</row>
    <row r="659" spans="1:37" ht="13.8" x14ac:dyDescent="0.25">
      <c r="A659" s="46"/>
      <c r="B659" s="47"/>
      <c r="C659" s="48"/>
      <c r="D659" s="49"/>
      <c r="E659" s="50"/>
      <c r="F659" s="51"/>
      <c r="G659" s="52"/>
      <c r="H659" s="53"/>
      <c r="I659" s="54"/>
      <c r="J659" s="55"/>
      <c r="K659" s="55"/>
      <c r="L659" s="55"/>
      <c r="M659" s="53"/>
      <c r="N659" s="56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</row>
    <row r="660" spans="1:37" ht="13.8" x14ac:dyDescent="0.25">
      <c r="A660" s="46"/>
      <c r="B660" s="47"/>
      <c r="C660" s="48"/>
      <c r="D660" s="49"/>
      <c r="E660" s="50"/>
      <c r="F660" s="51"/>
      <c r="G660" s="52"/>
      <c r="H660" s="53"/>
      <c r="I660" s="54"/>
      <c r="J660" s="55"/>
      <c r="K660" s="55"/>
      <c r="L660" s="55"/>
      <c r="M660" s="53"/>
      <c r="N660" s="56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</row>
    <row r="661" spans="1:37" ht="13.8" x14ac:dyDescent="0.25">
      <c r="A661" s="46"/>
      <c r="B661" s="47"/>
      <c r="C661" s="48"/>
      <c r="D661" s="49"/>
      <c r="E661" s="50"/>
      <c r="F661" s="51"/>
      <c r="G661" s="52"/>
      <c r="H661" s="53"/>
      <c r="I661" s="54"/>
      <c r="J661" s="55"/>
      <c r="K661" s="55"/>
      <c r="L661" s="55"/>
      <c r="M661" s="53"/>
      <c r="N661" s="56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</row>
    <row r="662" spans="1:37" ht="13.8" x14ac:dyDescent="0.25">
      <c r="A662" s="46"/>
      <c r="B662" s="47"/>
      <c r="C662" s="48"/>
      <c r="D662" s="49"/>
      <c r="E662" s="50"/>
      <c r="F662" s="51"/>
      <c r="G662" s="52"/>
      <c r="H662" s="53"/>
      <c r="I662" s="54"/>
      <c r="J662" s="55"/>
      <c r="K662" s="55"/>
      <c r="L662" s="55"/>
      <c r="M662" s="53"/>
      <c r="N662" s="56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</row>
    <row r="663" spans="1:37" ht="13.8" x14ac:dyDescent="0.25">
      <c r="A663" s="46"/>
      <c r="B663" s="47"/>
      <c r="C663" s="48"/>
      <c r="D663" s="49"/>
      <c r="E663" s="50"/>
      <c r="F663" s="51"/>
      <c r="G663" s="52"/>
      <c r="H663" s="53"/>
      <c r="I663" s="54"/>
      <c r="J663" s="55"/>
      <c r="K663" s="55"/>
      <c r="L663" s="55"/>
      <c r="M663" s="53"/>
      <c r="N663" s="56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</row>
    <row r="664" spans="1:37" ht="13.8" x14ac:dyDescent="0.25">
      <c r="A664" s="46"/>
      <c r="B664" s="47"/>
      <c r="C664" s="48"/>
      <c r="D664" s="49"/>
      <c r="E664" s="50"/>
      <c r="F664" s="51"/>
      <c r="G664" s="52"/>
      <c r="H664" s="53"/>
      <c r="I664" s="54"/>
      <c r="J664" s="55"/>
      <c r="K664" s="55"/>
      <c r="L664" s="55"/>
      <c r="M664" s="53"/>
      <c r="N664" s="56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</row>
    <row r="665" spans="1:37" ht="13.8" x14ac:dyDescent="0.25">
      <c r="A665" s="46"/>
      <c r="B665" s="47"/>
      <c r="C665" s="48"/>
      <c r="D665" s="49"/>
      <c r="E665" s="50"/>
      <c r="F665" s="51"/>
      <c r="G665" s="52"/>
      <c r="H665" s="53"/>
      <c r="I665" s="54"/>
      <c r="J665" s="55"/>
      <c r="K665" s="55"/>
      <c r="L665" s="55"/>
      <c r="M665" s="53"/>
      <c r="N665" s="56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</row>
    <row r="666" spans="1:37" ht="13.8" x14ac:dyDescent="0.25">
      <c r="A666" s="46"/>
      <c r="B666" s="47"/>
      <c r="C666" s="48"/>
      <c r="D666" s="49"/>
      <c r="E666" s="50"/>
      <c r="F666" s="51"/>
      <c r="G666" s="52"/>
      <c r="H666" s="53"/>
      <c r="I666" s="54"/>
      <c r="J666" s="55"/>
      <c r="K666" s="55"/>
      <c r="L666" s="55"/>
      <c r="M666" s="53"/>
      <c r="N666" s="56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</row>
    <row r="667" spans="1:37" ht="13.8" x14ac:dyDescent="0.25">
      <c r="A667" s="46"/>
      <c r="B667" s="47"/>
      <c r="C667" s="48"/>
      <c r="D667" s="49"/>
      <c r="E667" s="50"/>
      <c r="F667" s="51"/>
      <c r="G667" s="52"/>
      <c r="H667" s="53"/>
      <c r="I667" s="54"/>
      <c r="J667" s="55"/>
      <c r="K667" s="55"/>
      <c r="L667" s="55"/>
      <c r="M667" s="53"/>
      <c r="N667" s="56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</row>
    <row r="668" spans="1:37" ht="13.8" x14ac:dyDescent="0.25">
      <c r="A668" s="46"/>
      <c r="B668" s="47"/>
      <c r="C668" s="48"/>
      <c r="D668" s="49"/>
      <c r="E668" s="50"/>
      <c r="F668" s="51"/>
      <c r="G668" s="52"/>
      <c r="H668" s="53"/>
      <c r="I668" s="54"/>
      <c r="J668" s="55"/>
      <c r="K668" s="55"/>
      <c r="L668" s="55"/>
      <c r="M668" s="53"/>
      <c r="N668" s="56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</row>
    <row r="669" spans="1:37" ht="13.8" x14ac:dyDescent="0.25">
      <c r="A669" s="46"/>
      <c r="B669" s="47"/>
      <c r="C669" s="48"/>
      <c r="D669" s="49"/>
      <c r="E669" s="50"/>
      <c r="F669" s="51"/>
      <c r="G669" s="52"/>
      <c r="H669" s="53"/>
      <c r="I669" s="54"/>
      <c r="J669" s="55"/>
      <c r="K669" s="55"/>
      <c r="L669" s="55"/>
      <c r="M669" s="53"/>
      <c r="N669" s="56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</row>
    <row r="670" spans="1:37" ht="13.8" x14ac:dyDescent="0.25">
      <c r="A670" s="46"/>
      <c r="B670" s="47"/>
      <c r="C670" s="48"/>
      <c r="D670" s="49"/>
      <c r="E670" s="50"/>
      <c r="F670" s="51"/>
      <c r="G670" s="52"/>
      <c r="H670" s="53"/>
      <c r="I670" s="54"/>
      <c r="J670" s="55"/>
      <c r="K670" s="55"/>
      <c r="L670" s="55"/>
      <c r="M670" s="53"/>
      <c r="N670" s="56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</row>
    <row r="671" spans="1:37" ht="13.8" x14ac:dyDescent="0.25">
      <c r="A671" s="46"/>
      <c r="B671" s="47"/>
      <c r="C671" s="48"/>
      <c r="D671" s="49"/>
      <c r="E671" s="50"/>
      <c r="F671" s="51"/>
      <c r="G671" s="52"/>
      <c r="H671" s="53"/>
      <c r="I671" s="54"/>
      <c r="J671" s="55"/>
      <c r="K671" s="55"/>
      <c r="L671" s="55"/>
      <c r="M671" s="53"/>
      <c r="N671" s="56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</row>
    <row r="672" spans="1:37" ht="13.8" x14ac:dyDescent="0.25">
      <c r="A672" s="46"/>
      <c r="B672" s="47"/>
      <c r="C672" s="48"/>
      <c r="D672" s="49"/>
      <c r="E672" s="50"/>
      <c r="F672" s="51"/>
      <c r="G672" s="52"/>
      <c r="H672" s="53"/>
      <c r="I672" s="54"/>
      <c r="J672" s="55"/>
      <c r="K672" s="55"/>
      <c r="L672" s="55"/>
      <c r="M672" s="53"/>
      <c r="N672" s="56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</row>
    <row r="673" spans="1:37" ht="13.8" x14ac:dyDescent="0.25">
      <c r="A673" s="46"/>
      <c r="B673" s="47"/>
      <c r="C673" s="48"/>
      <c r="D673" s="49"/>
      <c r="E673" s="50"/>
      <c r="F673" s="51"/>
      <c r="G673" s="52"/>
      <c r="H673" s="53"/>
      <c r="I673" s="54"/>
      <c r="J673" s="55"/>
      <c r="K673" s="55"/>
      <c r="L673" s="55"/>
      <c r="M673" s="53"/>
      <c r="N673" s="56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</row>
    <row r="674" spans="1:37" ht="13.8" x14ac:dyDescent="0.25">
      <c r="A674" s="46"/>
      <c r="B674" s="47"/>
      <c r="C674" s="48"/>
      <c r="D674" s="49"/>
      <c r="E674" s="50"/>
      <c r="F674" s="51"/>
      <c r="G674" s="52"/>
      <c r="H674" s="53"/>
      <c r="I674" s="54"/>
      <c r="J674" s="55"/>
      <c r="K674" s="55"/>
      <c r="L674" s="55"/>
      <c r="M674" s="53"/>
      <c r="N674" s="56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</row>
    <row r="675" spans="1:37" ht="13.8" x14ac:dyDescent="0.25">
      <c r="A675" s="46"/>
      <c r="B675" s="47"/>
      <c r="C675" s="48"/>
      <c r="D675" s="49"/>
      <c r="E675" s="50"/>
      <c r="F675" s="51"/>
      <c r="G675" s="52"/>
      <c r="H675" s="53"/>
      <c r="I675" s="54"/>
      <c r="J675" s="55"/>
      <c r="K675" s="55"/>
      <c r="L675" s="55"/>
      <c r="M675" s="53"/>
      <c r="N675" s="56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</row>
    <row r="676" spans="1:37" ht="13.8" x14ac:dyDescent="0.25">
      <c r="A676" s="46"/>
      <c r="B676" s="47"/>
      <c r="C676" s="48"/>
      <c r="D676" s="49"/>
      <c r="E676" s="50"/>
      <c r="F676" s="51"/>
      <c r="G676" s="52"/>
      <c r="H676" s="53"/>
      <c r="I676" s="54"/>
      <c r="J676" s="55"/>
      <c r="K676" s="55"/>
      <c r="L676" s="55"/>
      <c r="M676" s="53"/>
      <c r="N676" s="56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</row>
    <row r="677" spans="1:37" ht="13.8" x14ac:dyDescent="0.25">
      <c r="A677" s="46"/>
      <c r="B677" s="47"/>
      <c r="C677" s="48"/>
      <c r="D677" s="49"/>
      <c r="E677" s="50"/>
      <c r="F677" s="51"/>
      <c r="G677" s="52"/>
      <c r="H677" s="53"/>
      <c r="I677" s="54"/>
      <c r="J677" s="55"/>
      <c r="K677" s="55"/>
      <c r="L677" s="55"/>
      <c r="M677" s="53"/>
      <c r="N677" s="56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</row>
    <row r="678" spans="1:37" ht="13.8" x14ac:dyDescent="0.25">
      <c r="A678" s="46"/>
      <c r="B678" s="47"/>
      <c r="C678" s="48"/>
      <c r="D678" s="49"/>
      <c r="E678" s="50"/>
      <c r="F678" s="51"/>
      <c r="G678" s="52"/>
      <c r="H678" s="53"/>
      <c r="I678" s="54"/>
      <c r="J678" s="55"/>
      <c r="K678" s="55"/>
      <c r="L678" s="55"/>
      <c r="M678" s="53"/>
      <c r="N678" s="56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</row>
    <row r="679" spans="1:37" ht="13.8" x14ac:dyDescent="0.25">
      <c r="A679" s="46"/>
      <c r="B679" s="47"/>
      <c r="C679" s="48"/>
      <c r="D679" s="49"/>
      <c r="E679" s="50"/>
      <c r="F679" s="51"/>
      <c r="G679" s="52"/>
      <c r="H679" s="53"/>
      <c r="I679" s="54"/>
      <c r="J679" s="55"/>
      <c r="K679" s="55"/>
      <c r="L679" s="55"/>
      <c r="M679" s="53"/>
      <c r="N679" s="56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</row>
    <row r="680" spans="1:37" ht="13.8" x14ac:dyDescent="0.25">
      <c r="A680" s="46"/>
      <c r="B680" s="47"/>
      <c r="C680" s="48"/>
      <c r="D680" s="49"/>
      <c r="E680" s="50"/>
      <c r="F680" s="51"/>
      <c r="G680" s="52"/>
      <c r="H680" s="53"/>
      <c r="I680" s="54"/>
      <c r="J680" s="55"/>
      <c r="K680" s="55"/>
      <c r="L680" s="55"/>
      <c r="M680" s="53"/>
      <c r="N680" s="56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</row>
    <row r="681" spans="1:37" ht="13.8" x14ac:dyDescent="0.25">
      <c r="A681" s="46"/>
      <c r="B681" s="47"/>
      <c r="C681" s="48"/>
      <c r="D681" s="49"/>
      <c r="E681" s="50"/>
      <c r="F681" s="51"/>
      <c r="G681" s="52"/>
      <c r="H681" s="53"/>
      <c r="I681" s="54"/>
      <c r="J681" s="55"/>
      <c r="K681" s="55"/>
      <c r="L681" s="55"/>
      <c r="M681" s="53"/>
      <c r="N681" s="56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</row>
    <row r="682" spans="1:37" ht="13.8" x14ac:dyDescent="0.25">
      <c r="A682" s="46"/>
      <c r="B682" s="47"/>
      <c r="C682" s="48"/>
      <c r="D682" s="49"/>
      <c r="E682" s="50"/>
      <c r="F682" s="51"/>
      <c r="G682" s="52"/>
      <c r="H682" s="53"/>
      <c r="I682" s="54"/>
      <c r="J682" s="55"/>
      <c r="K682" s="55"/>
      <c r="L682" s="55"/>
      <c r="M682" s="53"/>
      <c r="N682" s="56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</row>
    <row r="683" spans="1:37" ht="13.8" x14ac:dyDescent="0.25">
      <c r="A683" s="46"/>
      <c r="B683" s="47"/>
      <c r="C683" s="48"/>
      <c r="D683" s="49"/>
      <c r="E683" s="50"/>
      <c r="F683" s="51"/>
      <c r="G683" s="52"/>
      <c r="H683" s="53"/>
      <c r="I683" s="54"/>
      <c r="J683" s="55"/>
      <c r="K683" s="55"/>
      <c r="L683" s="55"/>
      <c r="M683" s="53"/>
      <c r="N683" s="56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</row>
    <row r="684" spans="1:37" ht="13.8" x14ac:dyDescent="0.25">
      <c r="A684" s="46"/>
      <c r="B684" s="47"/>
      <c r="C684" s="48"/>
      <c r="D684" s="49"/>
      <c r="E684" s="50"/>
      <c r="F684" s="51"/>
      <c r="G684" s="52"/>
      <c r="H684" s="53"/>
      <c r="I684" s="54"/>
      <c r="J684" s="55"/>
      <c r="K684" s="55"/>
      <c r="L684" s="55"/>
      <c r="M684" s="53"/>
      <c r="N684" s="56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</row>
    <row r="685" spans="1:37" ht="13.8" x14ac:dyDescent="0.25">
      <c r="A685" s="46"/>
      <c r="B685" s="47"/>
      <c r="C685" s="48"/>
      <c r="D685" s="49"/>
      <c r="E685" s="50"/>
      <c r="F685" s="51"/>
      <c r="G685" s="52"/>
      <c r="H685" s="53"/>
      <c r="I685" s="54"/>
      <c r="J685" s="55"/>
      <c r="K685" s="55"/>
      <c r="L685" s="55"/>
      <c r="M685" s="53"/>
      <c r="N685" s="56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</row>
    <row r="686" spans="1:37" ht="13.8" x14ac:dyDescent="0.25">
      <c r="A686" s="46"/>
      <c r="B686" s="47"/>
      <c r="C686" s="48"/>
      <c r="D686" s="49"/>
      <c r="E686" s="50"/>
      <c r="F686" s="51"/>
      <c r="G686" s="52"/>
      <c r="H686" s="53"/>
      <c r="I686" s="54"/>
      <c r="J686" s="55"/>
      <c r="K686" s="55"/>
      <c r="L686" s="55"/>
      <c r="M686" s="53"/>
      <c r="N686" s="56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</row>
    <row r="687" spans="1:37" ht="13.8" x14ac:dyDescent="0.25">
      <c r="A687" s="46"/>
      <c r="B687" s="47"/>
      <c r="C687" s="48"/>
      <c r="D687" s="49"/>
      <c r="E687" s="50"/>
      <c r="F687" s="51"/>
      <c r="G687" s="52"/>
      <c r="H687" s="53"/>
      <c r="I687" s="54"/>
      <c r="J687" s="55"/>
      <c r="K687" s="55"/>
      <c r="L687" s="55"/>
      <c r="M687" s="53"/>
      <c r="N687" s="56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</row>
    <row r="688" spans="1:37" ht="13.8" x14ac:dyDescent="0.25">
      <c r="A688" s="46"/>
      <c r="B688" s="47"/>
      <c r="C688" s="48"/>
      <c r="D688" s="49"/>
      <c r="E688" s="50"/>
      <c r="F688" s="51"/>
      <c r="G688" s="52"/>
      <c r="H688" s="53"/>
      <c r="I688" s="54"/>
      <c r="J688" s="55"/>
      <c r="K688" s="55"/>
      <c r="L688" s="55"/>
      <c r="M688" s="53"/>
      <c r="N688" s="56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</row>
    <row r="689" spans="1:37" ht="13.8" x14ac:dyDescent="0.25">
      <c r="A689" s="46"/>
      <c r="B689" s="47"/>
      <c r="C689" s="48"/>
      <c r="D689" s="49"/>
      <c r="E689" s="50"/>
      <c r="F689" s="51"/>
      <c r="G689" s="52"/>
      <c r="H689" s="53"/>
      <c r="I689" s="54"/>
      <c r="J689" s="55"/>
      <c r="K689" s="55"/>
      <c r="L689" s="55"/>
      <c r="M689" s="53"/>
      <c r="N689" s="56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</row>
    <row r="690" spans="1:37" ht="13.8" x14ac:dyDescent="0.25">
      <c r="A690" s="46"/>
      <c r="B690" s="47"/>
      <c r="C690" s="48"/>
      <c r="D690" s="49"/>
      <c r="E690" s="50"/>
      <c r="F690" s="51"/>
      <c r="G690" s="52"/>
      <c r="H690" s="53"/>
      <c r="I690" s="54"/>
      <c r="J690" s="55"/>
      <c r="K690" s="55"/>
      <c r="L690" s="55"/>
      <c r="M690" s="53"/>
      <c r="N690" s="56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</row>
    <row r="691" spans="1:37" ht="13.8" x14ac:dyDescent="0.25">
      <c r="A691" s="46"/>
      <c r="B691" s="47"/>
      <c r="C691" s="48"/>
      <c r="D691" s="49"/>
      <c r="E691" s="50"/>
      <c r="F691" s="51"/>
      <c r="G691" s="52"/>
      <c r="H691" s="53"/>
      <c r="I691" s="54"/>
      <c r="J691" s="55"/>
      <c r="K691" s="55"/>
      <c r="L691" s="55"/>
      <c r="M691" s="53"/>
      <c r="N691" s="56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</row>
    <row r="692" spans="1:37" ht="13.8" x14ac:dyDescent="0.25">
      <c r="A692" s="46"/>
      <c r="B692" s="47"/>
      <c r="C692" s="48"/>
      <c r="D692" s="49"/>
      <c r="E692" s="50"/>
      <c r="F692" s="51"/>
      <c r="G692" s="52"/>
      <c r="H692" s="53"/>
      <c r="I692" s="54"/>
      <c r="J692" s="55"/>
      <c r="K692" s="55"/>
      <c r="L692" s="55"/>
      <c r="M692" s="53"/>
      <c r="N692" s="56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</row>
    <row r="693" spans="1:37" ht="13.8" x14ac:dyDescent="0.25">
      <c r="A693" s="46"/>
      <c r="B693" s="47"/>
      <c r="C693" s="48"/>
      <c r="D693" s="49"/>
      <c r="E693" s="50"/>
      <c r="F693" s="51"/>
      <c r="G693" s="52"/>
      <c r="H693" s="53"/>
      <c r="I693" s="54"/>
      <c r="J693" s="55"/>
      <c r="K693" s="55"/>
      <c r="L693" s="55"/>
      <c r="M693" s="53"/>
      <c r="N693" s="56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</row>
    <row r="694" spans="1:37" ht="13.8" x14ac:dyDescent="0.25">
      <c r="A694" s="46"/>
      <c r="B694" s="47"/>
      <c r="C694" s="48"/>
      <c r="D694" s="49"/>
      <c r="E694" s="50"/>
      <c r="F694" s="51"/>
      <c r="G694" s="52"/>
      <c r="H694" s="53"/>
      <c r="I694" s="54"/>
      <c r="J694" s="55"/>
      <c r="K694" s="55"/>
      <c r="L694" s="55"/>
      <c r="M694" s="53"/>
      <c r="N694" s="56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</row>
    <row r="695" spans="1:37" ht="13.8" x14ac:dyDescent="0.25">
      <c r="A695" s="46"/>
      <c r="B695" s="47"/>
      <c r="C695" s="48"/>
      <c r="D695" s="49"/>
      <c r="E695" s="50"/>
      <c r="F695" s="51"/>
      <c r="G695" s="52"/>
      <c r="H695" s="53"/>
      <c r="I695" s="54"/>
      <c r="J695" s="55"/>
      <c r="K695" s="55"/>
      <c r="L695" s="55"/>
      <c r="M695" s="53"/>
      <c r="N695" s="56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</row>
    <row r="696" spans="1:37" ht="13.8" x14ac:dyDescent="0.25">
      <c r="A696" s="46"/>
      <c r="B696" s="47"/>
      <c r="C696" s="48"/>
      <c r="D696" s="49"/>
      <c r="E696" s="50"/>
      <c r="F696" s="51"/>
      <c r="G696" s="52"/>
      <c r="H696" s="53"/>
      <c r="I696" s="54"/>
      <c r="J696" s="55"/>
      <c r="K696" s="55"/>
      <c r="L696" s="55"/>
      <c r="M696" s="53"/>
      <c r="N696" s="56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</row>
    <row r="697" spans="1:37" ht="13.8" x14ac:dyDescent="0.25">
      <c r="A697" s="46"/>
      <c r="B697" s="47"/>
      <c r="C697" s="48"/>
      <c r="D697" s="49"/>
      <c r="E697" s="50"/>
      <c r="F697" s="51"/>
      <c r="G697" s="52"/>
      <c r="H697" s="53"/>
      <c r="I697" s="54"/>
      <c r="J697" s="55"/>
      <c r="K697" s="55"/>
      <c r="L697" s="55"/>
      <c r="M697" s="53"/>
      <c r="N697" s="56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</row>
    <row r="698" spans="1:37" ht="13.8" x14ac:dyDescent="0.25">
      <c r="A698" s="46"/>
      <c r="B698" s="47"/>
      <c r="C698" s="48"/>
      <c r="D698" s="49"/>
      <c r="E698" s="50"/>
      <c r="F698" s="51"/>
      <c r="G698" s="52"/>
      <c r="H698" s="53"/>
      <c r="I698" s="54"/>
      <c r="J698" s="55"/>
      <c r="K698" s="55"/>
      <c r="L698" s="55"/>
      <c r="M698" s="53"/>
      <c r="N698" s="56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</row>
    <row r="699" spans="1:37" ht="13.8" x14ac:dyDescent="0.25">
      <c r="A699" s="46"/>
      <c r="B699" s="47"/>
      <c r="C699" s="48"/>
      <c r="D699" s="49"/>
      <c r="E699" s="50"/>
      <c r="F699" s="51"/>
      <c r="G699" s="52"/>
      <c r="H699" s="53"/>
      <c r="I699" s="54"/>
      <c r="J699" s="55"/>
      <c r="K699" s="55"/>
      <c r="L699" s="55"/>
      <c r="M699" s="53"/>
      <c r="N699" s="56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</row>
    <row r="700" spans="1:37" ht="13.8" x14ac:dyDescent="0.25">
      <c r="A700" s="46"/>
      <c r="B700" s="47"/>
      <c r="C700" s="48"/>
      <c r="D700" s="49"/>
      <c r="E700" s="50"/>
      <c r="F700" s="51"/>
      <c r="G700" s="52"/>
      <c r="H700" s="53"/>
      <c r="I700" s="54"/>
      <c r="J700" s="55"/>
      <c r="K700" s="55"/>
      <c r="L700" s="55"/>
      <c r="M700" s="53"/>
      <c r="N700" s="56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</row>
    <row r="701" spans="1:37" ht="13.8" x14ac:dyDescent="0.25">
      <c r="A701" s="46"/>
      <c r="B701" s="47"/>
      <c r="C701" s="48"/>
      <c r="D701" s="49"/>
      <c r="E701" s="50"/>
      <c r="F701" s="51"/>
      <c r="G701" s="52"/>
      <c r="H701" s="53"/>
      <c r="I701" s="54"/>
      <c r="J701" s="55"/>
      <c r="K701" s="55"/>
      <c r="L701" s="55"/>
      <c r="M701" s="53"/>
      <c r="N701" s="56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</row>
    <row r="702" spans="1:37" ht="13.8" x14ac:dyDescent="0.25">
      <c r="A702" s="46"/>
      <c r="B702" s="47"/>
      <c r="C702" s="48"/>
      <c r="D702" s="49"/>
      <c r="E702" s="50"/>
      <c r="F702" s="51"/>
      <c r="G702" s="52"/>
      <c r="H702" s="53"/>
      <c r="I702" s="54"/>
      <c r="J702" s="55"/>
      <c r="K702" s="55"/>
      <c r="L702" s="55"/>
      <c r="M702" s="53"/>
      <c r="N702" s="56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</row>
    <row r="703" spans="1:37" ht="13.8" x14ac:dyDescent="0.25">
      <c r="A703" s="46"/>
      <c r="B703" s="47"/>
      <c r="C703" s="48"/>
      <c r="D703" s="49"/>
      <c r="E703" s="50"/>
      <c r="F703" s="51"/>
      <c r="G703" s="52"/>
      <c r="H703" s="53"/>
      <c r="I703" s="54"/>
      <c r="J703" s="55"/>
      <c r="K703" s="55"/>
      <c r="L703" s="55"/>
      <c r="M703" s="53"/>
      <c r="N703" s="56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</row>
    <row r="704" spans="1:37" ht="13.8" x14ac:dyDescent="0.25">
      <c r="A704" s="46"/>
      <c r="B704" s="47"/>
      <c r="C704" s="48"/>
      <c r="D704" s="49"/>
      <c r="E704" s="50"/>
      <c r="F704" s="51"/>
      <c r="G704" s="52"/>
      <c r="H704" s="53"/>
      <c r="I704" s="54"/>
      <c r="J704" s="55"/>
      <c r="K704" s="55"/>
      <c r="L704" s="55"/>
      <c r="M704" s="53"/>
      <c r="N704" s="56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</row>
    <row r="705" spans="1:37" ht="13.8" x14ac:dyDescent="0.25">
      <c r="A705" s="46"/>
      <c r="B705" s="47"/>
      <c r="C705" s="48"/>
      <c r="D705" s="49"/>
      <c r="E705" s="50"/>
      <c r="F705" s="51"/>
      <c r="G705" s="52"/>
      <c r="H705" s="53"/>
      <c r="I705" s="54"/>
      <c r="J705" s="55"/>
      <c r="K705" s="55"/>
      <c r="L705" s="55"/>
      <c r="M705" s="53"/>
      <c r="N705" s="56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</row>
    <row r="706" spans="1:37" ht="13.8" x14ac:dyDescent="0.25">
      <c r="A706" s="46"/>
      <c r="B706" s="47"/>
      <c r="C706" s="48"/>
      <c r="D706" s="49"/>
      <c r="E706" s="50"/>
      <c r="F706" s="51"/>
      <c r="G706" s="52"/>
      <c r="H706" s="53"/>
      <c r="I706" s="54"/>
      <c r="J706" s="55"/>
      <c r="K706" s="55"/>
      <c r="L706" s="55"/>
      <c r="M706" s="53"/>
      <c r="N706" s="56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</row>
    <row r="707" spans="1:37" ht="13.8" x14ac:dyDescent="0.25">
      <c r="A707" s="46"/>
      <c r="B707" s="47"/>
      <c r="C707" s="48"/>
      <c r="D707" s="49"/>
      <c r="E707" s="50"/>
      <c r="F707" s="51"/>
      <c r="G707" s="52"/>
      <c r="H707" s="53"/>
      <c r="I707" s="54"/>
      <c r="J707" s="55"/>
      <c r="K707" s="55"/>
      <c r="L707" s="55"/>
      <c r="M707" s="53"/>
      <c r="N707" s="56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</row>
    <row r="708" spans="1:37" ht="13.8" x14ac:dyDescent="0.25">
      <c r="A708" s="46"/>
      <c r="B708" s="47"/>
      <c r="C708" s="48"/>
      <c r="D708" s="49"/>
      <c r="E708" s="50"/>
      <c r="F708" s="51"/>
      <c r="G708" s="52"/>
      <c r="H708" s="53"/>
      <c r="I708" s="54"/>
      <c r="J708" s="55"/>
      <c r="K708" s="55"/>
      <c r="L708" s="55"/>
      <c r="M708" s="53"/>
      <c r="N708" s="56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</row>
    <row r="709" spans="1:37" ht="13.8" x14ac:dyDescent="0.25">
      <c r="A709" s="46"/>
      <c r="B709" s="47"/>
      <c r="C709" s="48"/>
      <c r="D709" s="49"/>
      <c r="E709" s="50"/>
      <c r="F709" s="51"/>
      <c r="G709" s="52"/>
      <c r="H709" s="53"/>
      <c r="I709" s="54"/>
      <c r="J709" s="55"/>
      <c r="K709" s="55"/>
      <c r="L709" s="55"/>
      <c r="M709" s="53"/>
      <c r="N709" s="56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</row>
    <row r="710" spans="1:37" ht="13.8" x14ac:dyDescent="0.25">
      <c r="A710" s="46"/>
      <c r="B710" s="47"/>
      <c r="C710" s="48"/>
      <c r="D710" s="49"/>
      <c r="E710" s="50"/>
      <c r="F710" s="51"/>
      <c r="G710" s="52"/>
      <c r="H710" s="53"/>
      <c r="I710" s="54"/>
      <c r="J710" s="55"/>
      <c r="K710" s="55"/>
      <c r="L710" s="55"/>
      <c r="M710" s="53"/>
      <c r="N710" s="56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</row>
    <row r="711" spans="1:37" ht="13.8" x14ac:dyDescent="0.25">
      <c r="A711" s="46"/>
      <c r="B711" s="47"/>
      <c r="C711" s="48"/>
      <c r="D711" s="49"/>
      <c r="E711" s="50"/>
      <c r="F711" s="51"/>
      <c r="G711" s="52"/>
      <c r="H711" s="53"/>
      <c r="I711" s="54"/>
      <c r="J711" s="55"/>
      <c r="K711" s="55"/>
      <c r="L711" s="55"/>
      <c r="M711" s="53"/>
      <c r="N711" s="56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</row>
    <row r="712" spans="1:37" ht="13.8" x14ac:dyDescent="0.25">
      <c r="A712" s="46"/>
      <c r="B712" s="47"/>
      <c r="C712" s="48"/>
      <c r="D712" s="49"/>
      <c r="E712" s="50"/>
      <c r="F712" s="51"/>
      <c r="G712" s="52"/>
      <c r="H712" s="53"/>
      <c r="I712" s="54"/>
      <c r="J712" s="55"/>
      <c r="K712" s="55"/>
      <c r="L712" s="55"/>
      <c r="M712" s="53"/>
      <c r="N712" s="56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</row>
    <row r="713" spans="1:37" ht="13.8" x14ac:dyDescent="0.25">
      <c r="A713" s="46"/>
      <c r="B713" s="47"/>
      <c r="C713" s="48"/>
      <c r="D713" s="49"/>
      <c r="E713" s="50"/>
      <c r="F713" s="51"/>
      <c r="G713" s="52"/>
      <c r="H713" s="53"/>
      <c r="I713" s="54"/>
      <c r="J713" s="55"/>
      <c r="K713" s="55"/>
      <c r="L713" s="55"/>
      <c r="M713" s="53"/>
      <c r="N713" s="56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</row>
    <row r="714" spans="1:37" ht="13.8" x14ac:dyDescent="0.25">
      <c r="A714" s="46"/>
      <c r="B714" s="47"/>
      <c r="C714" s="48"/>
      <c r="D714" s="49"/>
      <c r="E714" s="50"/>
      <c r="F714" s="51"/>
      <c r="G714" s="52"/>
      <c r="H714" s="53"/>
      <c r="I714" s="54"/>
      <c r="J714" s="55"/>
      <c r="K714" s="55"/>
      <c r="L714" s="55"/>
      <c r="M714" s="53"/>
      <c r="N714" s="56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</row>
    <row r="715" spans="1:37" ht="13.8" x14ac:dyDescent="0.25">
      <c r="A715" s="46"/>
      <c r="B715" s="47"/>
      <c r="C715" s="48"/>
      <c r="D715" s="49"/>
      <c r="E715" s="50"/>
      <c r="F715" s="51"/>
      <c r="G715" s="52"/>
      <c r="H715" s="53"/>
      <c r="I715" s="54"/>
      <c r="J715" s="55"/>
      <c r="K715" s="55"/>
      <c r="L715" s="55"/>
      <c r="M715" s="53"/>
      <c r="N715" s="56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</row>
    <row r="716" spans="1:37" ht="13.8" x14ac:dyDescent="0.25">
      <c r="A716" s="46"/>
      <c r="B716" s="47"/>
      <c r="C716" s="48"/>
      <c r="D716" s="49"/>
      <c r="E716" s="50"/>
      <c r="F716" s="51"/>
      <c r="G716" s="52"/>
      <c r="H716" s="53"/>
      <c r="I716" s="54"/>
      <c r="J716" s="55"/>
      <c r="K716" s="55"/>
      <c r="L716" s="55"/>
      <c r="M716" s="53"/>
      <c r="N716" s="56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</row>
    <row r="717" spans="1:37" ht="13.8" x14ac:dyDescent="0.25">
      <c r="A717" s="46"/>
      <c r="B717" s="47"/>
      <c r="C717" s="48"/>
      <c r="D717" s="49"/>
      <c r="E717" s="50"/>
      <c r="F717" s="51"/>
      <c r="G717" s="52"/>
      <c r="H717" s="53"/>
      <c r="I717" s="54"/>
      <c r="J717" s="55"/>
      <c r="K717" s="55"/>
      <c r="L717" s="55"/>
      <c r="M717" s="53"/>
      <c r="N717" s="56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</row>
    <row r="718" spans="1:37" ht="13.8" x14ac:dyDescent="0.25">
      <c r="A718" s="46"/>
      <c r="B718" s="47"/>
      <c r="C718" s="48"/>
      <c r="D718" s="49"/>
      <c r="E718" s="50"/>
      <c r="F718" s="51"/>
      <c r="G718" s="52"/>
      <c r="H718" s="53"/>
      <c r="I718" s="54"/>
      <c r="J718" s="55"/>
      <c r="K718" s="55"/>
      <c r="L718" s="55"/>
      <c r="M718" s="53"/>
      <c r="N718" s="56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</row>
    <row r="719" spans="1:37" ht="13.8" x14ac:dyDescent="0.25">
      <c r="A719" s="46"/>
      <c r="B719" s="47"/>
      <c r="C719" s="48"/>
      <c r="D719" s="49"/>
      <c r="E719" s="50"/>
      <c r="F719" s="51"/>
      <c r="G719" s="52"/>
      <c r="H719" s="53"/>
      <c r="I719" s="54"/>
      <c r="J719" s="55"/>
      <c r="K719" s="55"/>
      <c r="L719" s="55"/>
      <c r="M719" s="53"/>
      <c r="N719" s="56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</row>
    <row r="720" spans="1:37" ht="13.8" x14ac:dyDescent="0.25">
      <c r="A720" s="46"/>
      <c r="B720" s="47"/>
      <c r="C720" s="48"/>
      <c r="D720" s="49"/>
      <c r="E720" s="50"/>
      <c r="F720" s="51"/>
      <c r="G720" s="52"/>
      <c r="H720" s="53"/>
      <c r="I720" s="54"/>
      <c r="J720" s="55"/>
      <c r="K720" s="55"/>
      <c r="L720" s="55"/>
      <c r="M720" s="53"/>
      <c r="N720" s="56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</row>
    <row r="721" spans="1:37" ht="13.8" x14ac:dyDescent="0.25">
      <c r="A721" s="46"/>
      <c r="B721" s="47"/>
      <c r="C721" s="48"/>
      <c r="D721" s="49"/>
      <c r="E721" s="50"/>
      <c r="F721" s="51"/>
      <c r="G721" s="52"/>
      <c r="H721" s="53"/>
      <c r="I721" s="54"/>
      <c r="J721" s="55"/>
      <c r="K721" s="55"/>
      <c r="L721" s="55"/>
      <c r="M721" s="53"/>
      <c r="N721" s="56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</row>
    <row r="722" spans="1:37" ht="13.8" x14ac:dyDescent="0.25">
      <c r="A722" s="46"/>
      <c r="B722" s="47"/>
      <c r="C722" s="48"/>
      <c r="D722" s="49"/>
      <c r="E722" s="50"/>
      <c r="F722" s="51"/>
      <c r="G722" s="52"/>
      <c r="H722" s="53"/>
      <c r="I722" s="54"/>
      <c r="J722" s="55"/>
      <c r="K722" s="55"/>
      <c r="L722" s="55"/>
      <c r="M722" s="53"/>
      <c r="N722" s="56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</row>
    <row r="723" spans="1:37" ht="13.8" x14ac:dyDescent="0.25">
      <c r="A723" s="46"/>
      <c r="B723" s="47"/>
      <c r="C723" s="48"/>
      <c r="D723" s="49"/>
      <c r="E723" s="50"/>
      <c r="F723" s="51"/>
      <c r="G723" s="52"/>
      <c r="H723" s="53"/>
      <c r="I723" s="54"/>
      <c r="J723" s="55"/>
      <c r="K723" s="55"/>
      <c r="L723" s="55"/>
      <c r="M723" s="53"/>
      <c r="N723" s="56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</row>
    <row r="724" spans="1:37" ht="13.8" x14ac:dyDescent="0.25">
      <c r="A724" s="46"/>
      <c r="B724" s="47"/>
      <c r="C724" s="48"/>
      <c r="D724" s="49"/>
      <c r="E724" s="50"/>
      <c r="F724" s="51"/>
      <c r="G724" s="52"/>
      <c r="H724" s="53"/>
      <c r="I724" s="54"/>
      <c r="J724" s="55"/>
      <c r="K724" s="55"/>
      <c r="L724" s="55"/>
      <c r="M724" s="53"/>
      <c r="N724" s="56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</row>
    <row r="725" spans="1:37" ht="13.8" x14ac:dyDescent="0.25">
      <c r="A725" s="46"/>
      <c r="B725" s="47"/>
      <c r="C725" s="48"/>
      <c r="D725" s="49"/>
      <c r="E725" s="50"/>
      <c r="F725" s="51"/>
      <c r="G725" s="52"/>
      <c r="H725" s="53"/>
      <c r="I725" s="54"/>
      <c r="J725" s="55"/>
      <c r="K725" s="55"/>
      <c r="L725" s="55"/>
      <c r="M725" s="53"/>
      <c r="N725" s="56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</row>
    <row r="726" spans="1:37" ht="13.8" x14ac:dyDescent="0.25">
      <c r="A726" s="46"/>
      <c r="B726" s="47"/>
      <c r="C726" s="48"/>
      <c r="D726" s="49"/>
      <c r="E726" s="50"/>
      <c r="F726" s="51"/>
      <c r="G726" s="52"/>
      <c r="H726" s="53"/>
      <c r="I726" s="54"/>
      <c r="J726" s="55"/>
      <c r="K726" s="55"/>
      <c r="L726" s="55"/>
      <c r="M726" s="53"/>
      <c r="N726" s="56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</row>
    <row r="727" spans="1:37" ht="13.8" x14ac:dyDescent="0.25">
      <c r="A727" s="46"/>
      <c r="B727" s="47"/>
      <c r="C727" s="48"/>
      <c r="D727" s="49"/>
      <c r="E727" s="50"/>
      <c r="F727" s="51"/>
      <c r="G727" s="52"/>
      <c r="H727" s="53"/>
      <c r="I727" s="54"/>
      <c r="J727" s="55"/>
      <c r="K727" s="55"/>
      <c r="L727" s="55"/>
      <c r="M727" s="53"/>
      <c r="N727" s="56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</row>
    <row r="728" spans="1:37" ht="13.8" x14ac:dyDescent="0.25">
      <c r="A728" s="46"/>
      <c r="B728" s="47"/>
      <c r="C728" s="48"/>
      <c r="D728" s="49"/>
      <c r="E728" s="50"/>
      <c r="F728" s="51"/>
      <c r="G728" s="52"/>
      <c r="H728" s="53"/>
      <c r="I728" s="54"/>
      <c r="J728" s="55"/>
      <c r="K728" s="55"/>
      <c r="L728" s="55"/>
      <c r="M728" s="53"/>
      <c r="N728" s="56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</row>
    <row r="729" spans="1:37" ht="13.8" x14ac:dyDescent="0.25">
      <c r="A729" s="46"/>
      <c r="B729" s="47"/>
      <c r="C729" s="48"/>
      <c r="D729" s="49"/>
      <c r="E729" s="50"/>
      <c r="F729" s="51"/>
      <c r="G729" s="52"/>
      <c r="H729" s="53"/>
      <c r="I729" s="54"/>
      <c r="J729" s="55"/>
      <c r="K729" s="55"/>
      <c r="L729" s="55"/>
      <c r="M729" s="53"/>
      <c r="N729" s="56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</row>
    <row r="730" spans="1:37" ht="13.8" x14ac:dyDescent="0.25">
      <c r="A730" s="46"/>
      <c r="B730" s="47"/>
      <c r="C730" s="48"/>
      <c r="D730" s="49"/>
      <c r="E730" s="50"/>
      <c r="F730" s="51"/>
      <c r="G730" s="52"/>
      <c r="H730" s="53"/>
      <c r="I730" s="54"/>
      <c r="J730" s="55"/>
      <c r="K730" s="55"/>
      <c r="L730" s="55"/>
      <c r="M730" s="53"/>
      <c r="N730" s="56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</row>
    <row r="731" spans="1:37" ht="13.8" x14ac:dyDescent="0.25">
      <c r="A731" s="46"/>
      <c r="B731" s="47"/>
      <c r="C731" s="48"/>
      <c r="D731" s="49"/>
      <c r="E731" s="50"/>
      <c r="F731" s="51"/>
      <c r="G731" s="52"/>
      <c r="H731" s="53"/>
      <c r="I731" s="54"/>
      <c r="J731" s="55"/>
      <c r="K731" s="55"/>
      <c r="L731" s="55"/>
      <c r="M731" s="53"/>
      <c r="N731" s="56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</row>
    <row r="732" spans="1:37" ht="13.8" x14ac:dyDescent="0.25">
      <c r="A732" s="46"/>
      <c r="B732" s="47"/>
      <c r="C732" s="48"/>
      <c r="D732" s="49"/>
      <c r="E732" s="50"/>
      <c r="F732" s="51"/>
      <c r="G732" s="52"/>
      <c r="H732" s="53"/>
      <c r="I732" s="54"/>
      <c r="J732" s="55"/>
      <c r="K732" s="55"/>
      <c r="L732" s="55"/>
      <c r="M732" s="53"/>
      <c r="N732" s="56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</row>
    <row r="733" spans="1:37" ht="13.8" x14ac:dyDescent="0.25">
      <c r="A733" s="46"/>
      <c r="B733" s="47"/>
      <c r="C733" s="48"/>
      <c r="D733" s="49"/>
      <c r="E733" s="50"/>
      <c r="F733" s="51"/>
      <c r="G733" s="52"/>
      <c r="H733" s="53"/>
      <c r="I733" s="54"/>
      <c r="J733" s="55"/>
      <c r="K733" s="55"/>
      <c r="L733" s="55"/>
      <c r="M733" s="53"/>
      <c r="N733" s="56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</row>
    <row r="734" spans="1:37" ht="13.8" x14ac:dyDescent="0.25">
      <c r="A734" s="46"/>
      <c r="B734" s="47"/>
      <c r="C734" s="48"/>
      <c r="D734" s="49"/>
      <c r="E734" s="50"/>
      <c r="F734" s="51"/>
      <c r="G734" s="52"/>
      <c r="H734" s="53"/>
      <c r="I734" s="54"/>
      <c r="J734" s="55"/>
      <c r="K734" s="55"/>
      <c r="L734" s="55"/>
      <c r="M734" s="53"/>
      <c r="N734" s="56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</row>
    <row r="735" spans="1:37" ht="13.8" x14ac:dyDescent="0.25">
      <c r="A735" s="46"/>
      <c r="B735" s="47"/>
      <c r="C735" s="48"/>
      <c r="D735" s="49"/>
      <c r="E735" s="50"/>
      <c r="F735" s="51"/>
      <c r="G735" s="52"/>
      <c r="H735" s="53"/>
      <c r="I735" s="54"/>
      <c r="J735" s="55"/>
      <c r="K735" s="55"/>
      <c r="L735" s="55"/>
      <c r="M735" s="53"/>
      <c r="N735" s="56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</row>
    <row r="736" spans="1:37" ht="13.8" x14ac:dyDescent="0.25">
      <c r="A736" s="46"/>
      <c r="B736" s="47"/>
      <c r="C736" s="48"/>
      <c r="D736" s="49"/>
      <c r="E736" s="50"/>
      <c r="F736" s="51"/>
      <c r="G736" s="52"/>
      <c r="H736" s="53"/>
      <c r="I736" s="54"/>
      <c r="J736" s="55"/>
      <c r="K736" s="55"/>
      <c r="L736" s="55"/>
      <c r="M736" s="53"/>
      <c r="N736" s="56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</row>
    <row r="737" spans="1:37" ht="13.8" x14ac:dyDescent="0.25">
      <c r="A737" s="46"/>
      <c r="B737" s="47"/>
      <c r="C737" s="48"/>
      <c r="D737" s="49"/>
      <c r="E737" s="50"/>
      <c r="F737" s="51"/>
      <c r="G737" s="52"/>
      <c r="H737" s="53"/>
      <c r="I737" s="54"/>
      <c r="J737" s="55"/>
      <c r="K737" s="55"/>
      <c r="L737" s="55"/>
      <c r="M737" s="53"/>
      <c r="N737" s="56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</row>
    <row r="738" spans="1:37" ht="13.8" x14ac:dyDescent="0.25">
      <c r="A738" s="46"/>
      <c r="B738" s="47"/>
      <c r="C738" s="48"/>
      <c r="D738" s="49"/>
      <c r="E738" s="50"/>
      <c r="F738" s="51"/>
      <c r="G738" s="52"/>
      <c r="H738" s="53"/>
      <c r="I738" s="54"/>
      <c r="J738" s="55"/>
      <c r="K738" s="55"/>
      <c r="L738" s="55"/>
      <c r="M738" s="53"/>
      <c r="N738" s="56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</row>
    <row r="739" spans="1:37" ht="13.8" x14ac:dyDescent="0.25">
      <c r="A739" s="46"/>
      <c r="B739" s="47"/>
      <c r="C739" s="48"/>
      <c r="D739" s="49"/>
      <c r="E739" s="50"/>
      <c r="F739" s="51"/>
      <c r="G739" s="52"/>
      <c r="H739" s="53"/>
      <c r="I739" s="54"/>
      <c r="J739" s="55"/>
      <c r="K739" s="55"/>
      <c r="L739" s="55"/>
      <c r="M739" s="53"/>
      <c r="N739" s="56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</row>
    <row r="740" spans="1:37" ht="13.8" x14ac:dyDescent="0.25">
      <c r="A740" s="46"/>
      <c r="B740" s="47"/>
      <c r="C740" s="48"/>
      <c r="D740" s="49"/>
      <c r="E740" s="50"/>
      <c r="F740" s="51"/>
      <c r="G740" s="52"/>
      <c r="H740" s="53"/>
      <c r="I740" s="54"/>
      <c r="J740" s="55"/>
      <c r="K740" s="55"/>
      <c r="L740" s="55"/>
      <c r="M740" s="53"/>
      <c r="N740" s="56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</row>
    <row r="741" spans="1:37" ht="13.8" x14ac:dyDescent="0.25">
      <c r="A741" s="46"/>
      <c r="B741" s="47"/>
      <c r="C741" s="48"/>
      <c r="D741" s="49"/>
      <c r="E741" s="50"/>
      <c r="F741" s="51"/>
      <c r="G741" s="52"/>
      <c r="H741" s="53"/>
      <c r="I741" s="54"/>
      <c r="J741" s="55"/>
      <c r="K741" s="55"/>
      <c r="L741" s="55"/>
      <c r="M741" s="53"/>
      <c r="N741" s="56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</row>
    <row r="742" spans="1:37" ht="13.8" x14ac:dyDescent="0.25">
      <c r="A742" s="46"/>
      <c r="B742" s="47"/>
      <c r="C742" s="48"/>
      <c r="D742" s="49"/>
      <c r="E742" s="50"/>
      <c r="F742" s="51"/>
      <c r="G742" s="52"/>
      <c r="H742" s="53"/>
      <c r="I742" s="54"/>
      <c r="J742" s="55"/>
      <c r="K742" s="55"/>
      <c r="L742" s="55"/>
      <c r="M742" s="53"/>
      <c r="N742" s="56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</row>
    <row r="743" spans="1:37" ht="13.8" x14ac:dyDescent="0.25">
      <c r="A743" s="46"/>
      <c r="B743" s="47"/>
      <c r="C743" s="48"/>
      <c r="D743" s="49"/>
      <c r="E743" s="50"/>
      <c r="F743" s="51"/>
      <c r="G743" s="52"/>
      <c r="H743" s="53"/>
      <c r="I743" s="54"/>
      <c r="J743" s="55"/>
      <c r="K743" s="55"/>
      <c r="L743" s="55"/>
      <c r="M743" s="53"/>
      <c r="N743" s="56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</row>
    <row r="744" spans="1:37" ht="13.8" x14ac:dyDescent="0.25">
      <c r="A744" s="46"/>
      <c r="B744" s="47"/>
      <c r="C744" s="48"/>
      <c r="D744" s="49"/>
      <c r="E744" s="50"/>
      <c r="F744" s="51"/>
      <c r="G744" s="52"/>
      <c r="H744" s="53"/>
      <c r="I744" s="54"/>
      <c r="J744" s="55"/>
      <c r="K744" s="55"/>
      <c r="L744" s="55"/>
      <c r="M744" s="53"/>
      <c r="N744" s="56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</row>
    <row r="745" spans="1:37" ht="13.8" x14ac:dyDescent="0.25">
      <c r="A745" s="46"/>
      <c r="B745" s="47"/>
      <c r="C745" s="48"/>
      <c r="D745" s="49"/>
      <c r="E745" s="50"/>
      <c r="F745" s="51"/>
      <c r="G745" s="52"/>
      <c r="H745" s="53"/>
      <c r="I745" s="54"/>
      <c r="J745" s="55"/>
      <c r="K745" s="55"/>
      <c r="L745" s="55"/>
      <c r="M745" s="53"/>
      <c r="N745" s="56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</row>
    <row r="746" spans="1:37" ht="13.8" x14ac:dyDescent="0.25">
      <c r="A746" s="46"/>
      <c r="B746" s="47"/>
      <c r="C746" s="48"/>
      <c r="D746" s="49"/>
      <c r="E746" s="50"/>
      <c r="F746" s="51"/>
      <c r="G746" s="52"/>
      <c r="H746" s="53"/>
      <c r="I746" s="54"/>
      <c r="J746" s="55"/>
      <c r="K746" s="55"/>
      <c r="L746" s="55"/>
      <c r="M746" s="53"/>
      <c r="N746" s="56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</row>
    <row r="747" spans="1:37" ht="13.8" x14ac:dyDescent="0.25">
      <c r="A747" s="46"/>
      <c r="B747" s="47"/>
      <c r="C747" s="48"/>
      <c r="D747" s="49"/>
      <c r="E747" s="50"/>
      <c r="F747" s="51"/>
      <c r="G747" s="52"/>
      <c r="H747" s="53"/>
      <c r="I747" s="54"/>
      <c r="J747" s="55"/>
      <c r="K747" s="55"/>
      <c r="L747" s="55"/>
      <c r="M747" s="53"/>
      <c r="N747" s="56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</row>
    <row r="748" spans="1:37" ht="13.8" x14ac:dyDescent="0.25">
      <c r="A748" s="46"/>
      <c r="B748" s="47"/>
      <c r="C748" s="48"/>
      <c r="D748" s="49"/>
      <c r="E748" s="50"/>
      <c r="F748" s="51"/>
      <c r="G748" s="52"/>
      <c r="H748" s="53"/>
      <c r="I748" s="54"/>
      <c r="J748" s="55"/>
      <c r="K748" s="55"/>
      <c r="L748" s="55"/>
      <c r="M748" s="53"/>
      <c r="N748" s="56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</row>
    <row r="749" spans="1:37" ht="13.8" x14ac:dyDescent="0.25">
      <c r="A749" s="46"/>
      <c r="B749" s="47"/>
      <c r="C749" s="48"/>
      <c r="D749" s="49"/>
      <c r="E749" s="50"/>
      <c r="F749" s="51"/>
      <c r="G749" s="52"/>
      <c r="H749" s="53"/>
      <c r="I749" s="54"/>
      <c r="J749" s="55"/>
      <c r="K749" s="55"/>
      <c r="L749" s="55"/>
      <c r="M749" s="53"/>
      <c r="N749" s="56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</row>
    <row r="750" spans="1:37" ht="13.8" x14ac:dyDescent="0.25">
      <c r="A750" s="46"/>
      <c r="B750" s="47"/>
      <c r="C750" s="48"/>
      <c r="D750" s="49"/>
      <c r="E750" s="50"/>
      <c r="F750" s="51"/>
      <c r="G750" s="52"/>
      <c r="H750" s="53"/>
      <c r="I750" s="54"/>
      <c r="J750" s="55"/>
      <c r="K750" s="55"/>
      <c r="L750" s="55"/>
      <c r="M750" s="53"/>
      <c r="N750" s="56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</row>
    <row r="751" spans="1:37" ht="13.8" x14ac:dyDescent="0.25">
      <c r="A751" s="46"/>
      <c r="B751" s="47"/>
      <c r="C751" s="48"/>
      <c r="D751" s="49"/>
      <c r="E751" s="50"/>
      <c r="F751" s="51"/>
      <c r="G751" s="52"/>
      <c r="H751" s="53"/>
      <c r="I751" s="54"/>
      <c r="J751" s="55"/>
      <c r="K751" s="55"/>
      <c r="L751" s="55"/>
      <c r="M751" s="53"/>
      <c r="N751" s="56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</row>
    <row r="752" spans="1:37" ht="13.8" x14ac:dyDescent="0.25">
      <c r="A752" s="46"/>
      <c r="B752" s="47"/>
      <c r="C752" s="48"/>
      <c r="D752" s="49"/>
      <c r="E752" s="50"/>
      <c r="F752" s="51"/>
      <c r="G752" s="52"/>
      <c r="H752" s="53"/>
      <c r="I752" s="54"/>
      <c r="J752" s="55"/>
      <c r="K752" s="55"/>
      <c r="L752" s="55"/>
      <c r="M752" s="53"/>
      <c r="N752" s="56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</row>
    <row r="753" spans="1:37" ht="13.8" x14ac:dyDescent="0.25">
      <c r="A753" s="46"/>
      <c r="B753" s="47"/>
      <c r="C753" s="48"/>
      <c r="D753" s="49"/>
      <c r="E753" s="50"/>
      <c r="F753" s="51"/>
      <c r="G753" s="52"/>
      <c r="H753" s="53"/>
      <c r="I753" s="54"/>
      <c r="J753" s="55"/>
      <c r="K753" s="55"/>
      <c r="L753" s="55"/>
      <c r="M753" s="53"/>
      <c r="N753" s="56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</row>
    <row r="754" spans="1:37" ht="13.8" x14ac:dyDescent="0.25">
      <c r="A754" s="46"/>
      <c r="B754" s="47"/>
      <c r="C754" s="48"/>
      <c r="D754" s="49"/>
      <c r="E754" s="50"/>
      <c r="F754" s="51"/>
      <c r="G754" s="52"/>
      <c r="H754" s="53"/>
      <c r="I754" s="54"/>
      <c r="J754" s="55"/>
      <c r="K754" s="55"/>
      <c r="L754" s="55"/>
      <c r="M754" s="53"/>
      <c r="N754" s="56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</row>
    <row r="755" spans="1:37" ht="13.8" x14ac:dyDescent="0.25">
      <c r="A755" s="46"/>
      <c r="B755" s="47"/>
      <c r="C755" s="48"/>
      <c r="D755" s="49"/>
      <c r="E755" s="50"/>
      <c r="F755" s="51"/>
      <c r="G755" s="52"/>
      <c r="H755" s="53"/>
      <c r="I755" s="54"/>
      <c r="J755" s="55"/>
      <c r="K755" s="55"/>
      <c r="L755" s="55"/>
      <c r="M755" s="53"/>
      <c r="N755" s="56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</row>
    <row r="756" spans="1:37" ht="13.8" x14ac:dyDescent="0.25">
      <c r="A756" s="46"/>
      <c r="B756" s="47"/>
      <c r="C756" s="48"/>
      <c r="D756" s="49"/>
      <c r="E756" s="50"/>
      <c r="F756" s="51"/>
      <c r="G756" s="52"/>
      <c r="H756" s="53"/>
      <c r="I756" s="54"/>
      <c r="J756" s="55"/>
      <c r="K756" s="55"/>
      <c r="L756" s="55"/>
      <c r="M756" s="53"/>
      <c r="N756" s="56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</row>
    <row r="757" spans="1:37" ht="13.8" x14ac:dyDescent="0.25">
      <c r="A757" s="46"/>
      <c r="B757" s="47"/>
      <c r="C757" s="48"/>
      <c r="D757" s="49"/>
      <c r="E757" s="50"/>
      <c r="F757" s="51"/>
      <c r="G757" s="52"/>
      <c r="H757" s="53"/>
      <c r="I757" s="54"/>
      <c r="J757" s="55"/>
      <c r="K757" s="55"/>
      <c r="L757" s="55"/>
      <c r="M757" s="53"/>
      <c r="N757" s="56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</row>
    <row r="758" spans="1:37" ht="13.8" x14ac:dyDescent="0.25">
      <c r="A758" s="46"/>
      <c r="B758" s="47"/>
      <c r="C758" s="48"/>
      <c r="D758" s="49"/>
      <c r="E758" s="50"/>
      <c r="F758" s="51"/>
      <c r="G758" s="52"/>
      <c r="H758" s="53"/>
      <c r="I758" s="54"/>
      <c r="J758" s="55"/>
      <c r="K758" s="55"/>
      <c r="L758" s="55"/>
      <c r="M758" s="53"/>
      <c r="N758" s="56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</row>
    <row r="759" spans="1:37" ht="13.8" x14ac:dyDescent="0.25">
      <c r="A759" s="46"/>
      <c r="B759" s="47"/>
      <c r="C759" s="48"/>
      <c r="D759" s="49"/>
      <c r="E759" s="50"/>
      <c r="F759" s="51"/>
      <c r="G759" s="52"/>
      <c r="H759" s="53"/>
      <c r="I759" s="54"/>
      <c r="J759" s="55"/>
      <c r="K759" s="55"/>
      <c r="L759" s="55"/>
      <c r="M759" s="53"/>
      <c r="N759" s="56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</row>
    <row r="760" spans="1:37" ht="13.8" x14ac:dyDescent="0.25">
      <c r="A760" s="46"/>
      <c r="B760" s="47"/>
      <c r="C760" s="48"/>
      <c r="D760" s="49"/>
      <c r="E760" s="50"/>
      <c r="F760" s="51"/>
      <c r="G760" s="52"/>
      <c r="H760" s="53"/>
      <c r="I760" s="54"/>
      <c r="J760" s="55"/>
      <c r="K760" s="55"/>
      <c r="L760" s="55"/>
      <c r="M760" s="53"/>
      <c r="N760" s="56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</row>
    <row r="761" spans="1:37" ht="13.8" x14ac:dyDescent="0.25">
      <c r="A761" s="46"/>
      <c r="B761" s="47"/>
      <c r="C761" s="48"/>
      <c r="D761" s="49"/>
      <c r="E761" s="50"/>
      <c r="F761" s="51"/>
      <c r="G761" s="52"/>
      <c r="H761" s="53"/>
      <c r="I761" s="54"/>
      <c r="J761" s="55"/>
      <c r="K761" s="55"/>
      <c r="L761" s="55"/>
      <c r="M761" s="53"/>
      <c r="N761" s="56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</row>
    <row r="762" spans="1:37" ht="13.8" x14ac:dyDescent="0.25">
      <c r="A762" s="46"/>
      <c r="B762" s="47"/>
      <c r="C762" s="48"/>
      <c r="D762" s="49"/>
      <c r="E762" s="50"/>
      <c r="F762" s="51"/>
      <c r="G762" s="52"/>
      <c r="H762" s="53"/>
      <c r="I762" s="54"/>
      <c r="J762" s="55"/>
      <c r="K762" s="55"/>
      <c r="L762" s="55"/>
      <c r="M762" s="53"/>
      <c r="N762" s="56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</row>
    <row r="763" spans="1:37" ht="13.8" x14ac:dyDescent="0.25">
      <c r="A763" s="46"/>
      <c r="B763" s="47"/>
      <c r="C763" s="48"/>
      <c r="D763" s="49"/>
      <c r="E763" s="50"/>
      <c r="F763" s="51"/>
      <c r="G763" s="52"/>
      <c r="H763" s="53"/>
      <c r="I763" s="54"/>
      <c r="J763" s="55"/>
      <c r="K763" s="55"/>
      <c r="L763" s="55"/>
      <c r="M763" s="53"/>
      <c r="N763" s="56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</row>
    <row r="764" spans="1:37" ht="13.8" x14ac:dyDescent="0.25">
      <c r="A764" s="46"/>
      <c r="B764" s="47"/>
      <c r="C764" s="48"/>
      <c r="D764" s="49"/>
      <c r="E764" s="50"/>
      <c r="F764" s="51"/>
      <c r="G764" s="52"/>
      <c r="H764" s="53"/>
      <c r="I764" s="54"/>
      <c r="J764" s="55"/>
      <c r="K764" s="55"/>
      <c r="L764" s="55"/>
      <c r="M764" s="53"/>
      <c r="N764" s="56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</row>
    <row r="765" spans="1:37" ht="13.8" x14ac:dyDescent="0.25">
      <c r="A765" s="46"/>
      <c r="B765" s="47"/>
      <c r="C765" s="48"/>
      <c r="D765" s="49"/>
      <c r="E765" s="50"/>
      <c r="F765" s="51"/>
      <c r="G765" s="52"/>
      <c r="H765" s="53"/>
      <c r="I765" s="54"/>
      <c r="J765" s="55"/>
      <c r="K765" s="55"/>
      <c r="L765" s="55"/>
      <c r="M765" s="53"/>
      <c r="N765" s="56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</row>
    <row r="766" spans="1:37" ht="13.8" x14ac:dyDescent="0.25">
      <c r="A766" s="46"/>
      <c r="B766" s="47"/>
      <c r="C766" s="48"/>
      <c r="D766" s="49"/>
      <c r="E766" s="50"/>
      <c r="F766" s="51"/>
      <c r="G766" s="52"/>
      <c r="H766" s="53"/>
      <c r="I766" s="54"/>
      <c r="J766" s="55"/>
      <c r="K766" s="55"/>
      <c r="L766" s="55"/>
      <c r="M766" s="53"/>
      <c r="N766" s="56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</row>
    <row r="767" spans="1:37" ht="13.8" x14ac:dyDescent="0.25">
      <c r="A767" s="46"/>
      <c r="B767" s="47"/>
      <c r="C767" s="48"/>
      <c r="D767" s="49"/>
      <c r="E767" s="50"/>
      <c r="F767" s="51"/>
      <c r="G767" s="52"/>
      <c r="H767" s="53"/>
      <c r="I767" s="54"/>
      <c r="J767" s="55"/>
      <c r="K767" s="55"/>
      <c r="L767" s="55"/>
      <c r="M767" s="53"/>
      <c r="N767" s="56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</row>
    <row r="768" spans="1:37" ht="13.8" x14ac:dyDescent="0.25">
      <c r="A768" s="46"/>
      <c r="B768" s="47"/>
      <c r="C768" s="48"/>
      <c r="D768" s="49"/>
      <c r="E768" s="50"/>
      <c r="F768" s="51"/>
      <c r="G768" s="52"/>
      <c r="H768" s="53"/>
      <c r="I768" s="54"/>
      <c r="J768" s="55"/>
      <c r="K768" s="55"/>
      <c r="L768" s="55"/>
      <c r="M768" s="53"/>
      <c r="N768" s="56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</row>
    <row r="769" spans="1:37" ht="13.8" x14ac:dyDescent="0.25">
      <c r="A769" s="46"/>
      <c r="B769" s="47"/>
      <c r="C769" s="48"/>
      <c r="D769" s="49"/>
      <c r="E769" s="50"/>
      <c r="F769" s="51"/>
      <c r="G769" s="52"/>
      <c r="H769" s="53"/>
      <c r="I769" s="54"/>
      <c r="J769" s="55"/>
      <c r="K769" s="55"/>
      <c r="L769" s="55"/>
      <c r="M769" s="53"/>
      <c r="N769" s="56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</row>
    <row r="770" spans="1:37" ht="13.8" x14ac:dyDescent="0.25">
      <c r="A770" s="46"/>
      <c r="B770" s="47"/>
      <c r="C770" s="48"/>
      <c r="D770" s="49"/>
      <c r="E770" s="50"/>
      <c r="F770" s="51"/>
      <c r="G770" s="52"/>
      <c r="H770" s="53"/>
      <c r="I770" s="54"/>
      <c r="J770" s="55"/>
      <c r="K770" s="55"/>
      <c r="L770" s="55"/>
      <c r="M770" s="53"/>
      <c r="N770" s="56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</row>
    <row r="771" spans="1:37" ht="13.8" x14ac:dyDescent="0.25">
      <c r="A771" s="46"/>
      <c r="B771" s="47"/>
      <c r="C771" s="48"/>
      <c r="D771" s="49"/>
      <c r="E771" s="50"/>
      <c r="F771" s="51"/>
      <c r="G771" s="52"/>
      <c r="H771" s="53"/>
      <c r="I771" s="54"/>
      <c r="J771" s="55"/>
      <c r="K771" s="55"/>
      <c r="L771" s="55"/>
      <c r="M771" s="53"/>
      <c r="N771" s="56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</row>
    <row r="772" spans="1:37" ht="13.8" x14ac:dyDescent="0.25">
      <c r="A772" s="46"/>
      <c r="B772" s="47"/>
      <c r="C772" s="48"/>
      <c r="D772" s="49"/>
      <c r="E772" s="50"/>
      <c r="F772" s="51"/>
      <c r="G772" s="52"/>
      <c r="H772" s="53"/>
      <c r="I772" s="54"/>
      <c r="J772" s="55"/>
      <c r="K772" s="55"/>
      <c r="L772" s="55"/>
      <c r="M772" s="53"/>
      <c r="N772" s="56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</row>
    <row r="773" spans="1:37" ht="13.8" x14ac:dyDescent="0.25">
      <c r="A773" s="46"/>
      <c r="B773" s="47"/>
      <c r="C773" s="48"/>
      <c r="D773" s="49"/>
      <c r="E773" s="50"/>
      <c r="F773" s="51"/>
      <c r="G773" s="52"/>
      <c r="H773" s="53"/>
      <c r="I773" s="54"/>
      <c r="J773" s="55"/>
      <c r="K773" s="55"/>
      <c r="L773" s="55"/>
      <c r="M773" s="53"/>
      <c r="N773" s="56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</row>
    <row r="774" spans="1:37" ht="13.8" x14ac:dyDescent="0.25">
      <c r="A774" s="46"/>
      <c r="B774" s="47"/>
      <c r="C774" s="48"/>
      <c r="D774" s="49"/>
      <c r="E774" s="50"/>
      <c r="F774" s="51"/>
      <c r="G774" s="52"/>
      <c r="H774" s="53"/>
      <c r="I774" s="54"/>
      <c r="J774" s="55"/>
      <c r="K774" s="55"/>
      <c r="L774" s="55"/>
      <c r="M774" s="53"/>
      <c r="N774" s="56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</row>
    <row r="775" spans="1:37" ht="13.8" x14ac:dyDescent="0.25">
      <c r="A775" s="46"/>
      <c r="B775" s="47"/>
      <c r="C775" s="48"/>
      <c r="D775" s="49"/>
      <c r="E775" s="50"/>
      <c r="F775" s="51"/>
      <c r="G775" s="52"/>
      <c r="H775" s="53"/>
      <c r="I775" s="54"/>
      <c r="J775" s="55"/>
      <c r="K775" s="55"/>
      <c r="L775" s="55"/>
      <c r="M775" s="53"/>
      <c r="N775" s="56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</row>
    <row r="776" spans="1:37" ht="13.8" x14ac:dyDescent="0.25">
      <c r="A776" s="46"/>
      <c r="B776" s="47"/>
      <c r="C776" s="48"/>
      <c r="D776" s="49"/>
      <c r="E776" s="50"/>
      <c r="F776" s="51"/>
      <c r="G776" s="52"/>
      <c r="H776" s="53"/>
      <c r="I776" s="54"/>
      <c r="J776" s="55"/>
      <c r="K776" s="55"/>
      <c r="L776" s="55"/>
      <c r="M776" s="53"/>
      <c r="N776" s="56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</row>
    <row r="777" spans="1:37" ht="13.8" x14ac:dyDescent="0.25">
      <c r="A777" s="46"/>
      <c r="B777" s="47"/>
      <c r="C777" s="48"/>
      <c r="D777" s="49"/>
      <c r="E777" s="50"/>
      <c r="F777" s="51"/>
      <c r="G777" s="52"/>
      <c r="H777" s="53"/>
      <c r="I777" s="54"/>
      <c r="J777" s="55"/>
      <c r="K777" s="55"/>
      <c r="L777" s="55"/>
      <c r="M777" s="53"/>
      <c r="N777" s="56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</row>
    <row r="778" spans="1:37" ht="13.8" x14ac:dyDescent="0.25">
      <c r="A778" s="46"/>
      <c r="B778" s="47"/>
      <c r="C778" s="48"/>
      <c r="D778" s="49"/>
      <c r="E778" s="50"/>
      <c r="F778" s="51"/>
      <c r="G778" s="52"/>
      <c r="H778" s="53"/>
      <c r="I778" s="54"/>
      <c r="J778" s="55"/>
      <c r="K778" s="55"/>
      <c r="L778" s="55"/>
      <c r="M778" s="53"/>
      <c r="N778" s="56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</row>
    <row r="779" spans="1:37" ht="13.8" x14ac:dyDescent="0.25">
      <c r="A779" s="46"/>
      <c r="B779" s="47"/>
      <c r="C779" s="48"/>
      <c r="D779" s="49"/>
      <c r="E779" s="50"/>
      <c r="F779" s="51"/>
      <c r="G779" s="52"/>
      <c r="H779" s="53"/>
      <c r="I779" s="54"/>
      <c r="J779" s="55"/>
      <c r="K779" s="55"/>
      <c r="L779" s="55"/>
      <c r="M779" s="53"/>
      <c r="N779" s="56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</row>
    <row r="780" spans="1:37" ht="13.8" x14ac:dyDescent="0.25">
      <c r="A780" s="46"/>
      <c r="B780" s="47"/>
      <c r="C780" s="48"/>
      <c r="D780" s="49"/>
      <c r="E780" s="50"/>
      <c r="F780" s="51"/>
      <c r="G780" s="52"/>
      <c r="H780" s="53"/>
      <c r="I780" s="54"/>
      <c r="J780" s="55"/>
      <c r="K780" s="55"/>
      <c r="L780" s="55"/>
      <c r="M780" s="53"/>
      <c r="N780" s="56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</row>
    <row r="781" spans="1:37" ht="13.8" x14ac:dyDescent="0.25">
      <c r="A781" s="46"/>
      <c r="B781" s="47"/>
      <c r="C781" s="48"/>
      <c r="D781" s="49"/>
      <c r="E781" s="50"/>
      <c r="F781" s="51"/>
      <c r="G781" s="52"/>
      <c r="H781" s="53"/>
      <c r="I781" s="54"/>
      <c r="J781" s="55"/>
      <c r="K781" s="55"/>
      <c r="L781" s="55"/>
      <c r="M781" s="53"/>
      <c r="N781" s="56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</row>
    <row r="782" spans="1:37" ht="13.8" x14ac:dyDescent="0.25">
      <c r="A782" s="46"/>
      <c r="B782" s="47"/>
      <c r="C782" s="48"/>
      <c r="D782" s="49"/>
      <c r="E782" s="50"/>
      <c r="F782" s="51"/>
      <c r="G782" s="52"/>
      <c r="H782" s="53"/>
      <c r="I782" s="54"/>
      <c r="J782" s="55"/>
      <c r="K782" s="55"/>
      <c r="L782" s="55"/>
      <c r="M782" s="53"/>
      <c r="N782" s="56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</row>
    <row r="783" spans="1:37" ht="13.8" x14ac:dyDescent="0.25">
      <c r="A783" s="46"/>
      <c r="B783" s="47"/>
      <c r="C783" s="48"/>
      <c r="D783" s="49"/>
      <c r="E783" s="50"/>
      <c r="F783" s="51"/>
      <c r="G783" s="52"/>
      <c r="H783" s="53"/>
      <c r="I783" s="54"/>
      <c r="J783" s="55"/>
      <c r="K783" s="55"/>
      <c r="L783" s="55"/>
      <c r="M783" s="53"/>
      <c r="N783" s="56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</row>
    <row r="784" spans="1:37" ht="13.8" x14ac:dyDescent="0.25">
      <c r="A784" s="46"/>
      <c r="B784" s="47"/>
      <c r="C784" s="48"/>
      <c r="D784" s="49"/>
      <c r="E784" s="50"/>
      <c r="F784" s="51"/>
      <c r="G784" s="52"/>
      <c r="H784" s="53"/>
      <c r="I784" s="54"/>
      <c r="J784" s="55"/>
      <c r="K784" s="55"/>
      <c r="L784" s="55"/>
      <c r="M784" s="53"/>
      <c r="N784" s="56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</row>
    <row r="785" spans="1:37" ht="13.8" x14ac:dyDescent="0.25">
      <c r="A785" s="46"/>
      <c r="B785" s="47"/>
      <c r="C785" s="48"/>
      <c r="D785" s="49"/>
      <c r="E785" s="50"/>
      <c r="F785" s="51"/>
      <c r="G785" s="52"/>
      <c r="H785" s="53"/>
      <c r="I785" s="54"/>
      <c r="J785" s="55"/>
      <c r="K785" s="55"/>
      <c r="L785" s="55"/>
      <c r="M785" s="53"/>
      <c r="N785" s="56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</row>
    <row r="786" spans="1:37" ht="13.8" x14ac:dyDescent="0.25">
      <c r="A786" s="46"/>
      <c r="B786" s="47"/>
      <c r="C786" s="48"/>
      <c r="D786" s="49"/>
      <c r="E786" s="50"/>
      <c r="F786" s="51"/>
      <c r="G786" s="52"/>
      <c r="H786" s="53"/>
      <c r="I786" s="54"/>
      <c r="J786" s="55"/>
      <c r="K786" s="55"/>
      <c r="L786" s="55"/>
      <c r="M786" s="53"/>
      <c r="N786" s="56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</row>
    <row r="787" spans="1:37" ht="13.8" x14ac:dyDescent="0.25">
      <c r="A787" s="46"/>
      <c r="B787" s="47"/>
      <c r="C787" s="48"/>
      <c r="D787" s="49"/>
      <c r="E787" s="50"/>
      <c r="F787" s="51"/>
      <c r="G787" s="52"/>
      <c r="H787" s="53"/>
      <c r="I787" s="54"/>
      <c r="J787" s="55"/>
      <c r="K787" s="55"/>
      <c r="L787" s="55"/>
      <c r="M787" s="53"/>
      <c r="N787" s="56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</row>
    <row r="788" spans="1:37" ht="13.8" x14ac:dyDescent="0.25">
      <c r="A788" s="46"/>
      <c r="B788" s="47"/>
      <c r="C788" s="48"/>
      <c r="D788" s="49"/>
      <c r="E788" s="50"/>
      <c r="F788" s="51"/>
      <c r="G788" s="52"/>
      <c r="H788" s="53"/>
      <c r="I788" s="54"/>
      <c r="J788" s="55"/>
      <c r="K788" s="55"/>
      <c r="L788" s="55"/>
      <c r="M788" s="53"/>
      <c r="N788" s="56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</row>
    <row r="789" spans="1:37" ht="13.8" x14ac:dyDescent="0.25">
      <c r="A789" s="46"/>
      <c r="B789" s="47"/>
      <c r="C789" s="48"/>
      <c r="D789" s="49"/>
      <c r="E789" s="50"/>
      <c r="F789" s="51"/>
      <c r="G789" s="52"/>
      <c r="H789" s="53"/>
      <c r="I789" s="54"/>
      <c r="J789" s="55"/>
      <c r="K789" s="55"/>
      <c r="L789" s="55"/>
      <c r="M789" s="53"/>
      <c r="N789" s="56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</row>
    <row r="790" spans="1:37" ht="13.8" x14ac:dyDescent="0.25">
      <c r="A790" s="46"/>
      <c r="B790" s="47"/>
      <c r="C790" s="48"/>
      <c r="D790" s="49"/>
      <c r="E790" s="50"/>
      <c r="F790" s="51"/>
      <c r="G790" s="52"/>
      <c r="H790" s="53"/>
      <c r="I790" s="54"/>
      <c r="J790" s="55"/>
      <c r="K790" s="55"/>
      <c r="L790" s="55"/>
      <c r="M790" s="53"/>
      <c r="N790" s="56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</row>
    <row r="791" spans="1:37" ht="13.8" x14ac:dyDescent="0.25">
      <c r="A791" s="46"/>
      <c r="B791" s="47"/>
      <c r="C791" s="48"/>
      <c r="D791" s="49"/>
      <c r="E791" s="50"/>
      <c r="F791" s="51"/>
      <c r="G791" s="52"/>
      <c r="H791" s="53"/>
      <c r="I791" s="54"/>
      <c r="J791" s="55"/>
      <c r="K791" s="55"/>
      <c r="L791" s="55"/>
      <c r="M791" s="53"/>
      <c r="N791" s="56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</row>
    <row r="792" spans="1:37" ht="13.8" x14ac:dyDescent="0.25">
      <c r="A792" s="46"/>
      <c r="B792" s="47"/>
      <c r="C792" s="48"/>
      <c r="D792" s="49"/>
      <c r="E792" s="50"/>
      <c r="F792" s="51"/>
      <c r="G792" s="52"/>
      <c r="H792" s="53"/>
      <c r="I792" s="54"/>
      <c r="J792" s="55"/>
      <c r="K792" s="55"/>
      <c r="L792" s="55"/>
      <c r="M792" s="53"/>
      <c r="N792" s="56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</row>
    <row r="793" spans="1:37" ht="13.8" x14ac:dyDescent="0.25">
      <c r="A793" s="46"/>
      <c r="B793" s="47"/>
      <c r="C793" s="48"/>
      <c r="D793" s="49"/>
      <c r="E793" s="50"/>
      <c r="F793" s="51"/>
      <c r="G793" s="52"/>
      <c r="H793" s="53"/>
      <c r="I793" s="54"/>
      <c r="J793" s="55"/>
      <c r="K793" s="55"/>
      <c r="L793" s="55"/>
      <c r="M793" s="53"/>
      <c r="N793" s="56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</row>
    <row r="794" spans="1:37" ht="13.8" x14ac:dyDescent="0.25">
      <c r="A794" s="46"/>
      <c r="B794" s="47"/>
      <c r="C794" s="48"/>
      <c r="D794" s="49"/>
      <c r="E794" s="50"/>
      <c r="F794" s="51"/>
      <c r="G794" s="52"/>
      <c r="H794" s="53"/>
      <c r="I794" s="54"/>
      <c r="J794" s="55"/>
      <c r="K794" s="55"/>
      <c r="L794" s="55"/>
      <c r="M794" s="53"/>
      <c r="N794" s="56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</row>
    <row r="795" spans="1:37" ht="13.8" x14ac:dyDescent="0.25">
      <c r="A795" s="46"/>
      <c r="B795" s="47"/>
      <c r="C795" s="48"/>
      <c r="D795" s="49"/>
      <c r="E795" s="50"/>
      <c r="F795" s="51"/>
      <c r="G795" s="52"/>
      <c r="H795" s="53"/>
      <c r="I795" s="54"/>
      <c r="J795" s="55"/>
      <c r="K795" s="55"/>
      <c r="L795" s="55"/>
      <c r="M795" s="53"/>
      <c r="N795" s="56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</row>
    <row r="796" spans="1:37" ht="13.8" x14ac:dyDescent="0.25">
      <c r="A796" s="46"/>
      <c r="B796" s="47"/>
      <c r="C796" s="48"/>
      <c r="D796" s="49"/>
      <c r="E796" s="50"/>
      <c r="F796" s="51"/>
      <c r="G796" s="52"/>
      <c r="H796" s="53"/>
      <c r="I796" s="54"/>
      <c r="J796" s="55"/>
      <c r="K796" s="55"/>
      <c r="L796" s="55"/>
      <c r="M796" s="53"/>
      <c r="N796" s="56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</row>
    <row r="797" spans="1:37" ht="13.8" x14ac:dyDescent="0.25">
      <c r="A797" s="46"/>
      <c r="B797" s="47"/>
      <c r="C797" s="48"/>
      <c r="D797" s="49"/>
      <c r="E797" s="50"/>
      <c r="F797" s="51"/>
      <c r="G797" s="52"/>
      <c r="H797" s="53"/>
      <c r="I797" s="54"/>
      <c r="J797" s="55"/>
      <c r="K797" s="55"/>
      <c r="L797" s="55"/>
      <c r="M797" s="53"/>
      <c r="N797" s="56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</row>
    <row r="798" spans="1:37" ht="13.8" x14ac:dyDescent="0.25">
      <c r="A798" s="46"/>
      <c r="B798" s="47"/>
      <c r="C798" s="48"/>
      <c r="D798" s="49"/>
      <c r="E798" s="50"/>
      <c r="F798" s="51"/>
      <c r="G798" s="52"/>
      <c r="H798" s="53"/>
      <c r="I798" s="54"/>
      <c r="J798" s="55"/>
      <c r="K798" s="55"/>
      <c r="L798" s="55"/>
      <c r="M798" s="53"/>
      <c r="N798" s="56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</row>
    <row r="799" spans="1:37" ht="13.8" x14ac:dyDescent="0.25">
      <c r="A799" s="46"/>
      <c r="B799" s="47"/>
      <c r="C799" s="48"/>
      <c r="D799" s="49"/>
      <c r="E799" s="50"/>
      <c r="F799" s="51"/>
      <c r="G799" s="52"/>
      <c r="H799" s="53"/>
      <c r="I799" s="54"/>
      <c r="J799" s="55"/>
      <c r="K799" s="55"/>
      <c r="L799" s="55"/>
      <c r="M799" s="53"/>
      <c r="N799" s="56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</row>
    <row r="800" spans="1:37" ht="13.8" x14ac:dyDescent="0.25">
      <c r="A800" s="46"/>
      <c r="B800" s="47"/>
      <c r="C800" s="48"/>
      <c r="D800" s="49"/>
      <c r="E800" s="50"/>
      <c r="F800" s="51"/>
      <c r="G800" s="52"/>
      <c r="H800" s="53"/>
      <c r="I800" s="54"/>
      <c r="J800" s="55"/>
      <c r="K800" s="55"/>
      <c r="L800" s="55"/>
      <c r="M800" s="53"/>
      <c r="N800" s="56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</row>
    <row r="801" spans="1:37" ht="13.8" x14ac:dyDescent="0.25">
      <c r="A801" s="46"/>
      <c r="B801" s="47"/>
      <c r="C801" s="48"/>
      <c r="D801" s="49"/>
      <c r="E801" s="50"/>
      <c r="F801" s="51"/>
      <c r="G801" s="52"/>
      <c r="H801" s="53"/>
      <c r="I801" s="54"/>
      <c r="J801" s="55"/>
      <c r="K801" s="55"/>
      <c r="L801" s="55"/>
      <c r="M801" s="53"/>
      <c r="N801" s="56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</row>
    <row r="802" spans="1:37" ht="13.8" x14ac:dyDescent="0.25">
      <c r="A802" s="46"/>
      <c r="B802" s="47"/>
      <c r="C802" s="48"/>
      <c r="D802" s="49"/>
      <c r="E802" s="50"/>
      <c r="F802" s="51"/>
      <c r="G802" s="52"/>
      <c r="H802" s="53"/>
      <c r="I802" s="54"/>
      <c r="J802" s="55"/>
      <c r="K802" s="55"/>
      <c r="L802" s="55"/>
      <c r="M802" s="53"/>
      <c r="N802" s="56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</row>
    <row r="803" spans="1:37" ht="13.8" x14ac:dyDescent="0.25">
      <c r="A803" s="46"/>
      <c r="B803" s="47"/>
      <c r="C803" s="48"/>
      <c r="D803" s="49"/>
      <c r="E803" s="50"/>
      <c r="F803" s="51"/>
      <c r="G803" s="52"/>
      <c r="H803" s="53"/>
      <c r="I803" s="54"/>
      <c r="J803" s="55"/>
      <c r="K803" s="55"/>
      <c r="L803" s="55"/>
      <c r="M803" s="53"/>
      <c r="N803" s="56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</row>
    <row r="804" spans="1:37" ht="13.8" x14ac:dyDescent="0.25">
      <c r="A804" s="46"/>
      <c r="B804" s="47"/>
      <c r="C804" s="48"/>
      <c r="D804" s="49"/>
      <c r="E804" s="50"/>
      <c r="F804" s="51"/>
      <c r="G804" s="52"/>
      <c r="H804" s="53"/>
      <c r="I804" s="54"/>
      <c r="J804" s="55"/>
      <c r="K804" s="55"/>
      <c r="L804" s="55"/>
      <c r="M804" s="53"/>
      <c r="N804" s="56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</row>
    <row r="805" spans="1:37" ht="13.8" x14ac:dyDescent="0.25">
      <c r="A805" s="46"/>
      <c r="B805" s="47"/>
      <c r="C805" s="48"/>
      <c r="D805" s="49"/>
      <c r="E805" s="50"/>
      <c r="F805" s="51"/>
      <c r="G805" s="52"/>
      <c r="H805" s="53"/>
      <c r="I805" s="54"/>
      <c r="J805" s="55"/>
      <c r="K805" s="55"/>
      <c r="L805" s="55"/>
      <c r="M805" s="53"/>
      <c r="N805" s="56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</row>
    <row r="806" spans="1:37" ht="13.8" x14ac:dyDescent="0.25">
      <c r="A806" s="46"/>
      <c r="B806" s="47"/>
      <c r="C806" s="48"/>
      <c r="D806" s="49"/>
      <c r="E806" s="50"/>
      <c r="F806" s="51"/>
      <c r="G806" s="52"/>
      <c r="H806" s="53"/>
      <c r="I806" s="54"/>
      <c r="J806" s="55"/>
      <c r="K806" s="55"/>
      <c r="L806" s="55"/>
      <c r="M806" s="53"/>
      <c r="N806" s="56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</row>
    <row r="807" spans="1:37" ht="13.8" x14ac:dyDescent="0.25">
      <c r="A807" s="46"/>
      <c r="B807" s="47"/>
      <c r="C807" s="48"/>
      <c r="D807" s="49"/>
      <c r="E807" s="50"/>
      <c r="F807" s="51"/>
      <c r="G807" s="52"/>
      <c r="H807" s="53"/>
      <c r="I807" s="54"/>
      <c r="J807" s="55"/>
      <c r="K807" s="55"/>
      <c r="L807" s="55"/>
      <c r="M807" s="53"/>
      <c r="N807" s="56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</row>
    <row r="808" spans="1:37" ht="13.8" x14ac:dyDescent="0.25">
      <c r="A808" s="46"/>
      <c r="B808" s="47"/>
      <c r="C808" s="48"/>
      <c r="D808" s="49"/>
      <c r="E808" s="50"/>
      <c r="F808" s="51"/>
      <c r="G808" s="52"/>
      <c r="H808" s="53"/>
      <c r="I808" s="54"/>
      <c r="J808" s="55"/>
      <c r="K808" s="55"/>
      <c r="L808" s="55"/>
      <c r="M808" s="53"/>
      <c r="N808" s="56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</row>
    <row r="809" spans="1:37" ht="13.8" x14ac:dyDescent="0.25">
      <c r="A809" s="46"/>
      <c r="B809" s="47"/>
      <c r="C809" s="48"/>
      <c r="D809" s="49"/>
      <c r="E809" s="50"/>
      <c r="F809" s="51"/>
      <c r="G809" s="52"/>
      <c r="H809" s="53"/>
      <c r="I809" s="54"/>
      <c r="J809" s="55"/>
      <c r="K809" s="55"/>
      <c r="L809" s="55"/>
      <c r="M809" s="53"/>
      <c r="N809" s="56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</row>
    <row r="810" spans="1:37" ht="13.8" x14ac:dyDescent="0.25">
      <c r="A810" s="46"/>
      <c r="B810" s="47"/>
      <c r="C810" s="48"/>
      <c r="D810" s="49"/>
      <c r="E810" s="50"/>
      <c r="F810" s="51"/>
      <c r="G810" s="52"/>
      <c r="H810" s="53"/>
      <c r="I810" s="54"/>
      <c r="J810" s="55"/>
      <c r="K810" s="55"/>
      <c r="L810" s="55"/>
      <c r="M810" s="53"/>
      <c r="N810" s="56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</row>
    <row r="811" spans="1:37" ht="13.8" x14ac:dyDescent="0.25">
      <c r="A811" s="46"/>
      <c r="B811" s="47"/>
      <c r="C811" s="48"/>
      <c r="D811" s="49"/>
      <c r="E811" s="50"/>
      <c r="F811" s="51"/>
      <c r="G811" s="52"/>
      <c r="H811" s="53"/>
      <c r="I811" s="54"/>
      <c r="J811" s="55"/>
      <c r="K811" s="55"/>
      <c r="L811" s="55"/>
      <c r="M811" s="53"/>
      <c r="N811" s="56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</row>
    <row r="812" spans="1:37" ht="13.8" x14ac:dyDescent="0.25">
      <c r="A812" s="46"/>
      <c r="B812" s="47"/>
      <c r="C812" s="48"/>
      <c r="D812" s="49"/>
      <c r="E812" s="50"/>
      <c r="F812" s="51"/>
      <c r="G812" s="52"/>
      <c r="H812" s="53"/>
      <c r="I812" s="54"/>
      <c r="J812" s="55"/>
      <c r="K812" s="55"/>
      <c r="L812" s="55"/>
      <c r="M812" s="53"/>
      <c r="N812" s="56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</row>
    <row r="813" spans="1:37" ht="13.8" x14ac:dyDescent="0.25">
      <c r="A813" s="46"/>
      <c r="B813" s="47"/>
      <c r="C813" s="48"/>
      <c r="D813" s="49"/>
      <c r="E813" s="50"/>
      <c r="F813" s="51"/>
      <c r="G813" s="52"/>
      <c r="H813" s="53"/>
      <c r="I813" s="54"/>
      <c r="J813" s="55"/>
      <c r="K813" s="55"/>
      <c r="L813" s="55"/>
      <c r="M813" s="53"/>
      <c r="N813" s="56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</row>
    <row r="814" spans="1:37" ht="13.8" x14ac:dyDescent="0.25">
      <c r="A814" s="46"/>
      <c r="B814" s="47"/>
      <c r="C814" s="48"/>
      <c r="D814" s="49"/>
      <c r="E814" s="50"/>
      <c r="F814" s="51"/>
      <c r="G814" s="52"/>
      <c r="H814" s="53"/>
      <c r="I814" s="54"/>
      <c r="J814" s="55"/>
      <c r="K814" s="55"/>
      <c r="L814" s="55"/>
      <c r="M814" s="53"/>
      <c r="N814" s="56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</row>
    <row r="815" spans="1:37" ht="13.8" x14ac:dyDescent="0.25">
      <c r="A815" s="46"/>
      <c r="B815" s="47"/>
      <c r="C815" s="48"/>
      <c r="D815" s="49"/>
      <c r="E815" s="50"/>
      <c r="F815" s="51"/>
      <c r="G815" s="52"/>
      <c r="H815" s="53"/>
      <c r="I815" s="54"/>
      <c r="J815" s="55"/>
      <c r="K815" s="55"/>
      <c r="L815" s="55"/>
      <c r="M815" s="53"/>
      <c r="N815" s="56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</row>
    <row r="816" spans="1:37" ht="13.8" x14ac:dyDescent="0.25">
      <c r="A816" s="46"/>
      <c r="B816" s="47"/>
      <c r="C816" s="48"/>
      <c r="D816" s="49"/>
      <c r="E816" s="50"/>
      <c r="F816" s="51"/>
      <c r="G816" s="52"/>
      <c r="H816" s="53"/>
      <c r="I816" s="54"/>
      <c r="J816" s="55"/>
      <c r="K816" s="55"/>
      <c r="L816" s="55"/>
      <c r="M816" s="53"/>
      <c r="N816" s="56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</row>
    <row r="817" spans="1:37" ht="13.8" x14ac:dyDescent="0.25">
      <c r="A817" s="46"/>
      <c r="B817" s="47"/>
      <c r="C817" s="48"/>
      <c r="D817" s="49"/>
      <c r="E817" s="50"/>
      <c r="F817" s="51"/>
      <c r="G817" s="52"/>
      <c r="H817" s="53"/>
      <c r="I817" s="54"/>
      <c r="J817" s="55"/>
      <c r="K817" s="55"/>
      <c r="L817" s="55"/>
      <c r="M817" s="53"/>
      <c r="N817" s="56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</row>
    <row r="818" spans="1:37" ht="13.8" x14ac:dyDescent="0.25">
      <c r="A818" s="46"/>
      <c r="B818" s="47"/>
      <c r="C818" s="48"/>
      <c r="D818" s="49"/>
      <c r="E818" s="50"/>
      <c r="F818" s="51"/>
      <c r="G818" s="52"/>
      <c r="H818" s="53"/>
      <c r="I818" s="54"/>
      <c r="J818" s="55"/>
      <c r="K818" s="55"/>
      <c r="L818" s="55"/>
      <c r="M818" s="53"/>
      <c r="N818" s="56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</row>
    <row r="819" spans="1:37" ht="13.8" x14ac:dyDescent="0.25">
      <c r="A819" s="46"/>
      <c r="B819" s="47"/>
      <c r="C819" s="48"/>
      <c r="D819" s="49"/>
      <c r="E819" s="50"/>
      <c r="F819" s="51"/>
      <c r="G819" s="52"/>
      <c r="H819" s="53"/>
      <c r="I819" s="54"/>
      <c r="J819" s="55"/>
      <c r="K819" s="55"/>
      <c r="L819" s="55"/>
      <c r="M819" s="53"/>
      <c r="N819" s="56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</row>
    <row r="820" spans="1:37" ht="13.8" x14ac:dyDescent="0.25">
      <c r="A820" s="46"/>
      <c r="B820" s="47"/>
      <c r="C820" s="48"/>
      <c r="D820" s="49"/>
      <c r="E820" s="50"/>
      <c r="F820" s="51"/>
      <c r="G820" s="52"/>
      <c r="H820" s="53"/>
      <c r="I820" s="54"/>
      <c r="J820" s="55"/>
      <c r="K820" s="55"/>
      <c r="L820" s="55"/>
      <c r="M820" s="53"/>
      <c r="N820" s="56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</row>
    <row r="821" spans="1:37" ht="13.8" x14ac:dyDescent="0.25">
      <c r="A821" s="46"/>
      <c r="B821" s="47"/>
      <c r="C821" s="48"/>
      <c r="D821" s="49"/>
      <c r="E821" s="50"/>
      <c r="F821" s="51"/>
      <c r="G821" s="52"/>
      <c r="H821" s="53"/>
      <c r="I821" s="54"/>
      <c r="J821" s="55"/>
      <c r="K821" s="55"/>
      <c r="L821" s="55"/>
      <c r="M821" s="53"/>
      <c r="N821" s="56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</row>
    <row r="822" spans="1:37" ht="13.8" x14ac:dyDescent="0.25">
      <c r="A822" s="46"/>
      <c r="B822" s="47"/>
      <c r="C822" s="48"/>
      <c r="D822" s="49"/>
      <c r="E822" s="50"/>
      <c r="F822" s="51"/>
      <c r="G822" s="52"/>
      <c r="H822" s="53"/>
      <c r="I822" s="54"/>
      <c r="J822" s="55"/>
      <c r="K822" s="55"/>
      <c r="L822" s="55"/>
      <c r="M822" s="53"/>
      <c r="N822" s="56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</row>
    <row r="823" spans="1:37" ht="13.8" x14ac:dyDescent="0.25">
      <c r="A823" s="46"/>
      <c r="B823" s="47"/>
      <c r="C823" s="48"/>
      <c r="D823" s="49"/>
      <c r="E823" s="50"/>
      <c r="F823" s="51"/>
      <c r="G823" s="52"/>
      <c r="H823" s="53"/>
      <c r="I823" s="54"/>
      <c r="J823" s="55"/>
      <c r="K823" s="55"/>
      <c r="L823" s="55"/>
      <c r="M823" s="53"/>
      <c r="N823" s="56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</row>
    <row r="824" spans="1:37" ht="13.8" x14ac:dyDescent="0.25">
      <c r="A824" s="46"/>
      <c r="B824" s="47"/>
      <c r="C824" s="48"/>
      <c r="D824" s="49"/>
      <c r="E824" s="50"/>
      <c r="F824" s="51"/>
      <c r="G824" s="52"/>
      <c r="H824" s="53"/>
      <c r="I824" s="54"/>
      <c r="J824" s="55"/>
      <c r="K824" s="55"/>
      <c r="L824" s="55"/>
      <c r="M824" s="53"/>
      <c r="N824" s="56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</row>
    <row r="825" spans="1:37" ht="13.8" x14ac:dyDescent="0.25">
      <c r="A825" s="46"/>
      <c r="B825" s="47"/>
      <c r="C825" s="48"/>
      <c r="D825" s="49"/>
      <c r="E825" s="50"/>
      <c r="F825" s="51"/>
      <c r="G825" s="52"/>
      <c r="H825" s="53"/>
      <c r="I825" s="54"/>
      <c r="J825" s="55"/>
      <c r="K825" s="55"/>
      <c r="L825" s="55"/>
      <c r="M825" s="53"/>
      <c r="N825" s="56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</row>
    <row r="826" spans="1:37" ht="13.8" x14ac:dyDescent="0.25">
      <c r="A826" s="46"/>
      <c r="B826" s="47"/>
      <c r="C826" s="48"/>
      <c r="D826" s="49"/>
      <c r="E826" s="50"/>
      <c r="F826" s="51"/>
      <c r="G826" s="52"/>
      <c r="H826" s="53"/>
      <c r="I826" s="54"/>
      <c r="J826" s="55"/>
      <c r="K826" s="55"/>
      <c r="L826" s="55"/>
      <c r="M826" s="53"/>
      <c r="N826" s="56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</row>
    <row r="827" spans="1:37" ht="13.8" x14ac:dyDescent="0.25">
      <c r="A827" s="46"/>
      <c r="B827" s="47"/>
      <c r="C827" s="48"/>
      <c r="D827" s="49"/>
      <c r="E827" s="50"/>
      <c r="F827" s="51"/>
      <c r="G827" s="52"/>
      <c r="H827" s="53"/>
      <c r="I827" s="54"/>
      <c r="J827" s="55"/>
      <c r="K827" s="55"/>
      <c r="L827" s="55"/>
      <c r="M827" s="53"/>
      <c r="N827" s="56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</row>
    <row r="828" spans="1:37" ht="13.8" x14ac:dyDescent="0.25">
      <c r="A828" s="46"/>
      <c r="B828" s="47"/>
      <c r="C828" s="48"/>
      <c r="D828" s="49"/>
      <c r="E828" s="50"/>
      <c r="F828" s="51"/>
      <c r="G828" s="52"/>
      <c r="H828" s="53"/>
      <c r="I828" s="54"/>
      <c r="J828" s="55"/>
      <c r="K828" s="55"/>
      <c r="L828" s="55"/>
      <c r="M828" s="53"/>
      <c r="N828" s="56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</row>
    <row r="829" spans="1:37" ht="13.8" x14ac:dyDescent="0.25">
      <c r="A829" s="46"/>
      <c r="B829" s="47"/>
      <c r="C829" s="48"/>
      <c r="D829" s="49"/>
      <c r="E829" s="50"/>
      <c r="F829" s="51"/>
      <c r="G829" s="52"/>
      <c r="H829" s="53"/>
      <c r="I829" s="54"/>
      <c r="J829" s="55"/>
      <c r="K829" s="55"/>
      <c r="L829" s="55"/>
      <c r="M829" s="53"/>
      <c r="N829" s="56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</row>
    <row r="830" spans="1:37" ht="13.8" x14ac:dyDescent="0.25">
      <c r="A830" s="46"/>
      <c r="B830" s="47"/>
      <c r="C830" s="48"/>
      <c r="D830" s="49"/>
      <c r="E830" s="50"/>
      <c r="F830" s="51"/>
      <c r="G830" s="52"/>
      <c r="H830" s="53"/>
      <c r="I830" s="54"/>
      <c r="J830" s="55"/>
      <c r="K830" s="55"/>
      <c r="L830" s="55"/>
      <c r="M830" s="53"/>
      <c r="N830" s="56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</row>
    <row r="831" spans="1:37" ht="13.8" x14ac:dyDescent="0.25">
      <c r="A831" s="46"/>
      <c r="B831" s="47"/>
      <c r="C831" s="48"/>
      <c r="D831" s="49"/>
      <c r="E831" s="50"/>
      <c r="F831" s="51"/>
      <c r="G831" s="52"/>
      <c r="H831" s="53"/>
      <c r="I831" s="54"/>
      <c r="J831" s="55"/>
      <c r="K831" s="55"/>
      <c r="L831" s="55"/>
      <c r="M831" s="53"/>
      <c r="N831" s="56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</row>
    <row r="832" spans="1:37" ht="13.8" x14ac:dyDescent="0.25">
      <c r="A832" s="46"/>
      <c r="B832" s="47"/>
      <c r="C832" s="48"/>
      <c r="D832" s="49"/>
      <c r="E832" s="50"/>
      <c r="F832" s="51"/>
      <c r="G832" s="52"/>
      <c r="H832" s="53"/>
      <c r="I832" s="54"/>
      <c r="J832" s="55"/>
      <c r="K832" s="55"/>
      <c r="L832" s="55"/>
      <c r="M832" s="53"/>
      <c r="N832" s="56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</row>
    <row r="833" spans="1:37" ht="13.8" x14ac:dyDescent="0.25">
      <c r="A833" s="46"/>
      <c r="B833" s="47"/>
      <c r="C833" s="48"/>
      <c r="D833" s="49"/>
      <c r="E833" s="50"/>
      <c r="F833" s="51"/>
      <c r="G833" s="52"/>
      <c r="H833" s="53"/>
      <c r="I833" s="54"/>
      <c r="J833" s="55"/>
      <c r="K833" s="55"/>
      <c r="L833" s="55"/>
      <c r="M833" s="53"/>
      <c r="N833" s="56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</row>
    <row r="834" spans="1:37" ht="13.8" x14ac:dyDescent="0.25">
      <c r="A834" s="46"/>
      <c r="B834" s="47"/>
      <c r="C834" s="48"/>
      <c r="D834" s="49"/>
      <c r="E834" s="50"/>
      <c r="F834" s="51"/>
      <c r="G834" s="52"/>
      <c r="H834" s="53"/>
      <c r="I834" s="54"/>
      <c r="J834" s="55"/>
      <c r="K834" s="55"/>
      <c r="L834" s="55"/>
      <c r="M834" s="53"/>
      <c r="N834" s="56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</row>
    <row r="835" spans="1:37" ht="13.8" x14ac:dyDescent="0.25">
      <c r="A835" s="46"/>
      <c r="B835" s="47"/>
      <c r="C835" s="48"/>
      <c r="D835" s="49"/>
      <c r="E835" s="50"/>
      <c r="F835" s="51"/>
      <c r="G835" s="52"/>
      <c r="H835" s="53"/>
      <c r="I835" s="54"/>
      <c r="J835" s="55"/>
      <c r="K835" s="55"/>
      <c r="L835" s="55"/>
      <c r="M835" s="53"/>
      <c r="N835" s="56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</row>
    <row r="836" spans="1:37" ht="13.8" x14ac:dyDescent="0.25">
      <c r="A836" s="46"/>
      <c r="B836" s="47"/>
      <c r="C836" s="48"/>
      <c r="D836" s="49"/>
      <c r="E836" s="50"/>
      <c r="F836" s="51"/>
      <c r="G836" s="52"/>
      <c r="H836" s="53"/>
      <c r="I836" s="54"/>
      <c r="J836" s="55"/>
      <c r="K836" s="55"/>
      <c r="L836" s="55"/>
      <c r="M836" s="53"/>
      <c r="N836" s="56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</row>
    <row r="837" spans="1:37" ht="13.8" x14ac:dyDescent="0.25">
      <c r="A837" s="46"/>
      <c r="B837" s="47"/>
      <c r="C837" s="48"/>
      <c r="D837" s="49"/>
      <c r="E837" s="50"/>
      <c r="F837" s="51"/>
      <c r="G837" s="52"/>
      <c r="H837" s="53"/>
      <c r="I837" s="54"/>
      <c r="J837" s="55"/>
      <c r="K837" s="55"/>
      <c r="L837" s="55"/>
      <c r="M837" s="53"/>
      <c r="N837" s="56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</row>
    <row r="838" spans="1:37" ht="13.8" x14ac:dyDescent="0.25">
      <c r="A838" s="46"/>
      <c r="B838" s="47"/>
      <c r="C838" s="48"/>
      <c r="D838" s="49"/>
      <c r="E838" s="50"/>
      <c r="F838" s="51"/>
      <c r="G838" s="52"/>
      <c r="H838" s="53"/>
      <c r="I838" s="54"/>
      <c r="J838" s="55"/>
      <c r="K838" s="55"/>
      <c r="L838" s="55"/>
      <c r="M838" s="53"/>
      <c r="N838" s="56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</row>
    <row r="839" spans="1:37" ht="13.8" x14ac:dyDescent="0.25">
      <c r="A839" s="46"/>
      <c r="B839" s="47"/>
      <c r="C839" s="48"/>
      <c r="D839" s="49"/>
      <c r="E839" s="50"/>
      <c r="F839" s="51"/>
      <c r="G839" s="52"/>
      <c r="H839" s="53"/>
      <c r="I839" s="54"/>
      <c r="J839" s="55"/>
      <c r="K839" s="55"/>
      <c r="L839" s="55"/>
      <c r="M839" s="53"/>
      <c r="N839" s="56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</row>
    <row r="840" spans="1:37" ht="13.8" x14ac:dyDescent="0.25">
      <c r="A840" s="46"/>
      <c r="B840" s="47"/>
      <c r="C840" s="48"/>
      <c r="D840" s="49"/>
      <c r="E840" s="50"/>
      <c r="F840" s="51"/>
      <c r="G840" s="52"/>
      <c r="H840" s="53"/>
      <c r="I840" s="54"/>
      <c r="J840" s="55"/>
      <c r="K840" s="55"/>
      <c r="L840" s="55"/>
      <c r="M840" s="53"/>
      <c r="N840" s="56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</row>
    <row r="841" spans="1:37" ht="13.8" x14ac:dyDescent="0.25">
      <c r="A841" s="46"/>
      <c r="B841" s="47"/>
      <c r="C841" s="48"/>
      <c r="D841" s="49"/>
      <c r="E841" s="50"/>
      <c r="F841" s="51"/>
      <c r="G841" s="52"/>
      <c r="H841" s="53"/>
      <c r="I841" s="54"/>
      <c r="J841" s="55"/>
      <c r="K841" s="55"/>
      <c r="L841" s="55"/>
      <c r="M841" s="53"/>
      <c r="N841" s="56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</row>
    <row r="842" spans="1:37" ht="13.8" x14ac:dyDescent="0.25">
      <c r="A842" s="46"/>
      <c r="B842" s="47"/>
      <c r="C842" s="48"/>
      <c r="D842" s="49"/>
      <c r="E842" s="50"/>
      <c r="F842" s="51"/>
      <c r="G842" s="52"/>
      <c r="H842" s="53"/>
      <c r="I842" s="54"/>
      <c r="J842" s="55"/>
      <c r="K842" s="55"/>
      <c r="L842" s="55"/>
      <c r="M842" s="53"/>
      <c r="N842" s="56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</row>
    <row r="843" spans="1:37" ht="13.8" x14ac:dyDescent="0.25">
      <c r="A843" s="46"/>
      <c r="B843" s="47"/>
      <c r="C843" s="48"/>
      <c r="D843" s="49"/>
      <c r="E843" s="50"/>
      <c r="F843" s="51"/>
      <c r="G843" s="52"/>
      <c r="H843" s="53"/>
      <c r="I843" s="54"/>
      <c r="J843" s="55"/>
      <c r="K843" s="55"/>
      <c r="L843" s="55"/>
      <c r="M843" s="53"/>
      <c r="N843" s="56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</row>
    <row r="844" spans="1:37" ht="13.8" x14ac:dyDescent="0.25">
      <c r="A844" s="46"/>
      <c r="B844" s="47"/>
      <c r="C844" s="48"/>
      <c r="D844" s="49"/>
      <c r="E844" s="50"/>
      <c r="F844" s="51"/>
      <c r="G844" s="52"/>
      <c r="H844" s="53"/>
      <c r="I844" s="54"/>
      <c r="J844" s="55"/>
      <c r="K844" s="55"/>
      <c r="L844" s="55"/>
      <c r="M844" s="53"/>
      <c r="N844" s="56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</row>
    <row r="845" spans="1:37" ht="13.8" x14ac:dyDescent="0.25">
      <c r="A845" s="46"/>
      <c r="B845" s="47"/>
      <c r="C845" s="48"/>
      <c r="D845" s="49"/>
      <c r="E845" s="50"/>
      <c r="F845" s="51"/>
      <c r="G845" s="52"/>
      <c r="H845" s="53"/>
      <c r="I845" s="54"/>
      <c r="J845" s="55"/>
      <c r="K845" s="55"/>
      <c r="L845" s="55"/>
      <c r="M845" s="53"/>
      <c r="N845" s="56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</row>
    <row r="846" spans="1:37" ht="13.8" x14ac:dyDescent="0.25">
      <c r="A846" s="46"/>
      <c r="B846" s="47"/>
      <c r="C846" s="48"/>
      <c r="D846" s="49"/>
      <c r="E846" s="50"/>
      <c r="F846" s="51"/>
      <c r="G846" s="52"/>
      <c r="H846" s="53"/>
      <c r="I846" s="54"/>
      <c r="J846" s="55"/>
      <c r="K846" s="55"/>
      <c r="L846" s="55"/>
      <c r="M846" s="53"/>
      <c r="N846" s="56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</row>
    <row r="847" spans="1:37" ht="13.8" x14ac:dyDescent="0.25">
      <c r="A847" s="46"/>
      <c r="B847" s="47"/>
      <c r="C847" s="48"/>
      <c r="D847" s="49"/>
      <c r="E847" s="50"/>
      <c r="F847" s="51"/>
      <c r="G847" s="52"/>
      <c r="H847" s="53"/>
      <c r="I847" s="54"/>
      <c r="J847" s="55"/>
      <c r="K847" s="55"/>
      <c r="L847" s="55"/>
      <c r="M847" s="53"/>
      <c r="N847" s="56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</row>
    <row r="848" spans="1:37" ht="13.8" x14ac:dyDescent="0.25">
      <c r="A848" s="46"/>
      <c r="B848" s="47"/>
      <c r="C848" s="48"/>
      <c r="D848" s="49"/>
      <c r="E848" s="50"/>
      <c r="F848" s="51"/>
      <c r="G848" s="52"/>
      <c r="H848" s="53"/>
      <c r="I848" s="54"/>
      <c r="J848" s="55"/>
      <c r="K848" s="55"/>
      <c r="L848" s="55"/>
      <c r="M848" s="53"/>
      <c r="N848" s="56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</row>
    <row r="849" spans="1:37" ht="13.8" x14ac:dyDescent="0.25">
      <c r="A849" s="46"/>
      <c r="B849" s="47"/>
      <c r="C849" s="48"/>
      <c r="D849" s="49"/>
      <c r="E849" s="50"/>
      <c r="F849" s="51"/>
      <c r="G849" s="52"/>
      <c r="H849" s="53"/>
      <c r="I849" s="54"/>
      <c r="J849" s="55"/>
      <c r="K849" s="55"/>
      <c r="L849" s="55"/>
      <c r="M849" s="53"/>
      <c r="N849" s="56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</row>
    <row r="850" spans="1:37" ht="13.8" x14ac:dyDescent="0.25">
      <c r="A850" s="46"/>
      <c r="B850" s="47"/>
      <c r="C850" s="48"/>
      <c r="D850" s="49"/>
      <c r="E850" s="50"/>
      <c r="F850" s="51"/>
      <c r="G850" s="52"/>
      <c r="H850" s="53"/>
      <c r="I850" s="54"/>
      <c r="J850" s="55"/>
      <c r="K850" s="55"/>
      <c r="L850" s="55"/>
      <c r="M850" s="53"/>
      <c r="N850" s="56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</row>
    <row r="851" spans="1:37" ht="13.8" x14ac:dyDescent="0.25">
      <c r="A851" s="46"/>
      <c r="B851" s="47"/>
      <c r="C851" s="48"/>
      <c r="D851" s="49"/>
      <c r="E851" s="50"/>
      <c r="F851" s="51"/>
      <c r="G851" s="52"/>
      <c r="H851" s="53"/>
      <c r="I851" s="54"/>
      <c r="J851" s="55"/>
      <c r="K851" s="55"/>
      <c r="L851" s="55"/>
      <c r="M851" s="53"/>
      <c r="N851" s="56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</row>
    <row r="852" spans="1:37" ht="13.8" x14ac:dyDescent="0.25">
      <c r="A852" s="46"/>
      <c r="B852" s="47"/>
      <c r="C852" s="48"/>
      <c r="D852" s="49"/>
      <c r="E852" s="50"/>
      <c r="F852" s="51"/>
      <c r="G852" s="52"/>
      <c r="H852" s="53"/>
      <c r="I852" s="54"/>
      <c r="J852" s="55"/>
      <c r="K852" s="55"/>
      <c r="L852" s="55"/>
      <c r="M852" s="53"/>
      <c r="N852" s="56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</row>
    <row r="853" spans="1:37" ht="13.8" x14ac:dyDescent="0.25">
      <c r="A853" s="46"/>
      <c r="B853" s="47"/>
      <c r="C853" s="48"/>
      <c r="D853" s="49"/>
      <c r="E853" s="50"/>
      <c r="F853" s="51"/>
      <c r="G853" s="52"/>
      <c r="H853" s="53"/>
      <c r="I853" s="54"/>
      <c r="J853" s="55"/>
      <c r="K853" s="55"/>
      <c r="L853" s="55"/>
      <c r="M853" s="53"/>
      <c r="N853" s="56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</row>
    <row r="854" spans="1:37" ht="13.8" x14ac:dyDescent="0.25">
      <c r="A854" s="46"/>
      <c r="B854" s="47"/>
      <c r="C854" s="48"/>
      <c r="D854" s="49"/>
      <c r="E854" s="50"/>
      <c r="F854" s="51"/>
      <c r="G854" s="52"/>
      <c r="H854" s="53"/>
      <c r="I854" s="54"/>
      <c r="J854" s="55"/>
      <c r="K854" s="55"/>
      <c r="L854" s="55"/>
      <c r="M854" s="53"/>
      <c r="N854" s="56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</row>
    <row r="855" spans="1:37" ht="13.8" x14ac:dyDescent="0.25">
      <c r="A855" s="46"/>
      <c r="B855" s="47"/>
      <c r="C855" s="48"/>
      <c r="D855" s="49"/>
      <c r="E855" s="50"/>
      <c r="F855" s="51"/>
      <c r="G855" s="52"/>
      <c r="H855" s="53"/>
      <c r="I855" s="54"/>
      <c r="J855" s="55"/>
      <c r="K855" s="55"/>
      <c r="L855" s="55"/>
      <c r="M855" s="53"/>
      <c r="N855" s="56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</row>
    <row r="856" spans="1:37" ht="13.8" x14ac:dyDescent="0.25">
      <c r="A856" s="46"/>
      <c r="B856" s="47"/>
      <c r="C856" s="48"/>
      <c r="D856" s="49"/>
      <c r="E856" s="50"/>
      <c r="F856" s="51"/>
      <c r="G856" s="52"/>
      <c r="H856" s="53"/>
      <c r="I856" s="54"/>
      <c r="J856" s="55"/>
      <c r="K856" s="55"/>
      <c r="L856" s="55"/>
      <c r="M856" s="53"/>
      <c r="N856" s="56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</row>
    <row r="857" spans="1:37" ht="13.8" x14ac:dyDescent="0.25">
      <c r="A857" s="46"/>
      <c r="B857" s="47"/>
      <c r="C857" s="48"/>
      <c r="D857" s="49"/>
      <c r="E857" s="50"/>
      <c r="F857" s="51"/>
      <c r="G857" s="52"/>
      <c r="H857" s="53"/>
      <c r="I857" s="54"/>
      <c r="J857" s="55"/>
      <c r="K857" s="55"/>
      <c r="L857" s="55"/>
      <c r="M857" s="53"/>
      <c r="N857" s="56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</row>
    <row r="858" spans="1:37" ht="13.8" x14ac:dyDescent="0.25">
      <c r="A858" s="46"/>
      <c r="B858" s="47"/>
      <c r="C858" s="48"/>
      <c r="D858" s="49"/>
      <c r="E858" s="50"/>
      <c r="F858" s="51"/>
      <c r="G858" s="52"/>
      <c r="H858" s="53"/>
      <c r="I858" s="54"/>
      <c r="J858" s="55"/>
      <c r="K858" s="55"/>
      <c r="L858" s="55"/>
      <c r="M858" s="53"/>
      <c r="N858" s="56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</row>
    <row r="859" spans="1:37" ht="13.8" x14ac:dyDescent="0.25">
      <c r="A859" s="46"/>
      <c r="B859" s="47"/>
      <c r="C859" s="48"/>
      <c r="D859" s="49"/>
      <c r="E859" s="50"/>
      <c r="F859" s="51"/>
      <c r="G859" s="52"/>
      <c r="H859" s="53"/>
      <c r="I859" s="54"/>
      <c r="J859" s="55"/>
      <c r="K859" s="55"/>
      <c r="L859" s="55"/>
      <c r="M859" s="53"/>
      <c r="N859" s="56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</row>
    <row r="860" spans="1:37" ht="13.8" x14ac:dyDescent="0.25">
      <c r="A860" s="46"/>
      <c r="B860" s="47"/>
      <c r="C860" s="48"/>
      <c r="D860" s="49"/>
      <c r="E860" s="50"/>
      <c r="F860" s="51"/>
      <c r="G860" s="52"/>
      <c r="H860" s="53"/>
      <c r="I860" s="54"/>
      <c r="J860" s="55"/>
      <c r="K860" s="55"/>
      <c r="L860" s="55"/>
      <c r="M860" s="53"/>
      <c r="N860" s="56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</row>
    <row r="861" spans="1:37" ht="13.8" x14ac:dyDescent="0.25">
      <c r="A861" s="46"/>
      <c r="B861" s="47"/>
      <c r="C861" s="48"/>
      <c r="D861" s="49"/>
      <c r="E861" s="50"/>
      <c r="F861" s="51"/>
      <c r="G861" s="52"/>
      <c r="H861" s="53"/>
      <c r="I861" s="54"/>
      <c r="J861" s="55"/>
      <c r="K861" s="55"/>
      <c r="L861" s="55"/>
      <c r="M861" s="53"/>
      <c r="N861" s="56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</row>
    <row r="862" spans="1:37" ht="13.8" x14ac:dyDescent="0.25">
      <c r="A862" s="46"/>
      <c r="B862" s="47"/>
      <c r="C862" s="48"/>
      <c r="D862" s="49"/>
      <c r="E862" s="50"/>
      <c r="F862" s="51"/>
      <c r="G862" s="52"/>
      <c r="H862" s="53"/>
      <c r="I862" s="54"/>
      <c r="J862" s="55"/>
      <c r="K862" s="55"/>
      <c r="L862" s="55"/>
      <c r="M862" s="53"/>
      <c r="N862" s="56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</row>
    <row r="863" spans="1:37" ht="13.8" x14ac:dyDescent="0.25">
      <c r="A863" s="46"/>
      <c r="B863" s="47"/>
      <c r="C863" s="48"/>
      <c r="D863" s="49"/>
      <c r="E863" s="50"/>
      <c r="F863" s="51"/>
      <c r="G863" s="52"/>
      <c r="H863" s="53"/>
      <c r="I863" s="54"/>
      <c r="J863" s="55"/>
      <c r="K863" s="55"/>
      <c r="L863" s="55"/>
      <c r="M863" s="53"/>
      <c r="N863" s="56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</row>
    <row r="864" spans="1:37" ht="13.8" x14ac:dyDescent="0.25">
      <c r="A864" s="46"/>
      <c r="B864" s="47"/>
      <c r="C864" s="48"/>
      <c r="D864" s="49"/>
      <c r="E864" s="50"/>
      <c r="F864" s="51"/>
      <c r="G864" s="52"/>
      <c r="H864" s="53"/>
      <c r="I864" s="54"/>
      <c r="J864" s="55"/>
      <c r="K864" s="55"/>
      <c r="L864" s="55"/>
      <c r="M864" s="53"/>
      <c r="N864" s="56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</row>
    <row r="865" spans="1:37" ht="13.8" x14ac:dyDescent="0.25">
      <c r="A865" s="46"/>
      <c r="B865" s="47"/>
      <c r="C865" s="48"/>
      <c r="D865" s="49"/>
      <c r="E865" s="50"/>
      <c r="F865" s="51"/>
      <c r="G865" s="52"/>
      <c r="H865" s="53"/>
      <c r="I865" s="54"/>
      <c r="J865" s="55"/>
      <c r="K865" s="55"/>
      <c r="L865" s="55"/>
      <c r="M865" s="53"/>
      <c r="N865" s="56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</row>
    <row r="866" spans="1:37" ht="13.8" x14ac:dyDescent="0.25">
      <c r="A866" s="46"/>
      <c r="B866" s="47"/>
      <c r="C866" s="48"/>
      <c r="D866" s="49"/>
      <c r="E866" s="50"/>
      <c r="F866" s="51"/>
      <c r="G866" s="52"/>
      <c r="H866" s="53"/>
      <c r="I866" s="54"/>
      <c r="J866" s="55"/>
      <c r="K866" s="55"/>
      <c r="L866" s="55"/>
      <c r="M866" s="53"/>
      <c r="N866" s="56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</row>
    <row r="867" spans="1:37" ht="13.8" x14ac:dyDescent="0.25">
      <c r="A867" s="46"/>
      <c r="B867" s="47"/>
      <c r="C867" s="48"/>
      <c r="D867" s="49"/>
      <c r="E867" s="50"/>
      <c r="F867" s="51"/>
      <c r="G867" s="52"/>
      <c r="H867" s="53"/>
      <c r="I867" s="54"/>
      <c r="J867" s="55"/>
      <c r="K867" s="55"/>
      <c r="L867" s="55"/>
      <c r="M867" s="53"/>
      <c r="N867" s="56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</row>
    <row r="868" spans="1:37" ht="13.8" x14ac:dyDescent="0.25">
      <c r="A868" s="46"/>
      <c r="B868" s="47"/>
      <c r="C868" s="48"/>
      <c r="D868" s="49"/>
      <c r="E868" s="50"/>
      <c r="F868" s="51"/>
      <c r="G868" s="52"/>
      <c r="H868" s="53"/>
      <c r="I868" s="54"/>
      <c r="J868" s="55"/>
      <c r="K868" s="55"/>
      <c r="L868" s="55"/>
      <c r="M868" s="53"/>
      <c r="N868" s="56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</row>
    <row r="869" spans="1:37" ht="13.8" x14ac:dyDescent="0.25">
      <c r="A869" s="46"/>
      <c r="B869" s="47"/>
      <c r="C869" s="48"/>
      <c r="D869" s="49"/>
      <c r="E869" s="50"/>
      <c r="F869" s="51"/>
      <c r="G869" s="52"/>
      <c r="H869" s="53"/>
      <c r="I869" s="54"/>
      <c r="J869" s="55"/>
      <c r="K869" s="55"/>
      <c r="L869" s="55"/>
      <c r="M869" s="53"/>
      <c r="N869" s="56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</row>
    <row r="870" spans="1:37" ht="13.8" x14ac:dyDescent="0.25">
      <c r="A870" s="46"/>
      <c r="B870" s="47"/>
      <c r="C870" s="48"/>
      <c r="D870" s="49"/>
      <c r="E870" s="50"/>
      <c r="F870" s="51"/>
      <c r="G870" s="52"/>
      <c r="H870" s="53"/>
      <c r="I870" s="54"/>
      <c r="J870" s="55"/>
      <c r="K870" s="55"/>
      <c r="L870" s="55"/>
      <c r="M870" s="53"/>
      <c r="N870" s="56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</row>
    <row r="871" spans="1:37" ht="13.8" x14ac:dyDescent="0.25">
      <c r="A871" s="46"/>
      <c r="B871" s="47"/>
      <c r="C871" s="48"/>
      <c r="D871" s="49"/>
      <c r="E871" s="50"/>
      <c r="F871" s="51"/>
      <c r="G871" s="52"/>
      <c r="H871" s="53"/>
      <c r="I871" s="54"/>
      <c r="J871" s="55"/>
      <c r="K871" s="55"/>
      <c r="L871" s="55"/>
      <c r="M871" s="53"/>
      <c r="N871" s="56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</row>
  </sheetData>
  <autoFilter ref="A3:N7">
    <filterColumn colId="7">
      <filters blank="1">
        <filter val="0001/LT/2026"/>
        <filter val="0002/LT/2026"/>
        <filter val="0003/LT/2026"/>
        <filter val="0004/LT/2026"/>
        <filter val="0005/LT/2026"/>
        <filter val="0006/LT/2026"/>
        <filter val="0007/LT/2026"/>
        <filter val="0008/LT/2026"/>
        <filter val="0009/LT/2026"/>
        <filter val="0010/LT/2026"/>
        <filter val="0011/LT/2026"/>
        <filter val="0012/LT/2026"/>
        <filter val="0013/LT/2026"/>
        <filter val="0014/LT/2026"/>
        <filter val="0015/LT/2026"/>
      </filters>
    </filterColumn>
  </autoFilter>
  <dataValidations count="2">
    <dataValidation type="list" allowBlank="1" showErrorMessage="1" sqref="N4:N871">
      <formula1>"DONE,Progressing,Cancel"</formula1>
    </dataValidation>
    <dataValidation type="list" allowBlank="1" showErrorMessage="1" sqref="K4:K372 I4:I372">
      <formula1>"Tháng,Quý,Năm,Khác"</formula1>
    </dataValidation>
  </dataValidations>
  <pageMargins left="0.25" right="0.25" top="0.75" bottom="0.75" header="0" footer="0"/>
  <pageSetup paperSize="9"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AO69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7" sqref="G7"/>
    </sheetView>
  </sheetViews>
  <sheetFormatPr defaultColWidth="12.6640625" defaultRowHeight="15.75" customHeight="1" x14ac:dyDescent="0.25"/>
  <cols>
    <col min="1" max="1" width="7.33203125" customWidth="1"/>
    <col min="2" max="2" width="21.6640625" customWidth="1"/>
    <col min="3" max="3" width="17" customWidth="1"/>
    <col min="4" max="4" width="7.109375" customWidth="1"/>
    <col min="5" max="5" width="16" customWidth="1"/>
    <col min="6" max="6" width="17.33203125" hidden="1" customWidth="1"/>
    <col min="7" max="7" width="43.88671875" customWidth="1"/>
    <col min="8" max="8" width="17.21875" customWidth="1"/>
    <col min="9" max="9" width="7.88671875" customWidth="1"/>
    <col min="10" max="11" width="14.6640625" customWidth="1"/>
    <col min="12" max="12" width="15.21875" hidden="1" customWidth="1"/>
    <col min="13" max="13" width="13.88671875" customWidth="1"/>
    <col min="14" max="15" width="16.6640625" hidden="1" customWidth="1"/>
    <col min="16" max="16" width="13.6640625" hidden="1" customWidth="1"/>
    <col min="17" max="17" width="20.77734375" hidden="1" customWidth="1"/>
    <col min="18" max="18" width="24.77734375" customWidth="1"/>
  </cols>
  <sheetData>
    <row r="1" spans="1:41" ht="30.75" customHeight="1" x14ac:dyDescent="0.25">
      <c r="A1" s="58"/>
      <c r="B1" s="58"/>
      <c r="C1" s="58"/>
      <c r="D1" s="59" t="s">
        <v>243</v>
      </c>
      <c r="E1" s="60"/>
      <c r="F1" s="58"/>
      <c r="G1" s="61"/>
      <c r="H1" s="62"/>
      <c r="I1" s="63"/>
      <c r="J1" s="62"/>
      <c r="K1" s="62"/>
      <c r="L1" s="64"/>
      <c r="M1" s="58"/>
      <c r="N1" s="64"/>
      <c r="O1" s="62" t="s">
        <v>244</v>
      </c>
      <c r="P1" s="62"/>
      <c r="Q1" s="62"/>
      <c r="R1" s="65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spans="1:41" ht="13.8" x14ac:dyDescent="0.25">
      <c r="A2" s="67" t="s">
        <v>0</v>
      </c>
      <c r="B2" s="67" t="s">
        <v>245</v>
      </c>
      <c r="C2" s="67" t="s">
        <v>246</v>
      </c>
      <c r="D2" s="68" t="s">
        <v>247</v>
      </c>
      <c r="E2" s="69" t="s">
        <v>248</v>
      </c>
      <c r="F2" s="70" t="s">
        <v>249</v>
      </c>
      <c r="G2" s="71" t="s">
        <v>250</v>
      </c>
      <c r="H2" s="72" t="s">
        <v>251</v>
      </c>
      <c r="I2" s="73" t="s">
        <v>252</v>
      </c>
      <c r="J2" s="72" t="s">
        <v>253</v>
      </c>
      <c r="K2" s="72" t="s">
        <v>254</v>
      </c>
      <c r="L2" s="74" t="s">
        <v>255</v>
      </c>
      <c r="M2" s="75" t="s">
        <v>256</v>
      </c>
      <c r="N2" s="74" t="s">
        <v>257</v>
      </c>
      <c r="O2" s="76" t="s">
        <v>256</v>
      </c>
      <c r="P2" s="76" t="s">
        <v>258</v>
      </c>
      <c r="Q2" s="76" t="s">
        <v>259</v>
      </c>
      <c r="R2" s="75" t="s">
        <v>3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</row>
    <row r="3" spans="1:41" ht="13.8" x14ac:dyDescent="0.25">
      <c r="A3" s="77"/>
      <c r="B3" s="77"/>
      <c r="C3" s="77"/>
      <c r="D3" s="78"/>
      <c r="E3" s="79"/>
      <c r="F3" s="80"/>
      <c r="G3" s="81"/>
      <c r="H3" s="82">
        <f>SUBTOTAL(9,H4:H196)</f>
        <v>6000000</v>
      </c>
      <c r="I3" s="82"/>
      <c r="J3" s="82">
        <f>SUBTOTAL(9,J4:J196)</f>
        <v>480000</v>
      </c>
      <c r="K3" s="82">
        <f>SUBTOTAL(9,K4:K196)</f>
        <v>6480000</v>
      </c>
      <c r="L3" s="83"/>
      <c r="M3" s="84" t="s">
        <v>260</v>
      </c>
      <c r="N3" s="83"/>
      <c r="O3" s="82"/>
      <c r="P3" s="82"/>
      <c r="Q3" s="82"/>
      <c r="R3" s="84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</row>
    <row r="4" spans="1:41" ht="13.8" x14ac:dyDescent="0.25">
      <c r="A4" s="22">
        <f t="shared" ref="A4:A7" si="0">IF(D4="","",SUBTOTAL(3,$D$4:D4))</f>
        <v>1</v>
      </c>
      <c r="B4" s="29" t="s">
        <v>48</v>
      </c>
      <c r="C4" s="24" t="str">
        <f ca="1">IFERROR(__xludf.DUMMYFUNCTION("IFERROR(VLOOKUP(B4,IMPORTRANGE(""https://docs.google.com/spreadsheets/d/1Hr4i_97qtgRe-bfuRbVkLVmXa34m06T7R6IJCbq42Xg/edit?gid=0#gid=0"",""Information!B5:S200""),4,0),"""")"),"")</f>
        <v/>
      </c>
      <c r="D4" s="85" t="s">
        <v>18</v>
      </c>
      <c r="E4" s="26" t="str">
        <f t="shared" ref="E4:E7" si="1">IF(B4="","",(D4 &amp;"/ST/2025"))</f>
        <v>001/ST/2025</v>
      </c>
      <c r="F4" s="31">
        <v>45659</v>
      </c>
      <c r="G4" s="36" t="s">
        <v>261</v>
      </c>
      <c r="H4" s="30">
        <v>2000000</v>
      </c>
      <c r="I4" s="86">
        <v>0.08</v>
      </c>
      <c r="J4" s="30">
        <f t="shared" ref="J4:J7" si="2">H4*I4</f>
        <v>160000</v>
      </c>
      <c r="K4" s="35">
        <f t="shared" si="3"/>
        <v>2160000</v>
      </c>
      <c r="L4" s="87">
        <f t="shared" ref="L4:L7" si="3">IF(F4="","",(F4+15))</f>
        <v>45674</v>
      </c>
      <c r="M4" s="88" t="s">
        <v>20</v>
      </c>
      <c r="N4" s="89">
        <f t="shared" ref="N4:N7" si="4">IF(M4="Done",F4,"")</f>
        <v>45659</v>
      </c>
      <c r="O4" s="30" t="s">
        <v>20</v>
      </c>
      <c r="P4" s="37"/>
      <c r="Q4" s="35"/>
      <c r="R4" s="41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ht="27.6" x14ac:dyDescent="0.25">
      <c r="A5" s="22">
        <f t="shared" si="0"/>
        <v>2</v>
      </c>
      <c r="B5" s="29" t="s">
        <v>50</v>
      </c>
      <c r="C5" s="24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85" t="s">
        <v>22</v>
      </c>
      <c r="E5" s="26" t="str">
        <f t="shared" si="1"/>
        <v>002/ST/2025</v>
      </c>
      <c r="F5" s="31">
        <v>45659</v>
      </c>
      <c r="G5" s="36" t="s">
        <v>262</v>
      </c>
      <c r="H5" s="30">
        <v>2000000</v>
      </c>
      <c r="I5" s="86">
        <v>0.08</v>
      </c>
      <c r="J5" s="30">
        <f t="shared" si="2"/>
        <v>160000</v>
      </c>
      <c r="K5" s="35">
        <f t="shared" si="3"/>
        <v>2160000</v>
      </c>
      <c r="L5" s="87">
        <f t="shared" si="3"/>
        <v>45674</v>
      </c>
      <c r="M5" s="88" t="s">
        <v>20</v>
      </c>
      <c r="N5" s="89">
        <f t="shared" si="4"/>
        <v>45659</v>
      </c>
      <c r="O5" s="35"/>
      <c r="P5" s="37" t="str">
        <f t="shared" ref="P5:P7" si="5">IF(O5="Done",H5*10%,"")</f>
        <v/>
      </c>
      <c r="Q5" s="35"/>
      <c r="R5" s="41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 ht="27.6" x14ac:dyDescent="0.25">
      <c r="A6" s="22">
        <f t="shared" si="0"/>
        <v>3</v>
      </c>
      <c r="B6" s="29" t="s">
        <v>56</v>
      </c>
      <c r="C6" s="24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90" t="s">
        <v>24</v>
      </c>
      <c r="E6" s="26" t="str">
        <f t="shared" si="1"/>
        <v>003/ST/2025</v>
      </c>
      <c r="F6" s="31">
        <v>45659</v>
      </c>
      <c r="G6" s="36" t="s">
        <v>263</v>
      </c>
      <c r="H6" s="30">
        <v>0</v>
      </c>
      <c r="I6" s="86">
        <v>0.08</v>
      </c>
      <c r="J6" s="30">
        <f t="shared" si="2"/>
        <v>0</v>
      </c>
      <c r="K6" s="35">
        <f t="shared" si="3"/>
        <v>0</v>
      </c>
      <c r="L6" s="87">
        <f t="shared" si="3"/>
        <v>45674</v>
      </c>
      <c r="M6" s="88" t="s">
        <v>20</v>
      </c>
      <c r="N6" s="89">
        <f t="shared" si="4"/>
        <v>45659</v>
      </c>
      <c r="O6" s="35"/>
      <c r="P6" s="37" t="str">
        <f t="shared" si="5"/>
        <v/>
      </c>
      <c r="Q6" s="35"/>
      <c r="R6" s="25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</row>
    <row r="7" spans="1:41" ht="13.8" x14ac:dyDescent="0.25">
      <c r="A7" s="22">
        <f t="shared" si="0"/>
        <v>4</v>
      </c>
      <c r="B7" s="29" t="s">
        <v>264</v>
      </c>
      <c r="C7" s="24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90" t="s">
        <v>27</v>
      </c>
      <c r="E7" s="26" t="str">
        <f t="shared" si="1"/>
        <v>004/ST/2025</v>
      </c>
      <c r="F7" s="31">
        <v>45659</v>
      </c>
      <c r="G7" s="36" t="s">
        <v>261</v>
      </c>
      <c r="H7" s="30">
        <v>2000000</v>
      </c>
      <c r="I7" s="86">
        <v>0.08</v>
      </c>
      <c r="J7" s="30">
        <f t="shared" si="2"/>
        <v>160000</v>
      </c>
      <c r="K7" s="35">
        <f t="shared" si="3"/>
        <v>2160000</v>
      </c>
      <c r="L7" s="87">
        <f t="shared" si="3"/>
        <v>45674</v>
      </c>
      <c r="M7" s="88" t="s">
        <v>20</v>
      </c>
      <c r="N7" s="89">
        <f t="shared" si="4"/>
        <v>45659</v>
      </c>
      <c r="O7" s="35"/>
      <c r="P7" s="37" t="str">
        <f t="shared" si="5"/>
        <v/>
      </c>
      <c r="Q7" s="35"/>
      <c r="R7" s="41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</row>
    <row r="8" spans="1:41" ht="13.8" x14ac:dyDescent="0.25">
      <c r="A8" s="22"/>
      <c r="B8" s="91"/>
      <c r="C8" s="45"/>
      <c r="D8" s="95"/>
      <c r="E8" s="39"/>
      <c r="F8" s="94"/>
      <c r="G8" s="44"/>
      <c r="H8" s="35"/>
      <c r="I8" s="42"/>
      <c r="J8" s="35"/>
      <c r="K8" s="35"/>
      <c r="L8" s="87"/>
      <c r="M8" s="22"/>
      <c r="N8" s="89"/>
      <c r="O8" s="35"/>
      <c r="P8" s="37"/>
      <c r="Q8" s="35"/>
      <c r="R8" s="41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spans="1:41" ht="13.8" x14ac:dyDescent="0.25">
      <c r="A9" s="22"/>
      <c r="B9" s="91"/>
      <c r="C9" s="45"/>
      <c r="D9" s="95"/>
      <c r="E9" s="39"/>
      <c r="F9" s="94"/>
      <c r="G9" s="44"/>
      <c r="H9" s="35"/>
      <c r="I9" s="42"/>
      <c r="J9" s="35"/>
      <c r="K9" s="35"/>
      <c r="L9" s="87"/>
      <c r="M9" s="22"/>
      <c r="N9" s="89"/>
      <c r="O9" s="35"/>
      <c r="P9" s="37"/>
      <c r="Q9" s="35"/>
      <c r="R9" s="41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</row>
    <row r="10" spans="1:41" ht="13.8" x14ac:dyDescent="0.25">
      <c r="A10" s="22"/>
      <c r="B10" s="91"/>
      <c r="C10" s="45"/>
      <c r="D10" s="95"/>
      <c r="E10" s="39"/>
      <c r="F10" s="94"/>
      <c r="G10" s="44"/>
      <c r="H10" s="35"/>
      <c r="I10" s="42"/>
      <c r="J10" s="35"/>
      <c r="K10" s="35"/>
      <c r="L10" s="87"/>
      <c r="M10" s="22"/>
      <c r="N10" s="89"/>
      <c r="O10" s="35"/>
      <c r="P10" s="37"/>
      <c r="Q10" s="35"/>
      <c r="R10" s="41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</row>
    <row r="11" spans="1:41" ht="13.8" x14ac:dyDescent="0.25">
      <c r="A11" s="22"/>
      <c r="B11" s="91"/>
      <c r="C11" s="45"/>
      <c r="D11" s="95"/>
      <c r="E11" s="39"/>
      <c r="F11" s="94"/>
      <c r="G11" s="44"/>
      <c r="H11" s="35"/>
      <c r="I11" s="42"/>
      <c r="J11" s="35"/>
      <c r="K11" s="35"/>
      <c r="L11" s="87"/>
      <c r="M11" s="22"/>
      <c r="N11" s="89"/>
      <c r="O11" s="35"/>
      <c r="P11" s="37"/>
      <c r="Q11" s="35"/>
      <c r="R11" s="41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</row>
    <row r="12" spans="1:41" ht="13.8" x14ac:dyDescent="0.25">
      <c r="A12" s="22"/>
      <c r="B12" s="91"/>
      <c r="C12" s="45"/>
      <c r="D12" s="95"/>
      <c r="E12" s="39"/>
      <c r="F12" s="94"/>
      <c r="G12" s="44"/>
      <c r="H12" s="35"/>
      <c r="I12" s="42"/>
      <c r="J12" s="35"/>
      <c r="K12" s="35"/>
      <c r="L12" s="87"/>
      <c r="M12" s="22"/>
      <c r="N12" s="89"/>
      <c r="O12" s="35"/>
      <c r="P12" s="37"/>
      <c r="Q12" s="35"/>
      <c r="R12" s="41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spans="1:41" ht="13.8" x14ac:dyDescent="0.25">
      <c r="A13" s="22"/>
      <c r="B13" s="91"/>
      <c r="C13" s="45"/>
      <c r="D13" s="95"/>
      <c r="E13" s="39"/>
      <c r="F13" s="94"/>
      <c r="G13" s="44"/>
      <c r="H13" s="35"/>
      <c r="I13" s="42"/>
      <c r="J13" s="35"/>
      <c r="K13" s="35"/>
      <c r="L13" s="87"/>
      <c r="M13" s="22"/>
      <c r="N13" s="89"/>
      <c r="O13" s="35"/>
      <c r="P13" s="37"/>
      <c r="Q13" s="35"/>
      <c r="R13" s="41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 spans="1:41" ht="13.8" x14ac:dyDescent="0.25">
      <c r="A14" s="22"/>
      <c r="B14" s="91"/>
      <c r="C14" s="45"/>
      <c r="D14" s="95"/>
      <c r="E14" s="39"/>
      <c r="F14" s="94"/>
      <c r="G14" s="44"/>
      <c r="H14" s="35"/>
      <c r="I14" s="42"/>
      <c r="J14" s="35"/>
      <c r="K14" s="35"/>
      <c r="L14" s="87"/>
      <c r="M14" s="22"/>
      <c r="N14" s="89"/>
      <c r="O14" s="35"/>
      <c r="P14" s="37"/>
      <c r="Q14" s="35"/>
      <c r="R14" s="41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spans="1:41" ht="13.8" x14ac:dyDescent="0.25">
      <c r="A15" s="22"/>
      <c r="B15" s="91"/>
      <c r="C15" s="45"/>
      <c r="D15" s="95"/>
      <c r="E15" s="39"/>
      <c r="F15" s="94"/>
      <c r="G15" s="44"/>
      <c r="H15" s="35"/>
      <c r="I15" s="42"/>
      <c r="J15" s="35"/>
      <c r="K15" s="35"/>
      <c r="L15" s="87"/>
      <c r="M15" s="22"/>
      <c r="N15" s="89"/>
      <c r="O15" s="35"/>
      <c r="P15" s="37"/>
      <c r="Q15" s="35"/>
      <c r="R15" s="41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</row>
    <row r="16" spans="1:41" ht="13.8" x14ac:dyDescent="0.25">
      <c r="A16" s="22"/>
      <c r="B16" s="91"/>
      <c r="C16" s="45"/>
      <c r="D16" s="95"/>
      <c r="E16" s="39"/>
      <c r="F16" s="94"/>
      <c r="G16" s="44"/>
      <c r="H16" s="35"/>
      <c r="I16" s="42"/>
      <c r="J16" s="35"/>
      <c r="K16" s="35"/>
      <c r="L16" s="87"/>
      <c r="M16" s="22"/>
      <c r="N16" s="89"/>
      <c r="O16" s="35"/>
      <c r="P16" s="37"/>
      <c r="Q16" s="35"/>
      <c r="R16" s="41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</row>
    <row r="17" spans="1:41" ht="13.8" x14ac:dyDescent="0.25">
      <c r="A17" s="22"/>
      <c r="B17" s="91"/>
      <c r="C17" s="45"/>
      <c r="D17" s="95"/>
      <c r="E17" s="39"/>
      <c r="F17" s="94"/>
      <c r="G17" s="44"/>
      <c r="H17" s="35"/>
      <c r="I17" s="42"/>
      <c r="J17" s="35"/>
      <c r="K17" s="35"/>
      <c r="L17" s="87"/>
      <c r="M17" s="22"/>
      <c r="N17" s="89"/>
      <c r="O17" s="35"/>
      <c r="P17" s="37"/>
      <c r="Q17" s="35"/>
      <c r="R17" s="41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</row>
    <row r="18" spans="1:41" ht="13.8" x14ac:dyDescent="0.25">
      <c r="A18" s="22"/>
      <c r="B18" s="91"/>
      <c r="C18" s="45"/>
      <c r="D18" s="95"/>
      <c r="E18" s="39"/>
      <c r="F18" s="94"/>
      <c r="G18" s="44"/>
      <c r="H18" s="35"/>
      <c r="I18" s="42"/>
      <c r="J18" s="35"/>
      <c r="K18" s="35"/>
      <c r="L18" s="87"/>
      <c r="M18" s="22"/>
      <c r="N18" s="89"/>
      <c r="O18" s="35"/>
      <c r="P18" s="37"/>
      <c r="Q18" s="35"/>
      <c r="R18" s="41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</row>
    <row r="19" spans="1:41" ht="13.8" x14ac:dyDescent="0.25">
      <c r="A19" s="22"/>
      <c r="B19" s="91"/>
      <c r="C19" s="45"/>
      <c r="D19" s="95"/>
      <c r="E19" s="39"/>
      <c r="F19" s="94"/>
      <c r="G19" s="44"/>
      <c r="H19" s="35"/>
      <c r="I19" s="42"/>
      <c r="J19" s="35"/>
      <c r="K19" s="35"/>
      <c r="L19" s="87"/>
      <c r="M19" s="22"/>
      <c r="N19" s="89"/>
      <c r="O19" s="35"/>
      <c r="P19" s="37"/>
      <c r="Q19" s="35"/>
      <c r="R19" s="41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</row>
    <row r="20" spans="1:41" ht="13.8" x14ac:dyDescent="0.25">
      <c r="A20" s="22"/>
      <c r="B20" s="91"/>
      <c r="C20" s="45"/>
      <c r="D20" s="95"/>
      <c r="E20" s="39"/>
      <c r="F20" s="94"/>
      <c r="G20" s="44"/>
      <c r="H20" s="35"/>
      <c r="I20" s="42"/>
      <c r="J20" s="35"/>
      <c r="K20" s="35"/>
      <c r="L20" s="87"/>
      <c r="M20" s="22"/>
      <c r="N20" s="89"/>
      <c r="O20" s="35"/>
      <c r="P20" s="37"/>
      <c r="Q20" s="35"/>
      <c r="R20" s="41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</row>
    <row r="21" spans="1:41" ht="13.8" x14ac:dyDescent="0.25">
      <c r="A21" s="22"/>
      <c r="B21" s="91"/>
      <c r="C21" s="45"/>
      <c r="D21" s="95"/>
      <c r="E21" s="39"/>
      <c r="F21" s="94"/>
      <c r="G21" s="44"/>
      <c r="H21" s="35"/>
      <c r="I21" s="42"/>
      <c r="J21" s="35"/>
      <c r="K21" s="35"/>
      <c r="L21" s="87"/>
      <c r="M21" s="22"/>
      <c r="N21" s="89"/>
      <c r="O21" s="35"/>
      <c r="P21" s="37"/>
      <c r="Q21" s="35"/>
      <c r="R21" s="41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</row>
    <row r="22" spans="1:41" ht="13.8" x14ac:dyDescent="0.25">
      <c r="A22" s="22"/>
      <c r="B22" s="91"/>
      <c r="C22" s="45"/>
      <c r="D22" s="95"/>
      <c r="E22" s="39"/>
      <c r="F22" s="94"/>
      <c r="G22" s="44"/>
      <c r="H22" s="35"/>
      <c r="I22" s="42"/>
      <c r="J22" s="35"/>
      <c r="K22" s="35"/>
      <c r="L22" s="87"/>
      <c r="M22" s="22"/>
      <c r="N22" s="89"/>
      <c r="O22" s="35"/>
      <c r="P22" s="37"/>
      <c r="Q22" s="35"/>
      <c r="R22" s="41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</row>
    <row r="23" spans="1:41" ht="13.8" x14ac:dyDescent="0.25">
      <c r="A23" s="22"/>
      <c r="B23" s="91"/>
      <c r="C23" s="45"/>
      <c r="D23" s="95"/>
      <c r="E23" s="39"/>
      <c r="F23" s="94"/>
      <c r="G23" s="44"/>
      <c r="H23" s="35"/>
      <c r="I23" s="42"/>
      <c r="J23" s="35"/>
      <c r="K23" s="35"/>
      <c r="L23" s="87"/>
      <c r="M23" s="22"/>
      <c r="N23" s="89"/>
      <c r="O23" s="35"/>
      <c r="P23" s="37"/>
      <c r="Q23" s="35"/>
      <c r="R23" s="41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</row>
    <row r="24" spans="1:41" ht="13.8" x14ac:dyDescent="0.25">
      <c r="A24" s="22"/>
      <c r="B24" s="91"/>
      <c r="C24" s="45"/>
      <c r="D24" s="95"/>
      <c r="E24" s="39"/>
      <c r="F24" s="94"/>
      <c r="G24" s="44"/>
      <c r="H24" s="35"/>
      <c r="I24" s="42"/>
      <c r="J24" s="35"/>
      <c r="K24" s="35"/>
      <c r="L24" s="87"/>
      <c r="M24" s="22"/>
      <c r="N24" s="89"/>
      <c r="O24" s="35"/>
      <c r="P24" s="37"/>
      <c r="Q24" s="35"/>
      <c r="R24" s="41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</row>
    <row r="25" spans="1:41" ht="13.8" x14ac:dyDescent="0.25">
      <c r="A25" s="22"/>
      <c r="B25" s="91"/>
      <c r="C25" s="45"/>
      <c r="D25" s="95"/>
      <c r="E25" s="39"/>
      <c r="F25" s="94"/>
      <c r="G25" s="44"/>
      <c r="H25" s="35"/>
      <c r="I25" s="42"/>
      <c r="J25" s="35"/>
      <c r="K25" s="35"/>
      <c r="L25" s="87"/>
      <c r="M25" s="22"/>
      <c r="N25" s="89"/>
      <c r="O25" s="35"/>
      <c r="P25" s="37"/>
      <c r="Q25" s="35"/>
      <c r="R25" s="41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</row>
    <row r="26" spans="1:41" ht="13.8" x14ac:dyDescent="0.25">
      <c r="A26" s="22"/>
      <c r="B26" s="91"/>
      <c r="C26" s="45"/>
      <c r="D26" s="95"/>
      <c r="E26" s="39"/>
      <c r="F26" s="94"/>
      <c r="G26" s="44"/>
      <c r="H26" s="35"/>
      <c r="I26" s="42"/>
      <c r="J26" s="35"/>
      <c r="K26" s="35"/>
      <c r="L26" s="87"/>
      <c r="M26" s="22"/>
      <c r="N26" s="89"/>
      <c r="O26" s="35"/>
      <c r="P26" s="37"/>
      <c r="Q26" s="35"/>
      <c r="R26" s="41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spans="1:41" ht="13.8" x14ac:dyDescent="0.25">
      <c r="A27" s="22"/>
      <c r="B27" s="91"/>
      <c r="C27" s="45"/>
      <c r="D27" s="95"/>
      <c r="E27" s="39"/>
      <c r="F27" s="94"/>
      <c r="G27" s="44"/>
      <c r="H27" s="35"/>
      <c r="I27" s="42"/>
      <c r="J27" s="35"/>
      <c r="K27" s="35"/>
      <c r="L27" s="87"/>
      <c r="M27" s="22"/>
      <c r="N27" s="89"/>
      <c r="O27" s="35"/>
      <c r="P27" s="37"/>
      <c r="Q27" s="35"/>
      <c r="R27" s="41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 spans="1:41" ht="13.8" x14ac:dyDescent="0.25">
      <c r="A28" s="22"/>
      <c r="B28" s="91"/>
      <c r="C28" s="45"/>
      <c r="D28" s="95"/>
      <c r="E28" s="39"/>
      <c r="F28" s="94"/>
      <c r="G28" s="44"/>
      <c r="H28" s="35"/>
      <c r="I28" s="42"/>
      <c r="J28" s="35"/>
      <c r="K28" s="35"/>
      <c r="L28" s="87"/>
      <c r="M28" s="22"/>
      <c r="N28" s="89"/>
      <c r="O28" s="35"/>
      <c r="P28" s="37"/>
      <c r="Q28" s="35"/>
      <c r="R28" s="41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</row>
    <row r="29" spans="1:41" ht="13.8" x14ac:dyDescent="0.25">
      <c r="A29" s="22"/>
      <c r="B29" s="91"/>
      <c r="C29" s="45"/>
      <c r="D29" s="95"/>
      <c r="E29" s="39"/>
      <c r="F29" s="94"/>
      <c r="G29" s="44"/>
      <c r="H29" s="35"/>
      <c r="I29" s="42"/>
      <c r="J29" s="35"/>
      <c r="K29" s="35"/>
      <c r="L29" s="87"/>
      <c r="M29" s="22"/>
      <c r="N29" s="89"/>
      <c r="O29" s="35"/>
      <c r="P29" s="37"/>
      <c r="Q29" s="35"/>
      <c r="R29" s="41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</row>
    <row r="30" spans="1:41" ht="13.8" x14ac:dyDescent="0.25">
      <c r="A30" s="22"/>
      <c r="B30" s="91"/>
      <c r="C30" s="45"/>
      <c r="D30" s="95"/>
      <c r="E30" s="39"/>
      <c r="F30" s="94"/>
      <c r="G30" s="44"/>
      <c r="H30" s="35"/>
      <c r="I30" s="42"/>
      <c r="J30" s="35"/>
      <c r="K30" s="35"/>
      <c r="L30" s="87"/>
      <c r="M30" s="22"/>
      <c r="N30" s="89"/>
      <c r="O30" s="35"/>
      <c r="P30" s="37"/>
      <c r="Q30" s="35"/>
      <c r="R30" s="41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</row>
    <row r="31" spans="1:41" ht="13.8" x14ac:dyDescent="0.25">
      <c r="A31" s="22"/>
      <c r="B31" s="91"/>
      <c r="C31" s="45"/>
      <c r="D31" s="95"/>
      <c r="E31" s="39"/>
      <c r="F31" s="94"/>
      <c r="G31" s="44"/>
      <c r="H31" s="35"/>
      <c r="I31" s="42"/>
      <c r="J31" s="35"/>
      <c r="K31" s="35"/>
      <c r="L31" s="87"/>
      <c r="M31" s="22"/>
      <c r="N31" s="89"/>
      <c r="O31" s="35"/>
      <c r="P31" s="37"/>
      <c r="Q31" s="35"/>
      <c r="R31" s="41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</row>
    <row r="32" spans="1:41" ht="13.8" x14ac:dyDescent="0.25">
      <c r="A32" s="22"/>
      <c r="B32" s="91"/>
      <c r="C32" s="45"/>
      <c r="D32" s="95"/>
      <c r="E32" s="39"/>
      <c r="F32" s="94"/>
      <c r="G32" s="44"/>
      <c r="H32" s="35"/>
      <c r="I32" s="42"/>
      <c r="J32" s="35"/>
      <c r="K32" s="35"/>
      <c r="L32" s="87"/>
      <c r="M32" s="22"/>
      <c r="N32" s="89"/>
      <c r="O32" s="35"/>
      <c r="P32" s="37"/>
      <c r="Q32" s="35"/>
      <c r="R32" s="41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</row>
    <row r="33" spans="1:41" ht="13.8" x14ac:dyDescent="0.25">
      <c r="A33" s="22"/>
      <c r="B33" s="91"/>
      <c r="C33" s="45"/>
      <c r="D33" s="95"/>
      <c r="E33" s="39"/>
      <c r="F33" s="94"/>
      <c r="G33" s="44"/>
      <c r="H33" s="35"/>
      <c r="I33" s="42"/>
      <c r="J33" s="35"/>
      <c r="K33" s="35"/>
      <c r="L33" s="87"/>
      <c r="M33" s="22"/>
      <c r="N33" s="89"/>
      <c r="O33" s="35"/>
      <c r="P33" s="37"/>
      <c r="Q33" s="35"/>
      <c r="R33" s="41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</row>
    <row r="34" spans="1:41" ht="13.8" x14ac:dyDescent="0.25">
      <c r="A34" s="22"/>
      <c r="B34" s="91"/>
      <c r="C34" s="45"/>
      <c r="D34" s="95"/>
      <c r="E34" s="39"/>
      <c r="F34" s="94"/>
      <c r="G34" s="44"/>
      <c r="H34" s="35"/>
      <c r="I34" s="42"/>
      <c r="J34" s="35"/>
      <c r="K34" s="35"/>
      <c r="L34" s="87"/>
      <c r="M34" s="22"/>
      <c r="N34" s="89"/>
      <c r="O34" s="35"/>
      <c r="P34" s="37"/>
      <c r="Q34" s="35"/>
      <c r="R34" s="41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</row>
    <row r="35" spans="1:41" ht="13.8" x14ac:dyDescent="0.25">
      <c r="A35" s="22"/>
      <c r="B35" s="91"/>
      <c r="C35" s="45"/>
      <c r="D35" s="95"/>
      <c r="E35" s="39"/>
      <c r="F35" s="94"/>
      <c r="G35" s="44"/>
      <c r="H35" s="35"/>
      <c r="I35" s="42"/>
      <c r="J35" s="35"/>
      <c r="K35" s="35"/>
      <c r="L35" s="87"/>
      <c r="M35" s="22"/>
      <c r="N35" s="89"/>
      <c r="O35" s="35"/>
      <c r="P35" s="37"/>
      <c r="Q35" s="35"/>
      <c r="R35" s="41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</row>
    <row r="36" spans="1:41" ht="13.8" x14ac:dyDescent="0.25">
      <c r="A36" s="22"/>
      <c r="B36" s="91"/>
      <c r="C36" s="45"/>
      <c r="D36" s="95"/>
      <c r="E36" s="39"/>
      <c r="F36" s="94"/>
      <c r="G36" s="44"/>
      <c r="H36" s="35"/>
      <c r="I36" s="42"/>
      <c r="J36" s="35"/>
      <c r="K36" s="35"/>
      <c r="L36" s="87"/>
      <c r="M36" s="22"/>
      <c r="N36" s="89"/>
      <c r="O36" s="35"/>
      <c r="P36" s="37"/>
      <c r="Q36" s="35"/>
      <c r="R36" s="41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</row>
    <row r="37" spans="1:41" ht="13.8" x14ac:dyDescent="0.25">
      <c r="A37" s="22"/>
      <c r="B37" s="91"/>
      <c r="C37" s="45"/>
      <c r="D37" s="95"/>
      <c r="E37" s="39"/>
      <c r="F37" s="94"/>
      <c r="G37" s="44"/>
      <c r="H37" s="35"/>
      <c r="I37" s="42"/>
      <c r="J37" s="35"/>
      <c r="K37" s="35"/>
      <c r="L37" s="87"/>
      <c r="M37" s="22"/>
      <c r="N37" s="89"/>
      <c r="O37" s="35"/>
      <c r="P37" s="37"/>
      <c r="Q37" s="35"/>
      <c r="R37" s="41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</row>
    <row r="38" spans="1:41" ht="13.8" x14ac:dyDescent="0.25">
      <c r="A38" s="22"/>
      <c r="B38" s="91"/>
      <c r="C38" s="45"/>
      <c r="D38" s="95"/>
      <c r="E38" s="39"/>
      <c r="F38" s="94"/>
      <c r="G38" s="44"/>
      <c r="H38" s="35"/>
      <c r="I38" s="42"/>
      <c r="J38" s="35"/>
      <c r="K38" s="35"/>
      <c r="L38" s="87"/>
      <c r="M38" s="22"/>
      <c r="N38" s="89"/>
      <c r="O38" s="35"/>
      <c r="P38" s="37"/>
      <c r="Q38" s="35"/>
      <c r="R38" s="41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</row>
    <row r="39" spans="1:41" ht="13.8" x14ac:dyDescent="0.25">
      <c r="A39" s="22"/>
      <c r="B39" s="91"/>
      <c r="C39" s="45"/>
      <c r="D39" s="95"/>
      <c r="E39" s="39"/>
      <c r="F39" s="94"/>
      <c r="G39" s="44"/>
      <c r="H39" s="35"/>
      <c r="I39" s="42"/>
      <c r="J39" s="35"/>
      <c r="K39" s="35"/>
      <c r="L39" s="87"/>
      <c r="M39" s="22"/>
      <c r="N39" s="89"/>
      <c r="O39" s="35"/>
      <c r="P39" s="37"/>
      <c r="Q39" s="35"/>
      <c r="R39" s="41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</row>
    <row r="40" spans="1:41" ht="13.8" x14ac:dyDescent="0.25">
      <c r="A40" s="22"/>
      <c r="B40" s="91"/>
      <c r="C40" s="45"/>
      <c r="D40" s="95"/>
      <c r="E40" s="39"/>
      <c r="F40" s="94"/>
      <c r="G40" s="44"/>
      <c r="H40" s="35"/>
      <c r="I40" s="42"/>
      <c r="J40" s="35"/>
      <c r="K40" s="35"/>
      <c r="L40" s="87"/>
      <c r="M40" s="22"/>
      <c r="N40" s="89"/>
      <c r="O40" s="35"/>
      <c r="P40" s="37"/>
      <c r="Q40" s="35"/>
      <c r="R40" s="41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</row>
    <row r="41" spans="1:41" ht="13.8" x14ac:dyDescent="0.25">
      <c r="A41" s="22"/>
      <c r="B41" s="91"/>
      <c r="C41" s="45"/>
      <c r="D41" s="95"/>
      <c r="E41" s="39"/>
      <c r="F41" s="94"/>
      <c r="G41" s="44"/>
      <c r="H41" s="35"/>
      <c r="I41" s="42"/>
      <c r="J41" s="35"/>
      <c r="K41" s="35"/>
      <c r="L41" s="87"/>
      <c r="M41" s="22"/>
      <c r="N41" s="89"/>
      <c r="O41" s="35"/>
      <c r="P41" s="37"/>
      <c r="Q41" s="35"/>
      <c r="R41" s="41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</row>
    <row r="42" spans="1:41" ht="13.8" x14ac:dyDescent="0.25">
      <c r="A42" s="22"/>
      <c r="B42" s="91"/>
      <c r="C42" s="45"/>
      <c r="D42" s="95"/>
      <c r="E42" s="39"/>
      <c r="F42" s="94"/>
      <c r="G42" s="44"/>
      <c r="H42" s="35"/>
      <c r="I42" s="42"/>
      <c r="J42" s="35"/>
      <c r="K42" s="35"/>
      <c r="L42" s="87"/>
      <c r="M42" s="22"/>
      <c r="N42" s="89"/>
      <c r="O42" s="35"/>
      <c r="P42" s="37"/>
      <c r="Q42" s="35"/>
      <c r="R42" s="41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spans="1:41" ht="13.8" x14ac:dyDescent="0.25">
      <c r="A43" s="22"/>
      <c r="B43" s="91"/>
      <c r="C43" s="45"/>
      <c r="D43" s="95"/>
      <c r="E43" s="39"/>
      <c r="F43" s="94"/>
      <c r="G43" s="44"/>
      <c r="H43" s="35"/>
      <c r="I43" s="42"/>
      <c r="J43" s="35"/>
      <c r="K43" s="35"/>
      <c r="L43" s="87"/>
      <c r="M43" s="22"/>
      <c r="N43" s="89"/>
      <c r="O43" s="35"/>
      <c r="P43" s="37"/>
      <c r="Q43" s="35"/>
      <c r="R43" s="41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</row>
    <row r="44" spans="1:41" ht="13.8" x14ac:dyDescent="0.25">
      <c r="A44" s="22"/>
      <c r="B44" s="91"/>
      <c r="C44" s="45"/>
      <c r="D44" s="95"/>
      <c r="E44" s="39"/>
      <c r="F44" s="94"/>
      <c r="G44" s="44"/>
      <c r="H44" s="35"/>
      <c r="I44" s="42"/>
      <c r="J44" s="35"/>
      <c r="K44" s="35"/>
      <c r="L44" s="87"/>
      <c r="M44" s="22"/>
      <c r="N44" s="89"/>
      <c r="O44" s="35"/>
      <c r="P44" s="37"/>
      <c r="Q44" s="35"/>
      <c r="R44" s="41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</row>
    <row r="45" spans="1:41" ht="13.8" x14ac:dyDescent="0.25">
      <c r="A45" s="22"/>
      <c r="B45" s="91"/>
      <c r="C45" s="45"/>
      <c r="D45" s="95"/>
      <c r="E45" s="39"/>
      <c r="F45" s="94"/>
      <c r="G45" s="44"/>
      <c r="H45" s="35"/>
      <c r="I45" s="42"/>
      <c r="J45" s="35"/>
      <c r="K45" s="35"/>
      <c r="L45" s="87"/>
      <c r="M45" s="22"/>
      <c r="N45" s="89"/>
      <c r="O45" s="35"/>
      <c r="P45" s="37"/>
      <c r="Q45" s="35"/>
      <c r="R45" s="41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</row>
    <row r="46" spans="1:41" ht="13.8" x14ac:dyDescent="0.25">
      <c r="A46" s="22"/>
      <c r="B46" s="91"/>
      <c r="C46" s="45"/>
      <c r="D46" s="95"/>
      <c r="E46" s="39"/>
      <c r="F46" s="94"/>
      <c r="G46" s="44"/>
      <c r="H46" s="35"/>
      <c r="I46" s="42"/>
      <c r="J46" s="35"/>
      <c r="K46" s="35"/>
      <c r="L46" s="87"/>
      <c r="M46" s="22"/>
      <c r="N46" s="89"/>
      <c r="O46" s="35"/>
      <c r="P46" s="37"/>
      <c r="Q46" s="35"/>
      <c r="R46" s="41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</row>
    <row r="47" spans="1:41" ht="13.8" x14ac:dyDescent="0.25">
      <c r="A47" s="22"/>
      <c r="B47" s="91"/>
      <c r="C47" s="45"/>
      <c r="D47" s="95"/>
      <c r="E47" s="39"/>
      <c r="F47" s="94"/>
      <c r="G47" s="44"/>
      <c r="H47" s="35"/>
      <c r="I47" s="42"/>
      <c r="J47" s="35"/>
      <c r="K47" s="35"/>
      <c r="L47" s="87"/>
      <c r="M47" s="22"/>
      <c r="N47" s="89"/>
      <c r="O47" s="35"/>
      <c r="P47" s="37"/>
      <c r="Q47" s="35"/>
      <c r="R47" s="41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</row>
    <row r="48" spans="1:41" ht="13.8" x14ac:dyDescent="0.25">
      <c r="A48" s="22"/>
      <c r="B48" s="91"/>
      <c r="C48" s="45"/>
      <c r="D48" s="95"/>
      <c r="E48" s="39"/>
      <c r="F48" s="94"/>
      <c r="G48" s="44"/>
      <c r="H48" s="35"/>
      <c r="I48" s="42"/>
      <c r="J48" s="35"/>
      <c r="K48" s="35"/>
      <c r="L48" s="87"/>
      <c r="M48" s="22"/>
      <c r="N48" s="89"/>
      <c r="O48" s="35"/>
      <c r="P48" s="37"/>
      <c r="Q48" s="35"/>
      <c r="R48" s="41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</row>
    <row r="49" spans="1:41" ht="13.8" x14ac:dyDescent="0.25">
      <c r="A49" s="22"/>
      <c r="B49" s="91"/>
      <c r="C49" s="45"/>
      <c r="D49" s="95"/>
      <c r="E49" s="39"/>
      <c r="F49" s="94"/>
      <c r="G49" s="44"/>
      <c r="H49" s="35"/>
      <c r="I49" s="42"/>
      <c r="J49" s="35"/>
      <c r="K49" s="35"/>
      <c r="L49" s="87"/>
      <c r="M49" s="22"/>
      <c r="N49" s="89"/>
      <c r="O49" s="35"/>
      <c r="P49" s="37"/>
      <c r="Q49" s="35"/>
      <c r="R49" s="41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</row>
    <row r="50" spans="1:41" ht="13.8" x14ac:dyDescent="0.25">
      <c r="A50" s="22"/>
      <c r="B50" s="91"/>
      <c r="C50" s="45"/>
      <c r="D50" s="95"/>
      <c r="E50" s="39"/>
      <c r="F50" s="94"/>
      <c r="G50" s="44"/>
      <c r="H50" s="35"/>
      <c r="I50" s="42"/>
      <c r="J50" s="35"/>
      <c r="K50" s="35"/>
      <c r="L50" s="87"/>
      <c r="M50" s="22"/>
      <c r="N50" s="89"/>
      <c r="O50" s="35"/>
      <c r="P50" s="37"/>
      <c r="Q50" s="35"/>
      <c r="R50" s="41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</row>
    <row r="51" spans="1:41" ht="13.8" x14ac:dyDescent="0.25">
      <c r="A51" s="22"/>
      <c r="B51" s="91"/>
      <c r="C51" s="45"/>
      <c r="D51" s="95"/>
      <c r="E51" s="39"/>
      <c r="F51" s="94"/>
      <c r="G51" s="44"/>
      <c r="H51" s="35"/>
      <c r="I51" s="42"/>
      <c r="J51" s="35"/>
      <c r="K51" s="35"/>
      <c r="L51" s="87"/>
      <c r="M51" s="22"/>
      <c r="N51" s="89"/>
      <c r="O51" s="35"/>
      <c r="P51" s="37"/>
      <c r="Q51" s="35"/>
      <c r="R51" s="41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</row>
    <row r="52" spans="1:41" ht="13.8" x14ac:dyDescent="0.25">
      <c r="A52" s="22"/>
      <c r="B52" s="91"/>
      <c r="C52" s="45"/>
      <c r="D52" s="95"/>
      <c r="E52" s="39"/>
      <c r="F52" s="94"/>
      <c r="G52" s="44"/>
      <c r="H52" s="35"/>
      <c r="I52" s="42"/>
      <c r="J52" s="35"/>
      <c r="K52" s="35"/>
      <c r="L52" s="87"/>
      <c r="M52" s="22"/>
      <c r="N52" s="89"/>
      <c r="O52" s="35"/>
      <c r="P52" s="37"/>
      <c r="Q52" s="35"/>
      <c r="R52" s="41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  <row r="53" spans="1:41" ht="13.8" x14ac:dyDescent="0.25">
      <c r="A53" s="22"/>
      <c r="B53" s="91"/>
      <c r="C53" s="45"/>
      <c r="D53" s="95"/>
      <c r="E53" s="39"/>
      <c r="F53" s="94"/>
      <c r="G53" s="44"/>
      <c r="H53" s="35"/>
      <c r="I53" s="42"/>
      <c r="J53" s="35"/>
      <c r="K53" s="35"/>
      <c r="L53" s="87"/>
      <c r="M53" s="22"/>
      <c r="N53" s="89"/>
      <c r="O53" s="35"/>
      <c r="P53" s="37"/>
      <c r="Q53" s="35"/>
      <c r="R53" s="41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</row>
    <row r="54" spans="1:41" ht="13.8" x14ac:dyDescent="0.25">
      <c r="A54" s="22"/>
      <c r="B54" s="91"/>
      <c r="C54" s="45"/>
      <c r="D54" s="95"/>
      <c r="E54" s="39"/>
      <c r="F54" s="94"/>
      <c r="G54" s="44"/>
      <c r="H54" s="35"/>
      <c r="I54" s="42"/>
      <c r="J54" s="35"/>
      <c r="K54" s="35"/>
      <c r="L54" s="87"/>
      <c r="M54" s="22"/>
      <c r="N54" s="89"/>
      <c r="O54" s="35"/>
      <c r="P54" s="37"/>
      <c r="Q54" s="35"/>
      <c r="R54" s="41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</row>
    <row r="55" spans="1:41" ht="13.8" x14ac:dyDescent="0.25">
      <c r="A55" s="22"/>
      <c r="B55" s="91"/>
      <c r="C55" s="45"/>
      <c r="D55" s="95"/>
      <c r="E55" s="39"/>
      <c r="F55" s="94"/>
      <c r="G55" s="44"/>
      <c r="H55" s="35"/>
      <c r="I55" s="42"/>
      <c r="J55" s="35"/>
      <c r="K55" s="35"/>
      <c r="L55" s="87"/>
      <c r="M55" s="22"/>
      <c r="N55" s="89"/>
      <c r="O55" s="35"/>
      <c r="P55" s="37"/>
      <c r="Q55" s="35"/>
      <c r="R55" s="41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</row>
    <row r="56" spans="1:41" ht="13.8" x14ac:dyDescent="0.25">
      <c r="A56" s="22"/>
      <c r="B56" s="91"/>
      <c r="C56" s="45"/>
      <c r="D56" s="95"/>
      <c r="E56" s="39"/>
      <c r="F56" s="94"/>
      <c r="G56" s="44"/>
      <c r="H56" s="35"/>
      <c r="I56" s="42"/>
      <c r="J56" s="35"/>
      <c r="K56" s="35"/>
      <c r="L56" s="87"/>
      <c r="M56" s="22"/>
      <c r="N56" s="89"/>
      <c r="O56" s="35"/>
      <c r="P56" s="37"/>
      <c r="Q56" s="35"/>
      <c r="R56" s="41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</row>
    <row r="57" spans="1:41" ht="13.8" x14ac:dyDescent="0.25">
      <c r="A57" s="22"/>
      <c r="B57" s="91"/>
      <c r="C57" s="45"/>
      <c r="D57" s="95"/>
      <c r="E57" s="39"/>
      <c r="F57" s="94"/>
      <c r="G57" s="44"/>
      <c r="H57" s="35"/>
      <c r="I57" s="42"/>
      <c r="J57" s="35"/>
      <c r="K57" s="35"/>
      <c r="L57" s="87"/>
      <c r="M57" s="22"/>
      <c r="N57" s="89"/>
      <c r="O57" s="35"/>
      <c r="P57" s="37"/>
      <c r="Q57" s="35"/>
      <c r="R57" s="41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</row>
    <row r="58" spans="1:41" ht="13.8" x14ac:dyDescent="0.25">
      <c r="A58" s="22"/>
      <c r="B58" s="91"/>
      <c r="C58" s="45"/>
      <c r="D58" s="95"/>
      <c r="E58" s="39"/>
      <c r="F58" s="94"/>
      <c r="G58" s="44"/>
      <c r="H58" s="35"/>
      <c r="I58" s="42"/>
      <c r="J58" s="35"/>
      <c r="K58" s="35"/>
      <c r="L58" s="87"/>
      <c r="M58" s="22"/>
      <c r="N58" s="89"/>
      <c r="O58" s="35"/>
      <c r="P58" s="37"/>
      <c r="Q58" s="35"/>
      <c r="R58" s="41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</row>
    <row r="59" spans="1:41" ht="13.8" x14ac:dyDescent="0.25">
      <c r="A59" s="22"/>
      <c r="B59" s="91"/>
      <c r="C59" s="45"/>
      <c r="D59" s="95"/>
      <c r="E59" s="39"/>
      <c r="F59" s="94"/>
      <c r="G59" s="44"/>
      <c r="H59" s="35"/>
      <c r="I59" s="42"/>
      <c r="J59" s="35"/>
      <c r="K59" s="35"/>
      <c r="L59" s="87"/>
      <c r="M59" s="22"/>
      <c r="N59" s="89"/>
      <c r="O59" s="35"/>
      <c r="P59" s="37"/>
      <c r="Q59" s="35"/>
      <c r="R59" s="41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</row>
    <row r="60" spans="1:41" ht="13.8" x14ac:dyDescent="0.25">
      <c r="A60" s="22"/>
      <c r="B60" s="91"/>
      <c r="C60" s="45"/>
      <c r="D60" s="95"/>
      <c r="E60" s="39"/>
      <c r="F60" s="94"/>
      <c r="G60" s="44"/>
      <c r="H60" s="35"/>
      <c r="I60" s="42"/>
      <c r="J60" s="35"/>
      <c r="K60" s="35"/>
      <c r="L60" s="87"/>
      <c r="M60" s="22"/>
      <c r="N60" s="89"/>
      <c r="O60" s="35"/>
      <c r="P60" s="37"/>
      <c r="Q60" s="35"/>
      <c r="R60" s="41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</row>
    <row r="61" spans="1:41" ht="13.8" x14ac:dyDescent="0.25">
      <c r="A61" s="22"/>
      <c r="B61" s="91"/>
      <c r="C61" s="45"/>
      <c r="D61" s="95"/>
      <c r="E61" s="39"/>
      <c r="F61" s="94"/>
      <c r="G61" s="44"/>
      <c r="H61" s="35"/>
      <c r="I61" s="42"/>
      <c r="J61" s="35"/>
      <c r="K61" s="35"/>
      <c r="L61" s="87"/>
      <c r="M61" s="22"/>
      <c r="N61" s="89"/>
      <c r="O61" s="35"/>
      <c r="P61" s="37"/>
      <c r="Q61" s="35"/>
      <c r="R61" s="41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</row>
    <row r="62" spans="1:41" ht="13.8" x14ac:dyDescent="0.25">
      <c r="A62" s="22"/>
      <c r="B62" s="91"/>
      <c r="C62" s="45"/>
      <c r="D62" s="95"/>
      <c r="E62" s="39"/>
      <c r="F62" s="94"/>
      <c r="G62" s="44"/>
      <c r="H62" s="35"/>
      <c r="I62" s="42"/>
      <c r="J62" s="35"/>
      <c r="K62" s="35"/>
      <c r="L62" s="87"/>
      <c r="M62" s="22"/>
      <c r="N62" s="89"/>
      <c r="O62" s="35"/>
      <c r="P62" s="37"/>
      <c r="Q62" s="35"/>
      <c r="R62" s="41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</row>
    <row r="63" spans="1:41" ht="13.8" x14ac:dyDescent="0.25">
      <c r="A63" s="22"/>
      <c r="B63" s="91"/>
      <c r="C63" s="45"/>
      <c r="D63" s="95"/>
      <c r="E63" s="39"/>
      <c r="F63" s="94"/>
      <c r="G63" s="44"/>
      <c r="H63" s="35"/>
      <c r="I63" s="42"/>
      <c r="J63" s="35"/>
      <c r="K63" s="35"/>
      <c r="L63" s="87"/>
      <c r="M63" s="22"/>
      <c r="N63" s="89"/>
      <c r="O63" s="35"/>
      <c r="P63" s="37"/>
      <c r="Q63" s="35"/>
      <c r="R63" s="41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</row>
    <row r="64" spans="1:41" ht="13.8" x14ac:dyDescent="0.25">
      <c r="A64" s="22"/>
      <c r="B64" s="91"/>
      <c r="C64" s="45"/>
      <c r="D64" s="95"/>
      <c r="E64" s="39"/>
      <c r="F64" s="94"/>
      <c r="G64" s="44"/>
      <c r="H64" s="35"/>
      <c r="I64" s="42"/>
      <c r="J64" s="35"/>
      <c r="K64" s="35"/>
      <c r="L64" s="87"/>
      <c r="M64" s="22"/>
      <c r="N64" s="89"/>
      <c r="O64" s="35"/>
      <c r="P64" s="37"/>
      <c r="Q64" s="35"/>
      <c r="R64" s="41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</row>
    <row r="65" spans="1:41" ht="13.8" x14ac:dyDescent="0.25">
      <c r="A65" s="22"/>
      <c r="B65" s="91"/>
      <c r="C65" s="45"/>
      <c r="D65" s="95"/>
      <c r="E65" s="39"/>
      <c r="F65" s="94"/>
      <c r="G65" s="44"/>
      <c r="H65" s="35"/>
      <c r="I65" s="42"/>
      <c r="J65" s="35"/>
      <c r="K65" s="35"/>
      <c r="L65" s="87"/>
      <c r="M65" s="22"/>
      <c r="N65" s="89"/>
      <c r="O65" s="35"/>
      <c r="P65" s="37"/>
      <c r="Q65" s="35"/>
      <c r="R65" s="41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</row>
    <row r="66" spans="1:41" ht="13.8" x14ac:dyDescent="0.25">
      <c r="A66" s="22"/>
      <c r="B66" s="91"/>
      <c r="C66" s="45"/>
      <c r="D66" s="95"/>
      <c r="E66" s="39"/>
      <c r="F66" s="94"/>
      <c r="G66" s="44"/>
      <c r="H66" s="35"/>
      <c r="I66" s="42"/>
      <c r="J66" s="35"/>
      <c r="K66" s="35"/>
      <c r="L66" s="87"/>
      <c r="M66" s="22"/>
      <c r="N66" s="89"/>
      <c r="O66" s="35"/>
      <c r="P66" s="37"/>
      <c r="Q66" s="35"/>
      <c r="R66" s="41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</row>
    <row r="67" spans="1:41" ht="13.8" x14ac:dyDescent="0.25">
      <c r="A67" s="22"/>
      <c r="B67" s="91"/>
      <c r="C67" s="45"/>
      <c r="D67" s="95"/>
      <c r="E67" s="39"/>
      <c r="F67" s="94"/>
      <c r="G67" s="44"/>
      <c r="H67" s="35"/>
      <c r="I67" s="42"/>
      <c r="J67" s="35"/>
      <c r="K67" s="35"/>
      <c r="L67" s="87"/>
      <c r="M67" s="22"/>
      <c r="N67" s="89"/>
      <c r="O67" s="35"/>
      <c r="P67" s="37"/>
      <c r="Q67" s="35"/>
      <c r="R67" s="41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</row>
    <row r="68" spans="1:41" ht="13.8" x14ac:dyDescent="0.25">
      <c r="A68" s="22"/>
      <c r="B68" s="91"/>
      <c r="C68" s="45"/>
      <c r="D68" s="95"/>
      <c r="E68" s="39"/>
      <c r="F68" s="94"/>
      <c r="G68" s="44"/>
      <c r="H68" s="35"/>
      <c r="I68" s="42"/>
      <c r="J68" s="35"/>
      <c r="K68" s="35"/>
      <c r="L68" s="87"/>
      <c r="M68" s="22"/>
      <c r="N68" s="89"/>
      <c r="O68" s="35"/>
      <c r="P68" s="37"/>
      <c r="Q68" s="35"/>
      <c r="R68" s="41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</row>
    <row r="69" spans="1:41" ht="13.8" x14ac:dyDescent="0.25">
      <c r="A69" s="22"/>
      <c r="B69" s="91"/>
      <c r="C69" s="45"/>
      <c r="D69" s="95"/>
      <c r="E69" s="39"/>
      <c r="F69" s="94"/>
      <c r="G69" s="44"/>
      <c r="H69" s="35"/>
      <c r="I69" s="42"/>
      <c r="J69" s="35"/>
      <c r="K69" s="35"/>
      <c r="L69" s="87"/>
      <c r="M69" s="22"/>
      <c r="N69" s="89"/>
      <c r="O69" s="35"/>
      <c r="P69" s="37"/>
      <c r="Q69" s="35"/>
      <c r="R69" s="41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</row>
    <row r="70" spans="1:41" ht="13.8" x14ac:dyDescent="0.25">
      <c r="A70" s="22"/>
      <c r="B70" s="91"/>
      <c r="C70" s="45"/>
      <c r="D70" s="95"/>
      <c r="E70" s="39"/>
      <c r="F70" s="94"/>
      <c r="G70" s="44"/>
      <c r="H70" s="35"/>
      <c r="I70" s="42"/>
      <c r="J70" s="35"/>
      <c r="K70" s="35"/>
      <c r="L70" s="87"/>
      <c r="M70" s="22"/>
      <c r="N70" s="89"/>
      <c r="O70" s="35"/>
      <c r="P70" s="37"/>
      <c r="Q70" s="35"/>
      <c r="R70" s="41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</row>
    <row r="71" spans="1:41" ht="13.8" x14ac:dyDescent="0.25">
      <c r="A71" s="22"/>
      <c r="B71" s="91"/>
      <c r="C71" s="45"/>
      <c r="D71" s="95"/>
      <c r="E71" s="39"/>
      <c r="F71" s="94"/>
      <c r="G71" s="44"/>
      <c r="H71" s="35"/>
      <c r="I71" s="42"/>
      <c r="J71" s="35"/>
      <c r="K71" s="35"/>
      <c r="L71" s="87"/>
      <c r="M71" s="22"/>
      <c r="N71" s="89"/>
      <c r="O71" s="35"/>
      <c r="P71" s="37"/>
      <c r="Q71" s="35"/>
      <c r="R71" s="41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</row>
    <row r="72" spans="1:41" ht="13.8" x14ac:dyDescent="0.25">
      <c r="A72" s="22"/>
      <c r="B72" s="91"/>
      <c r="C72" s="45"/>
      <c r="D72" s="95"/>
      <c r="E72" s="39"/>
      <c r="F72" s="94"/>
      <c r="G72" s="44"/>
      <c r="H72" s="35"/>
      <c r="I72" s="42"/>
      <c r="J72" s="35"/>
      <c r="K72" s="35"/>
      <c r="L72" s="87"/>
      <c r="M72" s="22"/>
      <c r="N72" s="89"/>
      <c r="O72" s="35"/>
      <c r="P72" s="37"/>
      <c r="Q72" s="35"/>
      <c r="R72" s="41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</row>
    <row r="73" spans="1:41" ht="13.8" x14ac:dyDescent="0.25">
      <c r="A73" s="22"/>
      <c r="B73" s="91"/>
      <c r="C73" s="45"/>
      <c r="D73" s="95"/>
      <c r="E73" s="39"/>
      <c r="F73" s="94"/>
      <c r="G73" s="44"/>
      <c r="H73" s="35"/>
      <c r="I73" s="42"/>
      <c r="J73" s="35"/>
      <c r="K73" s="35"/>
      <c r="L73" s="87"/>
      <c r="M73" s="22"/>
      <c r="N73" s="89"/>
      <c r="O73" s="35"/>
      <c r="P73" s="37"/>
      <c r="Q73" s="35"/>
      <c r="R73" s="41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</row>
    <row r="74" spans="1:41" ht="13.8" x14ac:dyDescent="0.25">
      <c r="A74" s="22"/>
      <c r="B74" s="91"/>
      <c r="C74" s="45"/>
      <c r="D74" s="95"/>
      <c r="E74" s="39"/>
      <c r="F74" s="94"/>
      <c r="G74" s="44"/>
      <c r="H74" s="35"/>
      <c r="I74" s="42"/>
      <c r="J74" s="35"/>
      <c r="K74" s="35"/>
      <c r="L74" s="87"/>
      <c r="M74" s="22"/>
      <c r="N74" s="89"/>
      <c r="O74" s="35"/>
      <c r="P74" s="37"/>
      <c r="Q74" s="35"/>
      <c r="R74" s="41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</row>
    <row r="75" spans="1:41" ht="13.8" x14ac:dyDescent="0.25">
      <c r="A75" s="22"/>
      <c r="B75" s="91"/>
      <c r="C75" s="45"/>
      <c r="D75" s="95"/>
      <c r="E75" s="39"/>
      <c r="F75" s="94"/>
      <c r="G75" s="44"/>
      <c r="H75" s="35"/>
      <c r="I75" s="42"/>
      <c r="J75" s="35"/>
      <c r="K75" s="35"/>
      <c r="L75" s="87"/>
      <c r="M75" s="22"/>
      <c r="N75" s="89"/>
      <c r="O75" s="35"/>
      <c r="P75" s="37"/>
      <c r="Q75" s="35"/>
      <c r="R75" s="41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</row>
    <row r="76" spans="1:41" ht="13.8" x14ac:dyDescent="0.25">
      <c r="A76" s="22"/>
      <c r="B76" s="91"/>
      <c r="C76" s="45"/>
      <c r="D76" s="95"/>
      <c r="E76" s="39"/>
      <c r="F76" s="94"/>
      <c r="G76" s="44"/>
      <c r="H76" s="35"/>
      <c r="I76" s="42"/>
      <c r="J76" s="35"/>
      <c r="K76" s="35"/>
      <c r="L76" s="87"/>
      <c r="M76" s="22"/>
      <c r="N76" s="89"/>
      <c r="O76" s="35"/>
      <c r="P76" s="37"/>
      <c r="Q76" s="35"/>
      <c r="R76" s="41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</row>
    <row r="77" spans="1:41" ht="13.8" x14ac:dyDescent="0.25">
      <c r="A77" s="22"/>
      <c r="B77" s="91"/>
      <c r="C77" s="45"/>
      <c r="D77" s="95"/>
      <c r="E77" s="39"/>
      <c r="F77" s="94"/>
      <c r="G77" s="44"/>
      <c r="H77" s="35"/>
      <c r="I77" s="42"/>
      <c r="J77" s="35"/>
      <c r="K77" s="35"/>
      <c r="L77" s="87"/>
      <c r="M77" s="22"/>
      <c r="N77" s="89"/>
      <c r="O77" s="35"/>
      <c r="P77" s="37"/>
      <c r="Q77" s="35"/>
      <c r="R77" s="41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</row>
    <row r="78" spans="1:41" ht="13.8" x14ac:dyDescent="0.25">
      <c r="A78" s="22"/>
      <c r="B78" s="91"/>
      <c r="C78" s="45"/>
      <c r="D78" s="95"/>
      <c r="E78" s="39"/>
      <c r="F78" s="94"/>
      <c r="G78" s="44"/>
      <c r="H78" s="35"/>
      <c r="I78" s="42"/>
      <c r="J78" s="35"/>
      <c r="K78" s="35"/>
      <c r="L78" s="87"/>
      <c r="M78" s="22"/>
      <c r="N78" s="89"/>
      <c r="O78" s="35"/>
      <c r="P78" s="37"/>
      <c r="Q78" s="35"/>
      <c r="R78" s="41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</row>
    <row r="79" spans="1:41" ht="13.8" x14ac:dyDescent="0.25">
      <c r="A79" s="22"/>
      <c r="B79" s="91"/>
      <c r="C79" s="45"/>
      <c r="D79" s="95"/>
      <c r="E79" s="39"/>
      <c r="F79" s="94"/>
      <c r="G79" s="44"/>
      <c r="H79" s="35"/>
      <c r="I79" s="42"/>
      <c r="J79" s="35"/>
      <c r="K79" s="35"/>
      <c r="L79" s="87"/>
      <c r="M79" s="22"/>
      <c r="N79" s="89"/>
      <c r="O79" s="35"/>
      <c r="P79" s="37"/>
      <c r="Q79" s="35"/>
      <c r="R79" s="41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</row>
    <row r="80" spans="1:41" ht="13.8" x14ac:dyDescent="0.25">
      <c r="A80" s="22"/>
      <c r="B80" s="91"/>
      <c r="C80" s="45"/>
      <c r="D80" s="95"/>
      <c r="E80" s="39"/>
      <c r="F80" s="94"/>
      <c r="G80" s="44"/>
      <c r="H80" s="35"/>
      <c r="I80" s="42"/>
      <c r="J80" s="35"/>
      <c r="K80" s="35"/>
      <c r="L80" s="87"/>
      <c r="M80" s="22"/>
      <c r="N80" s="89"/>
      <c r="O80" s="35"/>
      <c r="P80" s="37"/>
      <c r="Q80" s="35"/>
      <c r="R80" s="41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</row>
    <row r="81" spans="1:41" ht="13.8" x14ac:dyDescent="0.25">
      <c r="A81" s="22"/>
      <c r="B81" s="91"/>
      <c r="C81" s="45"/>
      <c r="D81" s="95"/>
      <c r="E81" s="39"/>
      <c r="F81" s="94"/>
      <c r="G81" s="44"/>
      <c r="H81" s="35"/>
      <c r="I81" s="42"/>
      <c r="J81" s="35"/>
      <c r="K81" s="35"/>
      <c r="L81" s="87"/>
      <c r="M81" s="22"/>
      <c r="N81" s="89"/>
      <c r="O81" s="35"/>
      <c r="P81" s="37"/>
      <c r="Q81" s="35"/>
      <c r="R81" s="41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</row>
    <row r="82" spans="1:41" ht="13.8" x14ac:dyDescent="0.25">
      <c r="A82" s="22"/>
      <c r="B82" s="91"/>
      <c r="C82" s="45"/>
      <c r="D82" s="95"/>
      <c r="E82" s="39"/>
      <c r="F82" s="94"/>
      <c r="G82" s="44"/>
      <c r="H82" s="35"/>
      <c r="I82" s="42"/>
      <c r="J82" s="35"/>
      <c r="K82" s="35"/>
      <c r="L82" s="87"/>
      <c r="M82" s="22"/>
      <c r="N82" s="89"/>
      <c r="O82" s="35"/>
      <c r="P82" s="37"/>
      <c r="Q82" s="35"/>
      <c r="R82" s="41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</row>
    <row r="83" spans="1:41" ht="13.8" x14ac:dyDescent="0.25">
      <c r="A83" s="22"/>
      <c r="B83" s="91"/>
      <c r="C83" s="45"/>
      <c r="D83" s="95"/>
      <c r="E83" s="39"/>
      <c r="F83" s="94"/>
      <c r="G83" s="44"/>
      <c r="H83" s="35"/>
      <c r="I83" s="42"/>
      <c r="J83" s="35"/>
      <c r="K83" s="35"/>
      <c r="L83" s="87"/>
      <c r="M83" s="22"/>
      <c r="N83" s="89"/>
      <c r="O83" s="35"/>
      <c r="P83" s="37"/>
      <c r="Q83" s="35"/>
      <c r="R83" s="41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</row>
    <row r="84" spans="1:41" ht="13.8" x14ac:dyDescent="0.25">
      <c r="A84" s="22"/>
      <c r="B84" s="91"/>
      <c r="C84" s="45"/>
      <c r="D84" s="95"/>
      <c r="E84" s="39"/>
      <c r="F84" s="94"/>
      <c r="G84" s="44"/>
      <c r="H84" s="35"/>
      <c r="I84" s="42"/>
      <c r="J84" s="35"/>
      <c r="K84" s="35"/>
      <c r="L84" s="87"/>
      <c r="M84" s="22"/>
      <c r="N84" s="89"/>
      <c r="O84" s="35"/>
      <c r="P84" s="37"/>
      <c r="Q84" s="35"/>
      <c r="R84" s="41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</row>
    <row r="85" spans="1:41" ht="13.8" x14ac:dyDescent="0.25">
      <c r="A85" s="22"/>
      <c r="B85" s="91"/>
      <c r="C85" s="45"/>
      <c r="D85" s="95"/>
      <c r="E85" s="39"/>
      <c r="F85" s="94"/>
      <c r="G85" s="44"/>
      <c r="H85" s="35"/>
      <c r="I85" s="42"/>
      <c r="J85" s="35"/>
      <c r="K85" s="35"/>
      <c r="L85" s="87"/>
      <c r="M85" s="22"/>
      <c r="N85" s="89"/>
      <c r="O85" s="35"/>
      <c r="P85" s="37"/>
      <c r="Q85" s="35"/>
      <c r="R85" s="41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</row>
    <row r="86" spans="1:41" ht="13.8" x14ac:dyDescent="0.25">
      <c r="A86" s="22"/>
      <c r="B86" s="91"/>
      <c r="C86" s="45"/>
      <c r="D86" s="95"/>
      <c r="E86" s="39"/>
      <c r="F86" s="94"/>
      <c r="G86" s="44"/>
      <c r="H86" s="35"/>
      <c r="I86" s="42"/>
      <c r="J86" s="35"/>
      <c r="K86" s="35"/>
      <c r="L86" s="87"/>
      <c r="M86" s="22"/>
      <c r="N86" s="89"/>
      <c r="O86" s="35"/>
      <c r="P86" s="37"/>
      <c r="Q86" s="35"/>
      <c r="R86" s="41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</row>
    <row r="87" spans="1:41" ht="13.8" x14ac:dyDescent="0.25">
      <c r="A87" s="22"/>
      <c r="B87" s="91"/>
      <c r="C87" s="45"/>
      <c r="D87" s="95"/>
      <c r="E87" s="39"/>
      <c r="F87" s="94"/>
      <c r="G87" s="44"/>
      <c r="H87" s="35"/>
      <c r="I87" s="42"/>
      <c r="J87" s="35"/>
      <c r="K87" s="35"/>
      <c r="L87" s="87"/>
      <c r="M87" s="22"/>
      <c r="N87" s="89"/>
      <c r="O87" s="35"/>
      <c r="P87" s="37"/>
      <c r="Q87" s="35"/>
      <c r="R87" s="41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spans="1:41" ht="13.8" x14ac:dyDescent="0.25">
      <c r="A88" s="22"/>
      <c r="B88" s="91"/>
      <c r="C88" s="45"/>
      <c r="D88" s="95"/>
      <c r="E88" s="39"/>
      <c r="F88" s="94"/>
      <c r="G88" s="44"/>
      <c r="H88" s="35"/>
      <c r="I88" s="42"/>
      <c r="J88" s="35"/>
      <c r="K88" s="35"/>
      <c r="L88" s="87"/>
      <c r="M88" s="22"/>
      <c r="N88" s="89"/>
      <c r="O88" s="35"/>
      <c r="P88" s="37"/>
      <c r="Q88" s="35"/>
      <c r="R88" s="41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</row>
    <row r="89" spans="1:41" ht="13.8" x14ac:dyDescent="0.25">
      <c r="A89" s="22"/>
      <c r="B89" s="91"/>
      <c r="C89" s="45"/>
      <c r="D89" s="95"/>
      <c r="E89" s="39"/>
      <c r="F89" s="94"/>
      <c r="G89" s="44"/>
      <c r="H89" s="35"/>
      <c r="I89" s="42"/>
      <c r="J89" s="35"/>
      <c r="K89" s="35"/>
      <c r="L89" s="87"/>
      <c r="M89" s="22"/>
      <c r="N89" s="89"/>
      <c r="O89" s="35"/>
      <c r="P89" s="37"/>
      <c r="Q89" s="35"/>
      <c r="R89" s="41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</row>
    <row r="90" spans="1:41" ht="13.8" x14ac:dyDescent="0.25">
      <c r="A90" s="22"/>
      <c r="B90" s="91"/>
      <c r="C90" s="45"/>
      <c r="D90" s="95"/>
      <c r="E90" s="39"/>
      <c r="F90" s="94"/>
      <c r="G90" s="44"/>
      <c r="H90" s="35"/>
      <c r="I90" s="42"/>
      <c r="J90" s="35"/>
      <c r="K90" s="35"/>
      <c r="L90" s="87"/>
      <c r="M90" s="22"/>
      <c r="N90" s="89"/>
      <c r="O90" s="35"/>
      <c r="P90" s="37"/>
      <c r="Q90" s="35"/>
      <c r="R90" s="41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</row>
    <row r="91" spans="1:41" ht="13.8" x14ac:dyDescent="0.25">
      <c r="A91" s="22"/>
      <c r="B91" s="91"/>
      <c r="C91" s="45"/>
      <c r="D91" s="95"/>
      <c r="E91" s="39"/>
      <c r="F91" s="94"/>
      <c r="G91" s="44"/>
      <c r="H91" s="35"/>
      <c r="I91" s="42"/>
      <c r="J91" s="35"/>
      <c r="K91" s="35"/>
      <c r="L91" s="87"/>
      <c r="M91" s="22"/>
      <c r="N91" s="89"/>
      <c r="O91" s="35"/>
      <c r="P91" s="37"/>
      <c r="Q91" s="35"/>
      <c r="R91" s="41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</row>
    <row r="92" spans="1:41" ht="13.8" x14ac:dyDescent="0.25">
      <c r="A92" s="22"/>
      <c r="B92" s="91"/>
      <c r="C92" s="45"/>
      <c r="D92" s="95"/>
      <c r="E92" s="39"/>
      <c r="F92" s="94"/>
      <c r="G92" s="44"/>
      <c r="H92" s="35"/>
      <c r="I92" s="42"/>
      <c r="J92" s="35"/>
      <c r="K92" s="35"/>
      <c r="L92" s="87"/>
      <c r="M92" s="22"/>
      <c r="N92" s="89"/>
      <c r="O92" s="35"/>
      <c r="P92" s="37"/>
      <c r="Q92" s="35"/>
      <c r="R92" s="41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</row>
    <row r="93" spans="1:41" ht="13.8" x14ac:dyDescent="0.25">
      <c r="A93" s="22"/>
      <c r="B93" s="91"/>
      <c r="C93" s="45"/>
      <c r="D93" s="95"/>
      <c r="E93" s="39"/>
      <c r="F93" s="94"/>
      <c r="G93" s="44"/>
      <c r="H93" s="35"/>
      <c r="I93" s="42"/>
      <c r="J93" s="35"/>
      <c r="K93" s="35"/>
      <c r="L93" s="87"/>
      <c r="M93" s="22"/>
      <c r="N93" s="89"/>
      <c r="O93" s="35"/>
      <c r="P93" s="37"/>
      <c r="Q93" s="35"/>
      <c r="R93" s="41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</row>
    <row r="94" spans="1:41" ht="13.8" x14ac:dyDescent="0.25">
      <c r="A94" s="22"/>
      <c r="B94" s="91"/>
      <c r="C94" s="45"/>
      <c r="D94" s="95"/>
      <c r="E94" s="39"/>
      <c r="F94" s="94"/>
      <c r="G94" s="44"/>
      <c r="H94" s="35"/>
      <c r="I94" s="42"/>
      <c r="J94" s="35"/>
      <c r="K94" s="35"/>
      <c r="L94" s="87"/>
      <c r="M94" s="22"/>
      <c r="N94" s="89"/>
      <c r="O94" s="35"/>
      <c r="P94" s="37"/>
      <c r="Q94" s="35"/>
      <c r="R94" s="41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</row>
    <row r="95" spans="1:41" ht="13.8" x14ac:dyDescent="0.25">
      <c r="A95" s="22"/>
      <c r="B95" s="91"/>
      <c r="C95" s="45"/>
      <c r="D95" s="95"/>
      <c r="E95" s="39"/>
      <c r="F95" s="94"/>
      <c r="G95" s="44"/>
      <c r="H95" s="35"/>
      <c r="I95" s="42"/>
      <c r="J95" s="35"/>
      <c r="K95" s="35"/>
      <c r="L95" s="87"/>
      <c r="M95" s="22"/>
      <c r="N95" s="89"/>
      <c r="O95" s="35"/>
      <c r="P95" s="37"/>
      <c r="Q95" s="35"/>
      <c r="R95" s="41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</row>
    <row r="96" spans="1:41" ht="13.8" x14ac:dyDescent="0.25">
      <c r="A96" s="22"/>
      <c r="B96" s="91"/>
      <c r="C96" s="45"/>
      <c r="D96" s="95"/>
      <c r="E96" s="39"/>
      <c r="F96" s="94"/>
      <c r="G96" s="44"/>
      <c r="H96" s="35"/>
      <c r="I96" s="42"/>
      <c r="J96" s="35"/>
      <c r="K96" s="35"/>
      <c r="L96" s="87"/>
      <c r="M96" s="22"/>
      <c r="N96" s="89"/>
      <c r="O96" s="35"/>
      <c r="P96" s="37"/>
      <c r="Q96" s="35"/>
      <c r="R96" s="41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</row>
    <row r="97" spans="1:41" ht="13.8" x14ac:dyDescent="0.25">
      <c r="A97" s="22"/>
      <c r="B97" s="91"/>
      <c r="C97" s="45"/>
      <c r="D97" s="95"/>
      <c r="E97" s="39"/>
      <c r="F97" s="94"/>
      <c r="G97" s="44"/>
      <c r="H97" s="35"/>
      <c r="I97" s="42"/>
      <c r="J97" s="35"/>
      <c r="K97" s="35"/>
      <c r="L97" s="87"/>
      <c r="M97" s="22"/>
      <c r="N97" s="89"/>
      <c r="O97" s="35"/>
      <c r="P97" s="37"/>
      <c r="Q97" s="35"/>
      <c r="R97" s="41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</row>
    <row r="98" spans="1:41" ht="13.8" x14ac:dyDescent="0.25">
      <c r="A98" s="22"/>
      <c r="B98" s="91"/>
      <c r="C98" s="45"/>
      <c r="D98" s="95"/>
      <c r="E98" s="39"/>
      <c r="F98" s="94"/>
      <c r="G98" s="44"/>
      <c r="H98" s="35"/>
      <c r="I98" s="42"/>
      <c r="J98" s="35"/>
      <c r="K98" s="35"/>
      <c r="L98" s="87"/>
      <c r="M98" s="22"/>
      <c r="N98" s="89"/>
      <c r="O98" s="35"/>
      <c r="P98" s="37"/>
      <c r="Q98" s="35"/>
      <c r="R98" s="41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</row>
    <row r="99" spans="1:41" ht="13.8" x14ac:dyDescent="0.25">
      <c r="A99" s="22"/>
      <c r="B99" s="91"/>
      <c r="C99" s="45"/>
      <c r="D99" s="95"/>
      <c r="E99" s="39"/>
      <c r="F99" s="94"/>
      <c r="G99" s="44"/>
      <c r="H99" s="35"/>
      <c r="I99" s="42"/>
      <c r="J99" s="35"/>
      <c r="K99" s="35"/>
      <c r="L99" s="87"/>
      <c r="M99" s="22"/>
      <c r="N99" s="89"/>
      <c r="O99" s="35"/>
      <c r="P99" s="37"/>
      <c r="Q99" s="35"/>
      <c r="R99" s="41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</row>
    <row r="100" spans="1:41" ht="13.8" x14ac:dyDescent="0.25">
      <c r="A100" s="22"/>
      <c r="B100" s="91"/>
      <c r="C100" s="45"/>
      <c r="D100" s="95"/>
      <c r="E100" s="39"/>
      <c r="F100" s="94"/>
      <c r="G100" s="44"/>
      <c r="H100" s="35"/>
      <c r="I100" s="42"/>
      <c r="J100" s="35"/>
      <c r="K100" s="35"/>
      <c r="L100" s="87"/>
      <c r="M100" s="22"/>
      <c r="N100" s="89"/>
      <c r="O100" s="35"/>
      <c r="P100" s="37"/>
      <c r="Q100" s="35"/>
      <c r="R100" s="41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</row>
    <row r="101" spans="1:41" ht="13.8" x14ac:dyDescent="0.25">
      <c r="A101" s="22"/>
      <c r="B101" s="91"/>
      <c r="C101" s="45"/>
      <c r="D101" s="95"/>
      <c r="E101" s="39"/>
      <c r="F101" s="94"/>
      <c r="G101" s="44"/>
      <c r="H101" s="35"/>
      <c r="I101" s="42"/>
      <c r="J101" s="35"/>
      <c r="K101" s="35"/>
      <c r="L101" s="87"/>
      <c r="M101" s="22"/>
      <c r="N101" s="89"/>
      <c r="O101" s="35"/>
      <c r="P101" s="37"/>
      <c r="Q101" s="35"/>
      <c r="R101" s="41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</row>
    <row r="102" spans="1:41" ht="13.8" x14ac:dyDescent="0.25">
      <c r="A102" s="22"/>
      <c r="B102" s="91"/>
      <c r="C102" s="45"/>
      <c r="D102" s="95"/>
      <c r="E102" s="39"/>
      <c r="F102" s="94"/>
      <c r="G102" s="44"/>
      <c r="H102" s="35"/>
      <c r="I102" s="42"/>
      <c r="J102" s="35"/>
      <c r="K102" s="35"/>
      <c r="L102" s="87"/>
      <c r="M102" s="22"/>
      <c r="N102" s="89"/>
      <c r="O102" s="35"/>
      <c r="P102" s="37"/>
      <c r="Q102" s="35"/>
      <c r="R102" s="41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spans="1:41" ht="13.8" x14ac:dyDescent="0.25">
      <c r="A103" s="22"/>
      <c r="B103" s="91"/>
      <c r="C103" s="45"/>
      <c r="D103" s="95"/>
      <c r="E103" s="39"/>
      <c r="F103" s="94"/>
      <c r="G103" s="44"/>
      <c r="H103" s="35"/>
      <c r="I103" s="42"/>
      <c r="J103" s="35"/>
      <c r="K103" s="35"/>
      <c r="L103" s="87"/>
      <c r="M103" s="22"/>
      <c r="N103" s="89"/>
      <c r="O103" s="35"/>
      <c r="P103" s="37"/>
      <c r="Q103" s="35"/>
      <c r="R103" s="41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</row>
    <row r="104" spans="1:41" ht="13.8" x14ac:dyDescent="0.25">
      <c r="A104" s="22"/>
      <c r="B104" s="91"/>
      <c r="C104" s="45"/>
      <c r="D104" s="95"/>
      <c r="E104" s="39"/>
      <c r="F104" s="94"/>
      <c r="G104" s="44"/>
      <c r="H104" s="35"/>
      <c r="I104" s="42"/>
      <c r="J104" s="35"/>
      <c r="K104" s="35"/>
      <c r="L104" s="87"/>
      <c r="M104" s="22"/>
      <c r="N104" s="89"/>
      <c r="O104" s="35"/>
      <c r="P104" s="37"/>
      <c r="Q104" s="35"/>
      <c r="R104" s="41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</row>
    <row r="105" spans="1:41" ht="13.8" x14ac:dyDescent="0.25">
      <c r="A105" s="22"/>
      <c r="B105" s="91"/>
      <c r="C105" s="45"/>
      <c r="D105" s="95"/>
      <c r="E105" s="39"/>
      <c r="F105" s="94"/>
      <c r="G105" s="44"/>
      <c r="H105" s="35"/>
      <c r="I105" s="42"/>
      <c r="J105" s="35"/>
      <c r="K105" s="35"/>
      <c r="L105" s="87"/>
      <c r="M105" s="22"/>
      <c r="N105" s="89"/>
      <c r="O105" s="35"/>
      <c r="P105" s="37"/>
      <c r="Q105" s="35"/>
      <c r="R105" s="41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</row>
    <row r="106" spans="1:41" ht="13.8" x14ac:dyDescent="0.25">
      <c r="A106" s="22"/>
      <c r="B106" s="91"/>
      <c r="C106" s="45"/>
      <c r="D106" s="95"/>
      <c r="E106" s="39"/>
      <c r="F106" s="94"/>
      <c r="G106" s="44"/>
      <c r="H106" s="35"/>
      <c r="I106" s="42"/>
      <c r="J106" s="35"/>
      <c r="K106" s="35"/>
      <c r="L106" s="87"/>
      <c r="M106" s="22"/>
      <c r="N106" s="89"/>
      <c r="O106" s="35"/>
      <c r="P106" s="37"/>
      <c r="Q106" s="35"/>
      <c r="R106" s="41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</row>
    <row r="107" spans="1:41" ht="13.8" x14ac:dyDescent="0.25">
      <c r="A107" s="22"/>
      <c r="B107" s="91"/>
      <c r="C107" s="45"/>
      <c r="D107" s="95"/>
      <c r="E107" s="39"/>
      <c r="F107" s="94"/>
      <c r="G107" s="44"/>
      <c r="H107" s="35"/>
      <c r="I107" s="42"/>
      <c r="J107" s="35"/>
      <c r="K107" s="35"/>
      <c r="L107" s="87"/>
      <c r="M107" s="22"/>
      <c r="N107" s="89"/>
      <c r="O107" s="35"/>
      <c r="P107" s="37"/>
      <c r="Q107" s="35"/>
      <c r="R107" s="41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</row>
    <row r="108" spans="1:41" ht="13.8" x14ac:dyDescent="0.25">
      <c r="A108" s="22"/>
      <c r="B108" s="91"/>
      <c r="C108" s="45"/>
      <c r="D108" s="95"/>
      <c r="E108" s="39"/>
      <c r="F108" s="94"/>
      <c r="G108" s="44"/>
      <c r="H108" s="35"/>
      <c r="I108" s="42"/>
      <c r="J108" s="35"/>
      <c r="K108" s="35"/>
      <c r="L108" s="87"/>
      <c r="M108" s="22"/>
      <c r="N108" s="89"/>
      <c r="O108" s="35"/>
      <c r="P108" s="37"/>
      <c r="Q108" s="35"/>
      <c r="R108" s="41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</row>
    <row r="109" spans="1:41" ht="13.8" x14ac:dyDescent="0.25">
      <c r="A109" s="22"/>
      <c r="B109" s="91"/>
      <c r="C109" s="45"/>
      <c r="D109" s="95"/>
      <c r="E109" s="39"/>
      <c r="F109" s="94"/>
      <c r="G109" s="44"/>
      <c r="H109" s="35"/>
      <c r="I109" s="42"/>
      <c r="J109" s="35"/>
      <c r="K109" s="35"/>
      <c r="L109" s="87"/>
      <c r="M109" s="22"/>
      <c r="N109" s="89"/>
      <c r="O109" s="35"/>
      <c r="P109" s="37"/>
      <c r="Q109" s="35"/>
      <c r="R109" s="41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</row>
    <row r="110" spans="1:41" ht="13.8" x14ac:dyDescent="0.25">
      <c r="A110" s="22"/>
      <c r="B110" s="91"/>
      <c r="C110" s="45"/>
      <c r="D110" s="95"/>
      <c r="E110" s="39"/>
      <c r="F110" s="94"/>
      <c r="G110" s="44"/>
      <c r="H110" s="35"/>
      <c r="I110" s="42"/>
      <c r="J110" s="35"/>
      <c r="K110" s="35"/>
      <c r="L110" s="87"/>
      <c r="M110" s="22"/>
      <c r="N110" s="89"/>
      <c r="O110" s="35"/>
      <c r="P110" s="37"/>
      <c r="Q110" s="35"/>
      <c r="R110" s="41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</row>
    <row r="111" spans="1:41" ht="13.8" x14ac:dyDescent="0.25">
      <c r="A111" s="22"/>
      <c r="B111" s="91"/>
      <c r="C111" s="45"/>
      <c r="D111" s="95"/>
      <c r="E111" s="39"/>
      <c r="F111" s="94"/>
      <c r="G111" s="44"/>
      <c r="H111" s="35"/>
      <c r="I111" s="42"/>
      <c r="J111" s="35"/>
      <c r="K111" s="35"/>
      <c r="L111" s="87"/>
      <c r="M111" s="22"/>
      <c r="N111" s="89"/>
      <c r="O111" s="35"/>
      <c r="P111" s="37"/>
      <c r="Q111" s="35"/>
      <c r="R111" s="41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</row>
    <row r="112" spans="1:41" ht="13.8" x14ac:dyDescent="0.25">
      <c r="A112" s="22"/>
      <c r="B112" s="91"/>
      <c r="C112" s="45"/>
      <c r="D112" s="95"/>
      <c r="E112" s="39"/>
      <c r="F112" s="94"/>
      <c r="G112" s="44"/>
      <c r="H112" s="35"/>
      <c r="I112" s="42"/>
      <c r="J112" s="35"/>
      <c r="K112" s="35"/>
      <c r="L112" s="87"/>
      <c r="M112" s="22"/>
      <c r="N112" s="89"/>
      <c r="O112" s="35"/>
      <c r="P112" s="37"/>
      <c r="Q112" s="35"/>
      <c r="R112" s="41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</row>
    <row r="113" spans="1:41" ht="13.8" x14ac:dyDescent="0.25">
      <c r="A113" s="22"/>
      <c r="B113" s="91"/>
      <c r="C113" s="45"/>
      <c r="D113" s="95"/>
      <c r="E113" s="39"/>
      <c r="F113" s="94"/>
      <c r="G113" s="44"/>
      <c r="H113" s="35"/>
      <c r="I113" s="42"/>
      <c r="J113" s="35"/>
      <c r="K113" s="35"/>
      <c r="L113" s="87"/>
      <c r="M113" s="22"/>
      <c r="N113" s="89"/>
      <c r="O113" s="35"/>
      <c r="P113" s="37"/>
      <c r="Q113" s="35"/>
      <c r="R113" s="41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</row>
    <row r="114" spans="1:41" ht="13.8" x14ac:dyDescent="0.25">
      <c r="A114" s="22"/>
      <c r="B114" s="91"/>
      <c r="C114" s="45"/>
      <c r="D114" s="95"/>
      <c r="E114" s="39"/>
      <c r="F114" s="94"/>
      <c r="G114" s="44"/>
      <c r="H114" s="35"/>
      <c r="I114" s="42"/>
      <c r="J114" s="35"/>
      <c r="K114" s="35"/>
      <c r="L114" s="87"/>
      <c r="M114" s="22"/>
      <c r="N114" s="89"/>
      <c r="O114" s="35"/>
      <c r="P114" s="37"/>
      <c r="Q114" s="35"/>
      <c r="R114" s="41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</row>
    <row r="115" spans="1:41" ht="13.8" x14ac:dyDescent="0.25">
      <c r="A115" s="22"/>
      <c r="B115" s="91"/>
      <c r="C115" s="45"/>
      <c r="D115" s="95"/>
      <c r="E115" s="39"/>
      <c r="F115" s="94"/>
      <c r="G115" s="44"/>
      <c r="H115" s="35"/>
      <c r="I115" s="42"/>
      <c r="J115" s="35"/>
      <c r="K115" s="35"/>
      <c r="L115" s="87"/>
      <c r="M115" s="22"/>
      <c r="N115" s="89"/>
      <c r="O115" s="35"/>
      <c r="P115" s="37"/>
      <c r="Q115" s="35"/>
      <c r="R115" s="41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</row>
    <row r="116" spans="1:41" ht="13.8" x14ac:dyDescent="0.25">
      <c r="A116" s="22"/>
      <c r="B116" s="91"/>
      <c r="C116" s="45"/>
      <c r="D116" s="95"/>
      <c r="E116" s="39"/>
      <c r="F116" s="94"/>
      <c r="G116" s="44"/>
      <c r="H116" s="35"/>
      <c r="I116" s="42"/>
      <c r="J116" s="35"/>
      <c r="K116" s="35"/>
      <c r="L116" s="87"/>
      <c r="M116" s="22"/>
      <c r="N116" s="89"/>
      <c r="O116" s="35"/>
      <c r="P116" s="37"/>
      <c r="Q116" s="35"/>
      <c r="R116" s="41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</row>
    <row r="117" spans="1:41" ht="13.8" x14ac:dyDescent="0.25">
      <c r="A117" s="22"/>
      <c r="B117" s="91"/>
      <c r="C117" s="45"/>
      <c r="D117" s="95"/>
      <c r="E117" s="39"/>
      <c r="F117" s="94"/>
      <c r="G117" s="44"/>
      <c r="H117" s="35"/>
      <c r="I117" s="42"/>
      <c r="J117" s="35"/>
      <c r="K117" s="35"/>
      <c r="L117" s="87"/>
      <c r="M117" s="22"/>
      <c r="N117" s="89"/>
      <c r="O117" s="35"/>
      <c r="P117" s="37"/>
      <c r="Q117" s="35"/>
      <c r="R117" s="41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</row>
    <row r="118" spans="1:41" ht="13.8" x14ac:dyDescent="0.25">
      <c r="A118" s="22"/>
      <c r="B118" s="91"/>
      <c r="C118" s="45"/>
      <c r="D118" s="95"/>
      <c r="E118" s="39"/>
      <c r="F118" s="94"/>
      <c r="G118" s="44"/>
      <c r="H118" s="35"/>
      <c r="I118" s="42"/>
      <c r="J118" s="35"/>
      <c r="K118" s="35"/>
      <c r="L118" s="87"/>
      <c r="M118" s="22"/>
      <c r="N118" s="89"/>
      <c r="O118" s="35"/>
      <c r="P118" s="37"/>
      <c r="Q118" s="35"/>
      <c r="R118" s="41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</row>
    <row r="119" spans="1:41" ht="13.8" x14ac:dyDescent="0.25">
      <c r="A119" s="22"/>
      <c r="B119" s="91"/>
      <c r="C119" s="45"/>
      <c r="D119" s="95"/>
      <c r="E119" s="39"/>
      <c r="F119" s="94"/>
      <c r="G119" s="44"/>
      <c r="H119" s="35"/>
      <c r="I119" s="42"/>
      <c r="J119" s="35"/>
      <c r="K119" s="35"/>
      <c r="L119" s="87"/>
      <c r="M119" s="22"/>
      <c r="N119" s="89"/>
      <c r="O119" s="35"/>
      <c r="P119" s="37"/>
      <c r="Q119" s="35"/>
      <c r="R119" s="41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</row>
    <row r="120" spans="1:41" ht="13.8" x14ac:dyDescent="0.25">
      <c r="A120" s="22"/>
      <c r="B120" s="91"/>
      <c r="C120" s="45"/>
      <c r="D120" s="95"/>
      <c r="E120" s="39"/>
      <c r="F120" s="94"/>
      <c r="G120" s="44"/>
      <c r="H120" s="35"/>
      <c r="I120" s="42"/>
      <c r="J120" s="35"/>
      <c r="K120" s="35"/>
      <c r="L120" s="87"/>
      <c r="M120" s="22"/>
      <c r="N120" s="89"/>
      <c r="O120" s="35"/>
      <c r="P120" s="37"/>
      <c r="Q120" s="35"/>
      <c r="R120" s="41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spans="1:41" ht="13.8" x14ac:dyDescent="0.25">
      <c r="A121" s="22"/>
      <c r="B121" s="91"/>
      <c r="C121" s="45"/>
      <c r="D121" s="95"/>
      <c r="E121" s="39"/>
      <c r="F121" s="94"/>
      <c r="G121" s="44"/>
      <c r="H121" s="35"/>
      <c r="I121" s="42"/>
      <c r="J121" s="35"/>
      <c r="K121" s="35"/>
      <c r="L121" s="87"/>
      <c r="M121" s="22"/>
      <c r="N121" s="89"/>
      <c r="O121" s="35"/>
      <c r="P121" s="37"/>
      <c r="Q121" s="35"/>
      <c r="R121" s="41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</row>
    <row r="122" spans="1:41" ht="13.8" x14ac:dyDescent="0.25">
      <c r="A122" s="22"/>
      <c r="B122" s="91"/>
      <c r="C122" s="45"/>
      <c r="D122" s="95"/>
      <c r="E122" s="39"/>
      <c r="F122" s="94"/>
      <c r="G122" s="44"/>
      <c r="H122" s="35"/>
      <c r="I122" s="42"/>
      <c r="J122" s="35"/>
      <c r="K122" s="35"/>
      <c r="L122" s="87"/>
      <c r="M122" s="22"/>
      <c r="N122" s="89"/>
      <c r="O122" s="35"/>
      <c r="P122" s="37"/>
      <c r="Q122" s="35"/>
      <c r="R122" s="41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</row>
    <row r="123" spans="1:41" ht="13.8" x14ac:dyDescent="0.25">
      <c r="A123" s="22"/>
      <c r="B123" s="91"/>
      <c r="C123" s="45"/>
      <c r="D123" s="95"/>
      <c r="E123" s="39"/>
      <c r="F123" s="94"/>
      <c r="G123" s="44"/>
      <c r="H123" s="35"/>
      <c r="I123" s="42"/>
      <c r="J123" s="35"/>
      <c r="K123" s="35"/>
      <c r="L123" s="87"/>
      <c r="M123" s="22"/>
      <c r="N123" s="89"/>
      <c r="O123" s="35"/>
      <c r="P123" s="37"/>
      <c r="Q123" s="35"/>
      <c r="R123" s="41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</row>
    <row r="124" spans="1:41" ht="13.8" x14ac:dyDescent="0.25">
      <c r="A124" s="22"/>
      <c r="B124" s="91"/>
      <c r="C124" s="45"/>
      <c r="D124" s="95"/>
      <c r="E124" s="39"/>
      <c r="F124" s="94"/>
      <c r="G124" s="44"/>
      <c r="H124" s="35"/>
      <c r="I124" s="42"/>
      <c r="J124" s="35"/>
      <c r="K124" s="35"/>
      <c r="L124" s="87"/>
      <c r="M124" s="22"/>
      <c r="N124" s="89"/>
      <c r="O124" s="35"/>
      <c r="P124" s="37"/>
      <c r="Q124" s="35"/>
      <c r="R124" s="41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</row>
    <row r="125" spans="1:41" ht="13.8" x14ac:dyDescent="0.25">
      <c r="A125" s="22"/>
      <c r="B125" s="91"/>
      <c r="C125" s="45"/>
      <c r="D125" s="95"/>
      <c r="E125" s="39"/>
      <c r="F125" s="94"/>
      <c r="G125" s="44"/>
      <c r="H125" s="35"/>
      <c r="I125" s="42"/>
      <c r="J125" s="35"/>
      <c r="K125" s="35"/>
      <c r="L125" s="87"/>
      <c r="M125" s="22"/>
      <c r="N125" s="89"/>
      <c r="O125" s="35"/>
      <c r="P125" s="37"/>
      <c r="Q125" s="35"/>
      <c r="R125" s="41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</row>
    <row r="126" spans="1:41" ht="13.8" x14ac:dyDescent="0.25">
      <c r="A126" s="22"/>
      <c r="B126" s="91"/>
      <c r="C126" s="45"/>
      <c r="D126" s="95"/>
      <c r="E126" s="39"/>
      <c r="F126" s="94"/>
      <c r="G126" s="44"/>
      <c r="H126" s="35"/>
      <c r="I126" s="42"/>
      <c r="J126" s="35"/>
      <c r="K126" s="35"/>
      <c r="L126" s="87"/>
      <c r="M126" s="22"/>
      <c r="N126" s="89"/>
      <c r="O126" s="35"/>
      <c r="P126" s="37"/>
      <c r="Q126" s="35"/>
      <c r="R126" s="41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</row>
    <row r="127" spans="1:41" ht="13.8" x14ac:dyDescent="0.25">
      <c r="A127" s="22"/>
      <c r="B127" s="91"/>
      <c r="C127" s="45"/>
      <c r="D127" s="95"/>
      <c r="E127" s="39"/>
      <c r="F127" s="94"/>
      <c r="G127" s="44"/>
      <c r="H127" s="35"/>
      <c r="I127" s="42"/>
      <c r="J127" s="35"/>
      <c r="K127" s="35"/>
      <c r="L127" s="87"/>
      <c r="M127" s="22"/>
      <c r="N127" s="89"/>
      <c r="O127" s="35"/>
      <c r="P127" s="37"/>
      <c r="Q127" s="35"/>
      <c r="R127" s="41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</row>
    <row r="128" spans="1:41" ht="13.8" x14ac:dyDescent="0.25">
      <c r="A128" s="22"/>
      <c r="B128" s="91"/>
      <c r="C128" s="45"/>
      <c r="D128" s="95"/>
      <c r="E128" s="39"/>
      <c r="F128" s="94"/>
      <c r="G128" s="44"/>
      <c r="H128" s="35"/>
      <c r="I128" s="42"/>
      <c r="J128" s="35"/>
      <c r="K128" s="35"/>
      <c r="L128" s="87"/>
      <c r="M128" s="22"/>
      <c r="N128" s="89"/>
      <c r="O128" s="35"/>
      <c r="P128" s="37"/>
      <c r="Q128" s="35"/>
      <c r="R128" s="41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</row>
    <row r="129" spans="1:41" ht="13.8" x14ac:dyDescent="0.25">
      <c r="A129" s="22"/>
      <c r="B129" s="91"/>
      <c r="C129" s="45"/>
      <c r="D129" s="95"/>
      <c r="E129" s="39"/>
      <c r="F129" s="94"/>
      <c r="G129" s="44"/>
      <c r="H129" s="35"/>
      <c r="I129" s="42"/>
      <c r="J129" s="35"/>
      <c r="K129" s="35"/>
      <c r="L129" s="87"/>
      <c r="M129" s="22"/>
      <c r="N129" s="89"/>
      <c r="O129" s="35"/>
      <c r="P129" s="37"/>
      <c r="Q129" s="35"/>
      <c r="R129" s="41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</row>
    <row r="130" spans="1:41" ht="13.8" x14ac:dyDescent="0.25">
      <c r="A130" s="22"/>
      <c r="B130" s="91"/>
      <c r="C130" s="45"/>
      <c r="D130" s="95"/>
      <c r="E130" s="39"/>
      <c r="F130" s="94"/>
      <c r="G130" s="44"/>
      <c r="H130" s="35"/>
      <c r="I130" s="42"/>
      <c r="J130" s="35"/>
      <c r="K130" s="35"/>
      <c r="L130" s="87"/>
      <c r="M130" s="22"/>
      <c r="N130" s="89"/>
      <c r="O130" s="35"/>
      <c r="P130" s="37"/>
      <c r="Q130" s="35"/>
      <c r="R130" s="41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</row>
    <row r="131" spans="1:41" ht="13.8" x14ac:dyDescent="0.25">
      <c r="A131" s="22"/>
      <c r="B131" s="91"/>
      <c r="C131" s="45"/>
      <c r="D131" s="95"/>
      <c r="E131" s="39"/>
      <c r="F131" s="94"/>
      <c r="G131" s="44"/>
      <c r="H131" s="35"/>
      <c r="I131" s="42"/>
      <c r="J131" s="35"/>
      <c r="K131" s="35"/>
      <c r="L131" s="87"/>
      <c r="M131" s="22"/>
      <c r="N131" s="89"/>
      <c r="O131" s="35"/>
      <c r="P131" s="37"/>
      <c r="Q131" s="35"/>
      <c r="R131" s="41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</row>
    <row r="132" spans="1:41" ht="13.8" x14ac:dyDescent="0.25">
      <c r="A132" s="22"/>
      <c r="B132" s="91"/>
      <c r="C132" s="45"/>
      <c r="D132" s="95"/>
      <c r="E132" s="39"/>
      <c r="F132" s="94"/>
      <c r="G132" s="44"/>
      <c r="H132" s="35"/>
      <c r="I132" s="42"/>
      <c r="J132" s="35"/>
      <c r="K132" s="35"/>
      <c r="L132" s="87"/>
      <c r="M132" s="22"/>
      <c r="N132" s="89"/>
      <c r="O132" s="35"/>
      <c r="P132" s="37"/>
      <c r="Q132" s="35"/>
      <c r="R132" s="41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</row>
    <row r="133" spans="1:41" ht="13.8" x14ac:dyDescent="0.25">
      <c r="A133" s="22"/>
      <c r="B133" s="91"/>
      <c r="C133" s="45"/>
      <c r="D133" s="95"/>
      <c r="E133" s="39"/>
      <c r="F133" s="94"/>
      <c r="G133" s="44"/>
      <c r="H133" s="35"/>
      <c r="I133" s="42"/>
      <c r="J133" s="35"/>
      <c r="K133" s="35"/>
      <c r="L133" s="87"/>
      <c r="M133" s="22"/>
      <c r="N133" s="89"/>
      <c r="O133" s="35"/>
      <c r="P133" s="37"/>
      <c r="Q133" s="35"/>
      <c r="R133" s="41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</row>
    <row r="134" spans="1:41" ht="13.8" x14ac:dyDescent="0.25">
      <c r="A134" s="22"/>
      <c r="B134" s="91"/>
      <c r="C134" s="45"/>
      <c r="D134" s="95"/>
      <c r="E134" s="39"/>
      <c r="F134" s="94"/>
      <c r="G134" s="44"/>
      <c r="H134" s="35"/>
      <c r="I134" s="42"/>
      <c r="J134" s="35"/>
      <c r="K134" s="35"/>
      <c r="L134" s="87"/>
      <c r="M134" s="22"/>
      <c r="N134" s="89"/>
      <c r="O134" s="35"/>
      <c r="P134" s="37"/>
      <c r="Q134" s="35"/>
      <c r="R134" s="41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</row>
    <row r="135" spans="1:41" ht="13.8" x14ac:dyDescent="0.25">
      <c r="A135" s="22"/>
      <c r="B135" s="91"/>
      <c r="C135" s="45"/>
      <c r="D135" s="95"/>
      <c r="E135" s="39"/>
      <c r="F135" s="94"/>
      <c r="G135" s="44"/>
      <c r="H135" s="35"/>
      <c r="I135" s="42"/>
      <c r="J135" s="35"/>
      <c r="K135" s="35"/>
      <c r="L135" s="87"/>
      <c r="M135" s="22"/>
      <c r="N135" s="89"/>
      <c r="O135" s="35"/>
      <c r="P135" s="37"/>
      <c r="Q135" s="35"/>
      <c r="R135" s="41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</row>
    <row r="136" spans="1:41" ht="13.8" x14ac:dyDescent="0.25">
      <c r="A136" s="22"/>
      <c r="B136" s="91"/>
      <c r="C136" s="45"/>
      <c r="D136" s="95"/>
      <c r="E136" s="39"/>
      <c r="F136" s="94"/>
      <c r="G136" s="44"/>
      <c r="H136" s="35"/>
      <c r="I136" s="42"/>
      <c r="J136" s="35"/>
      <c r="K136" s="35"/>
      <c r="L136" s="87"/>
      <c r="M136" s="22"/>
      <c r="N136" s="89"/>
      <c r="O136" s="35"/>
      <c r="P136" s="37"/>
      <c r="Q136" s="35"/>
      <c r="R136" s="41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</row>
    <row r="137" spans="1:41" ht="13.8" x14ac:dyDescent="0.25">
      <c r="A137" s="22"/>
      <c r="B137" s="91"/>
      <c r="C137" s="45"/>
      <c r="D137" s="95"/>
      <c r="E137" s="39"/>
      <c r="F137" s="94"/>
      <c r="G137" s="44"/>
      <c r="H137" s="35"/>
      <c r="I137" s="42"/>
      <c r="J137" s="35"/>
      <c r="K137" s="35"/>
      <c r="L137" s="87"/>
      <c r="M137" s="22"/>
      <c r="N137" s="89"/>
      <c r="O137" s="35"/>
      <c r="P137" s="37"/>
      <c r="Q137" s="35"/>
      <c r="R137" s="41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</row>
    <row r="138" spans="1:41" ht="13.8" x14ac:dyDescent="0.25">
      <c r="A138" s="22"/>
      <c r="B138" s="91"/>
      <c r="C138" s="45"/>
      <c r="D138" s="95"/>
      <c r="E138" s="39"/>
      <c r="F138" s="94"/>
      <c r="G138" s="44"/>
      <c r="H138" s="35"/>
      <c r="I138" s="42"/>
      <c r="J138" s="35"/>
      <c r="K138" s="35"/>
      <c r="L138" s="87"/>
      <c r="M138" s="22"/>
      <c r="N138" s="89"/>
      <c r="O138" s="35"/>
      <c r="P138" s="37"/>
      <c r="Q138" s="35"/>
      <c r="R138" s="41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</row>
    <row r="139" spans="1:41" ht="13.8" x14ac:dyDescent="0.25">
      <c r="A139" s="22"/>
      <c r="B139" s="91"/>
      <c r="C139" s="45"/>
      <c r="D139" s="95"/>
      <c r="E139" s="39"/>
      <c r="F139" s="94"/>
      <c r="G139" s="44"/>
      <c r="H139" s="35"/>
      <c r="I139" s="42"/>
      <c r="J139" s="35"/>
      <c r="K139" s="35"/>
      <c r="L139" s="87"/>
      <c r="M139" s="22"/>
      <c r="N139" s="89"/>
      <c r="O139" s="35"/>
      <c r="P139" s="37"/>
      <c r="Q139" s="35"/>
      <c r="R139" s="41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</row>
    <row r="140" spans="1:41" ht="13.8" x14ac:dyDescent="0.25">
      <c r="A140" s="22"/>
      <c r="B140" s="91"/>
      <c r="C140" s="45"/>
      <c r="D140" s="95"/>
      <c r="E140" s="39"/>
      <c r="F140" s="94"/>
      <c r="G140" s="44"/>
      <c r="H140" s="35"/>
      <c r="I140" s="42"/>
      <c r="J140" s="35"/>
      <c r="K140" s="35"/>
      <c r="L140" s="87"/>
      <c r="M140" s="22"/>
      <c r="N140" s="89"/>
      <c r="O140" s="35"/>
      <c r="P140" s="37"/>
      <c r="Q140" s="35"/>
      <c r="R140" s="41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</row>
    <row r="141" spans="1:41" ht="13.8" x14ac:dyDescent="0.25">
      <c r="A141" s="22"/>
      <c r="B141" s="91"/>
      <c r="C141" s="45"/>
      <c r="D141" s="95"/>
      <c r="E141" s="39"/>
      <c r="F141" s="94"/>
      <c r="G141" s="44"/>
      <c r="H141" s="35"/>
      <c r="I141" s="42"/>
      <c r="J141" s="35"/>
      <c r="K141" s="35"/>
      <c r="L141" s="87"/>
      <c r="M141" s="22"/>
      <c r="N141" s="89"/>
      <c r="O141" s="35"/>
      <c r="P141" s="37"/>
      <c r="Q141" s="35"/>
      <c r="R141" s="41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</row>
    <row r="142" spans="1:41" ht="13.8" x14ac:dyDescent="0.25">
      <c r="A142" s="22"/>
      <c r="B142" s="91"/>
      <c r="C142" s="45"/>
      <c r="D142" s="95"/>
      <c r="E142" s="39"/>
      <c r="F142" s="94"/>
      <c r="G142" s="44"/>
      <c r="H142" s="35"/>
      <c r="I142" s="42"/>
      <c r="J142" s="35"/>
      <c r="K142" s="35"/>
      <c r="L142" s="87"/>
      <c r="M142" s="22"/>
      <c r="N142" s="89"/>
      <c r="O142" s="35"/>
      <c r="P142" s="37"/>
      <c r="Q142" s="35"/>
      <c r="R142" s="41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</row>
    <row r="143" spans="1:41" ht="13.8" x14ac:dyDescent="0.25">
      <c r="A143" s="22"/>
      <c r="B143" s="91"/>
      <c r="C143" s="45"/>
      <c r="D143" s="95"/>
      <c r="E143" s="39"/>
      <c r="F143" s="94"/>
      <c r="G143" s="44"/>
      <c r="H143" s="35"/>
      <c r="I143" s="42"/>
      <c r="J143" s="35"/>
      <c r="K143" s="35"/>
      <c r="L143" s="87"/>
      <c r="M143" s="22"/>
      <c r="N143" s="89"/>
      <c r="O143" s="35"/>
      <c r="P143" s="37"/>
      <c r="Q143" s="35"/>
      <c r="R143" s="41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</row>
    <row r="144" spans="1:41" ht="13.8" x14ac:dyDescent="0.25">
      <c r="A144" s="22"/>
      <c r="B144" s="91"/>
      <c r="C144" s="45"/>
      <c r="D144" s="95"/>
      <c r="E144" s="39"/>
      <c r="F144" s="94"/>
      <c r="G144" s="44"/>
      <c r="H144" s="35"/>
      <c r="I144" s="42"/>
      <c r="J144" s="35"/>
      <c r="K144" s="35"/>
      <c r="L144" s="87"/>
      <c r="M144" s="22"/>
      <c r="N144" s="89"/>
      <c r="O144" s="35"/>
      <c r="P144" s="37"/>
      <c r="Q144" s="35"/>
      <c r="R144" s="41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</row>
    <row r="145" spans="1:41" ht="13.8" x14ac:dyDescent="0.25">
      <c r="A145" s="22"/>
      <c r="B145" s="91"/>
      <c r="C145" s="45"/>
      <c r="D145" s="95"/>
      <c r="E145" s="39"/>
      <c r="F145" s="94"/>
      <c r="G145" s="44"/>
      <c r="H145" s="35"/>
      <c r="I145" s="42"/>
      <c r="J145" s="35"/>
      <c r="K145" s="35"/>
      <c r="L145" s="87"/>
      <c r="M145" s="22"/>
      <c r="N145" s="89"/>
      <c r="O145" s="35"/>
      <c r="P145" s="37"/>
      <c r="Q145" s="35"/>
      <c r="R145" s="41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</row>
    <row r="146" spans="1:41" ht="13.8" x14ac:dyDescent="0.25">
      <c r="A146" s="22"/>
      <c r="B146" s="91"/>
      <c r="C146" s="45"/>
      <c r="D146" s="95"/>
      <c r="E146" s="39"/>
      <c r="F146" s="94"/>
      <c r="G146" s="44"/>
      <c r="H146" s="35"/>
      <c r="I146" s="42"/>
      <c r="J146" s="35"/>
      <c r="K146" s="35"/>
      <c r="L146" s="87"/>
      <c r="M146" s="22"/>
      <c r="N146" s="89"/>
      <c r="O146" s="35"/>
      <c r="P146" s="37"/>
      <c r="Q146" s="35"/>
      <c r="R146" s="41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</row>
    <row r="147" spans="1:41" ht="13.8" x14ac:dyDescent="0.25">
      <c r="A147" s="22"/>
      <c r="B147" s="91"/>
      <c r="C147" s="45"/>
      <c r="D147" s="95"/>
      <c r="E147" s="39"/>
      <c r="F147" s="94"/>
      <c r="G147" s="44"/>
      <c r="H147" s="35"/>
      <c r="I147" s="42"/>
      <c r="J147" s="35"/>
      <c r="K147" s="35"/>
      <c r="L147" s="87"/>
      <c r="M147" s="22"/>
      <c r="N147" s="89"/>
      <c r="O147" s="35"/>
      <c r="P147" s="37"/>
      <c r="Q147" s="35"/>
      <c r="R147" s="41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</row>
    <row r="148" spans="1:41" ht="13.8" x14ac:dyDescent="0.25">
      <c r="A148" s="22"/>
      <c r="B148" s="91"/>
      <c r="C148" s="45"/>
      <c r="D148" s="95"/>
      <c r="E148" s="39"/>
      <c r="F148" s="94"/>
      <c r="G148" s="44"/>
      <c r="H148" s="35"/>
      <c r="I148" s="42"/>
      <c r="J148" s="35"/>
      <c r="K148" s="35"/>
      <c r="L148" s="87"/>
      <c r="M148" s="22"/>
      <c r="N148" s="89"/>
      <c r="O148" s="35"/>
      <c r="P148" s="37"/>
      <c r="Q148" s="35"/>
      <c r="R148" s="41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</row>
    <row r="149" spans="1:41" ht="13.8" x14ac:dyDescent="0.25">
      <c r="A149" s="22"/>
      <c r="B149" s="91"/>
      <c r="C149" s="45"/>
      <c r="D149" s="95"/>
      <c r="E149" s="39"/>
      <c r="F149" s="94"/>
      <c r="G149" s="44"/>
      <c r="H149" s="35"/>
      <c r="I149" s="42"/>
      <c r="J149" s="35"/>
      <c r="K149" s="35"/>
      <c r="L149" s="87"/>
      <c r="M149" s="22"/>
      <c r="N149" s="89"/>
      <c r="O149" s="35"/>
      <c r="P149" s="37"/>
      <c r="Q149" s="35"/>
      <c r="R149" s="41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</row>
    <row r="150" spans="1:41" ht="13.8" x14ac:dyDescent="0.25">
      <c r="A150" s="22"/>
      <c r="B150" s="91"/>
      <c r="C150" s="45"/>
      <c r="D150" s="95"/>
      <c r="E150" s="39"/>
      <c r="F150" s="94"/>
      <c r="G150" s="44"/>
      <c r="H150" s="35"/>
      <c r="I150" s="42"/>
      <c r="J150" s="35"/>
      <c r="K150" s="35"/>
      <c r="L150" s="87"/>
      <c r="M150" s="22"/>
      <c r="N150" s="89"/>
      <c r="O150" s="35"/>
      <c r="P150" s="37"/>
      <c r="Q150" s="35"/>
      <c r="R150" s="41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</row>
    <row r="151" spans="1:41" ht="13.8" x14ac:dyDescent="0.25">
      <c r="A151" s="22"/>
      <c r="B151" s="91"/>
      <c r="C151" s="45"/>
      <c r="D151" s="95"/>
      <c r="E151" s="39"/>
      <c r="F151" s="94"/>
      <c r="G151" s="44"/>
      <c r="H151" s="35"/>
      <c r="I151" s="42"/>
      <c r="J151" s="35"/>
      <c r="K151" s="35"/>
      <c r="L151" s="87"/>
      <c r="M151" s="22"/>
      <c r="N151" s="89"/>
      <c r="O151" s="35"/>
      <c r="P151" s="37"/>
      <c r="Q151" s="35"/>
      <c r="R151" s="41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</row>
    <row r="152" spans="1:41" ht="13.8" x14ac:dyDescent="0.25">
      <c r="A152" s="22"/>
      <c r="B152" s="91"/>
      <c r="C152" s="45"/>
      <c r="D152" s="95"/>
      <c r="E152" s="39"/>
      <c r="F152" s="94"/>
      <c r="G152" s="44"/>
      <c r="H152" s="35"/>
      <c r="I152" s="42"/>
      <c r="J152" s="35"/>
      <c r="K152" s="35"/>
      <c r="L152" s="87"/>
      <c r="M152" s="22"/>
      <c r="N152" s="89"/>
      <c r="O152" s="35"/>
      <c r="P152" s="37"/>
      <c r="Q152" s="35"/>
      <c r="R152" s="41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</row>
    <row r="153" spans="1:41" ht="13.8" x14ac:dyDescent="0.25">
      <c r="A153" s="22"/>
      <c r="B153" s="91"/>
      <c r="C153" s="45"/>
      <c r="D153" s="95"/>
      <c r="E153" s="39"/>
      <c r="F153" s="94"/>
      <c r="G153" s="44"/>
      <c r="H153" s="35"/>
      <c r="I153" s="42"/>
      <c r="J153" s="35"/>
      <c r="K153" s="35"/>
      <c r="L153" s="87"/>
      <c r="M153" s="22"/>
      <c r="N153" s="89"/>
      <c r="O153" s="35"/>
      <c r="P153" s="37"/>
      <c r="Q153" s="35"/>
      <c r="R153" s="41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</row>
    <row r="154" spans="1:41" ht="13.8" x14ac:dyDescent="0.25">
      <c r="A154" s="22"/>
      <c r="B154" s="91"/>
      <c r="C154" s="45"/>
      <c r="D154" s="95"/>
      <c r="E154" s="39"/>
      <c r="F154" s="94"/>
      <c r="G154" s="44"/>
      <c r="H154" s="35"/>
      <c r="I154" s="42"/>
      <c r="J154" s="35"/>
      <c r="K154" s="35"/>
      <c r="L154" s="87"/>
      <c r="M154" s="22"/>
      <c r="N154" s="89"/>
      <c r="O154" s="35"/>
      <c r="P154" s="37"/>
      <c r="Q154" s="35"/>
      <c r="R154" s="41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</row>
    <row r="155" spans="1:41" ht="13.8" x14ac:dyDescent="0.25">
      <c r="A155" s="22"/>
      <c r="B155" s="91"/>
      <c r="C155" s="45"/>
      <c r="D155" s="95"/>
      <c r="E155" s="39"/>
      <c r="F155" s="94"/>
      <c r="G155" s="44"/>
      <c r="H155" s="35"/>
      <c r="I155" s="42"/>
      <c r="J155" s="35"/>
      <c r="K155" s="35"/>
      <c r="L155" s="87"/>
      <c r="M155" s="22"/>
      <c r="N155" s="89"/>
      <c r="O155" s="35"/>
      <c r="P155" s="37"/>
      <c r="Q155" s="35"/>
      <c r="R155" s="41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</row>
    <row r="156" spans="1:41" ht="13.8" x14ac:dyDescent="0.25">
      <c r="A156" s="22"/>
      <c r="B156" s="91"/>
      <c r="C156" s="45"/>
      <c r="D156" s="95"/>
      <c r="E156" s="39"/>
      <c r="F156" s="94"/>
      <c r="G156" s="44"/>
      <c r="H156" s="35"/>
      <c r="I156" s="42"/>
      <c r="J156" s="35"/>
      <c r="K156" s="35"/>
      <c r="L156" s="87"/>
      <c r="M156" s="22"/>
      <c r="N156" s="89"/>
      <c r="O156" s="35"/>
      <c r="P156" s="37"/>
      <c r="Q156" s="35"/>
      <c r="R156" s="41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</row>
    <row r="157" spans="1:41" ht="13.8" x14ac:dyDescent="0.25">
      <c r="A157" s="22"/>
      <c r="B157" s="91"/>
      <c r="C157" s="45"/>
      <c r="D157" s="95"/>
      <c r="E157" s="39"/>
      <c r="F157" s="94"/>
      <c r="G157" s="44"/>
      <c r="H157" s="35"/>
      <c r="I157" s="42"/>
      <c r="J157" s="35"/>
      <c r="K157" s="35"/>
      <c r="L157" s="87"/>
      <c r="M157" s="22"/>
      <c r="N157" s="89"/>
      <c r="O157" s="35"/>
      <c r="P157" s="37"/>
      <c r="Q157" s="35"/>
      <c r="R157" s="41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</row>
    <row r="158" spans="1:41" ht="13.8" x14ac:dyDescent="0.25">
      <c r="A158" s="22"/>
      <c r="B158" s="91"/>
      <c r="C158" s="45"/>
      <c r="D158" s="95"/>
      <c r="E158" s="39"/>
      <c r="F158" s="94"/>
      <c r="G158" s="44"/>
      <c r="H158" s="35"/>
      <c r="I158" s="42"/>
      <c r="J158" s="35"/>
      <c r="K158" s="35"/>
      <c r="L158" s="87"/>
      <c r="M158" s="22"/>
      <c r="N158" s="89"/>
      <c r="O158" s="35"/>
      <c r="P158" s="37"/>
      <c r="Q158" s="35"/>
      <c r="R158" s="41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</row>
    <row r="159" spans="1:41" ht="13.8" x14ac:dyDescent="0.25">
      <c r="A159" s="22"/>
      <c r="B159" s="91"/>
      <c r="C159" s="45"/>
      <c r="D159" s="95"/>
      <c r="E159" s="39"/>
      <c r="F159" s="94"/>
      <c r="G159" s="44"/>
      <c r="H159" s="35"/>
      <c r="I159" s="42"/>
      <c r="J159" s="35"/>
      <c r="K159" s="35"/>
      <c r="L159" s="87"/>
      <c r="M159" s="22"/>
      <c r="N159" s="89"/>
      <c r="O159" s="35"/>
      <c r="P159" s="37"/>
      <c r="Q159" s="35"/>
      <c r="R159" s="41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</row>
    <row r="160" spans="1:41" ht="13.8" x14ac:dyDescent="0.25">
      <c r="A160" s="22"/>
      <c r="B160" s="91"/>
      <c r="C160" s="45"/>
      <c r="D160" s="95"/>
      <c r="E160" s="39"/>
      <c r="F160" s="94"/>
      <c r="G160" s="44"/>
      <c r="H160" s="35"/>
      <c r="I160" s="42"/>
      <c r="J160" s="35"/>
      <c r="K160" s="35"/>
      <c r="L160" s="87"/>
      <c r="M160" s="22"/>
      <c r="N160" s="89"/>
      <c r="O160" s="35"/>
      <c r="P160" s="37"/>
      <c r="Q160" s="35"/>
      <c r="R160" s="41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</row>
    <row r="161" spans="1:41" ht="13.8" x14ac:dyDescent="0.25">
      <c r="A161" s="22"/>
      <c r="B161" s="91"/>
      <c r="C161" s="45"/>
      <c r="D161" s="95"/>
      <c r="E161" s="39"/>
      <c r="F161" s="94"/>
      <c r="G161" s="44"/>
      <c r="H161" s="35"/>
      <c r="I161" s="42"/>
      <c r="J161" s="35"/>
      <c r="K161" s="35"/>
      <c r="L161" s="87"/>
      <c r="M161" s="22"/>
      <c r="N161" s="89"/>
      <c r="O161" s="35"/>
      <c r="P161" s="37"/>
      <c r="Q161" s="35"/>
      <c r="R161" s="41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</row>
    <row r="162" spans="1:41" ht="13.8" x14ac:dyDescent="0.25">
      <c r="A162" s="22"/>
      <c r="B162" s="91"/>
      <c r="C162" s="45"/>
      <c r="D162" s="95"/>
      <c r="E162" s="39"/>
      <c r="F162" s="94"/>
      <c r="G162" s="44"/>
      <c r="H162" s="35"/>
      <c r="I162" s="42"/>
      <c r="J162" s="35"/>
      <c r="K162" s="35"/>
      <c r="L162" s="87"/>
      <c r="M162" s="22"/>
      <c r="N162" s="89"/>
      <c r="O162" s="35"/>
      <c r="P162" s="37"/>
      <c r="Q162" s="35"/>
      <c r="R162" s="41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</row>
    <row r="163" spans="1:41" ht="13.8" x14ac:dyDescent="0.25">
      <c r="A163" s="22"/>
      <c r="B163" s="91"/>
      <c r="C163" s="45"/>
      <c r="D163" s="95"/>
      <c r="E163" s="39"/>
      <c r="F163" s="94"/>
      <c r="G163" s="44"/>
      <c r="H163" s="35"/>
      <c r="I163" s="42"/>
      <c r="J163" s="35"/>
      <c r="K163" s="35"/>
      <c r="L163" s="87"/>
      <c r="M163" s="22"/>
      <c r="N163" s="89"/>
      <c r="O163" s="35"/>
      <c r="P163" s="37"/>
      <c r="Q163" s="35"/>
      <c r="R163" s="41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</row>
    <row r="164" spans="1:41" ht="13.8" x14ac:dyDescent="0.25">
      <c r="A164" s="22"/>
      <c r="B164" s="91"/>
      <c r="C164" s="45"/>
      <c r="D164" s="95"/>
      <c r="E164" s="39"/>
      <c r="F164" s="94"/>
      <c r="G164" s="44"/>
      <c r="H164" s="35"/>
      <c r="I164" s="42"/>
      <c r="J164" s="35"/>
      <c r="K164" s="35"/>
      <c r="L164" s="87"/>
      <c r="M164" s="22"/>
      <c r="N164" s="89"/>
      <c r="O164" s="35"/>
      <c r="P164" s="37"/>
      <c r="Q164" s="35"/>
      <c r="R164" s="41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</row>
    <row r="165" spans="1:41" ht="13.8" x14ac:dyDescent="0.25">
      <c r="A165" s="22"/>
      <c r="B165" s="91"/>
      <c r="C165" s="45"/>
      <c r="D165" s="95"/>
      <c r="E165" s="39"/>
      <c r="F165" s="94"/>
      <c r="G165" s="44"/>
      <c r="H165" s="35"/>
      <c r="I165" s="42"/>
      <c r="J165" s="35"/>
      <c r="K165" s="35"/>
      <c r="L165" s="87"/>
      <c r="M165" s="22"/>
      <c r="N165" s="89"/>
      <c r="O165" s="35"/>
      <c r="P165" s="37"/>
      <c r="Q165" s="35"/>
      <c r="R165" s="41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</row>
    <row r="166" spans="1:41" ht="13.8" x14ac:dyDescent="0.25">
      <c r="A166" s="22"/>
      <c r="B166" s="91"/>
      <c r="C166" s="45"/>
      <c r="D166" s="95"/>
      <c r="E166" s="39"/>
      <c r="F166" s="94"/>
      <c r="G166" s="44"/>
      <c r="H166" s="35"/>
      <c r="I166" s="42"/>
      <c r="J166" s="35"/>
      <c r="K166" s="35"/>
      <c r="L166" s="87"/>
      <c r="M166" s="22"/>
      <c r="N166" s="89"/>
      <c r="O166" s="35"/>
      <c r="P166" s="37"/>
      <c r="Q166" s="35"/>
      <c r="R166" s="41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</row>
    <row r="167" spans="1:41" ht="13.8" x14ac:dyDescent="0.25">
      <c r="A167" s="22"/>
      <c r="B167" s="91"/>
      <c r="C167" s="45"/>
      <c r="D167" s="95"/>
      <c r="E167" s="39"/>
      <c r="F167" s="94"/>
      <c r="G167" s="44"/>
      <c r="H167" s="35"/>
      <c r="I167" s="42"/>
      <c r="J167" s="35"/>
      <c r="K167" s="35"/>
      <c r="L167" s="87"/>
      <c r="M167" s="22"/>
      <c r="N167" s="89"/>
      <c r="O167" s="35"/>
      <c r="P167" s="37"/>
      <c r="Q167" s="35"/>
      <c r="R167" s="41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</row>
    <row r="168" spans="1:41" ht="13.8" x14ac:dyDescent="0.25">
      <c r="A168" s="22"/>
      <c r="B168" s="91"/>
      <c r="C168" s="45"/>
      <c r="D168" s="95"/>
      <c r="E168" s="39"/>
      <c r="F168" s="94"/>
      <c r="G168" s="44"/>
      <c r="H168" s="35"/>
      <c r="I168" s="42"/>
      <c r="J168" s="35"/>
      <c r="K168" s="35"/>
      <c r="L168" s="87"/>
      <c r="M168" s="22"/>
      <c r="N168" s="89"/>
      <c r="O168" s="35"/>
      <c r="P168" s="37"/>
      <c r="Q168" s="35"/>
      <c r="R168" s="41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</row>
    <row r="169" spans="1:41" ht="13.8" x14ac:dyDescent="0.25">
      <c r="A169" s="22"/>
      <c r="B169" s="91"/>
      <c r="C169" s="45"/>
      <c r="D169" s="95"/>
      <c r="E169" s="39"/>
      <c r="F169" s="94"/>
      <c r="G169" s="44"/>
      <c r="H169" s="35"/>
      <c r="I169" s="42"/>
      <c r="J169" s="35"/>
      <c r="K169" s="35"/>
      <c r="L169" s="87"/>
      <c r="M169" s="22"/>
      <c r="N169" s="89"/>
      <c r="O169" s="35"/>
      <c r="P169" s="37"/>
      <c r="Q169" s="35"/>
      <c r="R169" s="41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</row>
    <row r="170" spans="1:41" ht="13.8" x14ac:dyDescent="0.25">
      <c r="A170" s="22"/>
      <c r="B170" s="91"/>
      <c r="C170" s="45"/>
      <c r="D170" s="95"/>
      <c r="E170" s="39"/>
      <c r="F170" s="94"/>
      <c r="G170" s="44"/>
      <c r="H170" s="35"/>
      <c r="I170" s="42"/>
      <c r="J170" s="35"/>
      <c r="K170" s="35"/>
      <c r="L170" s="87"/>
      <c r="M170" s="22"/>
      <c r="N170" s="89"/>
      <c r="O170" s="35"/>
      <c r="P170" s="37"/>
      <c r="Q170" s="35"/>
      <c r="R170" s="41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</row>
    <row r="171" spans="1:41" ht="13.8" x14ac:dyDescent="0.25">
      <c r="A171" s="22"/>
      <c r="B171" s="91"/>
      <c r="C171" s="45"/>
      <c r="D171" s="95"/>
      <c r="E171" s="39"/>
      <c r="F171" s="94"/>
      <c r="G171" s="44"/>
      <c r="H171" s="35"/>
      <c r="I171" s="42"/>
      <c r="J171" s="35"/>
      <c r="K171" s="35"/>
      <c r="L171" s="87"/>
      <c r="M171" s="22"/>
      <c r="N171" s="89"/>
      <c r="O171" s="35"/>
      <c r="P171" s="37"/>
      <c r="Q171" s="35"/>
      <c r="R171" s="41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</row>
    <row r="172" spans="1:41" ht="13.8" x14ac:dyDescent="0.25">
      <c r="A172" s="22"/>
      <c r="B172" s="91"/>
      <c r="C172" s="45"/>
      <c r="D172" s="95"/>
      <c r="E172" s="39"/>
      <c r="F172" s="94"/>
      <c r="G172" s="44"/>
      <c r="H172" s="35"/>
      <c r="I172" s="42"/>
      <c r="J172" s="35"/>
      <c r="K172" s="35"/>
      <c r="L172" s="87"/>
      <c r="M172" s="22"/>
      <c r="N172" s="89"/>
      <c r="O172" s="35"/>
      <c r="P172" s="37"/>
      <c r="Q172" s="35"/>
      <c r="R172" s="41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</row>
    <row r="173" spans="1:41" ht="13.8" x14ac:dyDescent="0.25">
      <c r="A173" s="22"/>
      <c r="B173" s="91"/>
      <c r="C173" s="45"/>
      <c r="D173" s="95"/>
      <c r="E173" s="39"/>
      <c r="F173" s="94"/>
      <c r="G173" s="44"/>
      <c r="H173" s="35"/>
      <c r="I173" s="42"/>
      <c r="J173" s="35"/>
      <c r="K173" s="35"/>
      <c r="L173" s="87"/>
      <c r="M173" s="22"/>
      <c r="N173" s="89"/>
      <c r="O173" s="35"/>
      <c r="P173" s="37"/>
      <c r="Q173" s="35"/>
      <c r="R173" s="41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</row>
    <row r="174" spans="1:41" ht="13.8" x14ac:dyDescent="0.25">
      <c r="A174" s="22"/>
      <c r="B174" s="91"/>
      <c r="C174" s="45"/>
      <c r="D174" s="95"/>
      <c r="E174" s="39"/>
      <c r="F174" s="94"/>
      <c r="G174" s="44"/>
      <c r="H174" s="35"/>
      <c r="I174" s="42"/>
      <c r="J174" s="35"/>
      <c r="K174" s="35"/>
      <c r="L174" s="87"/>
      <c r="M174" s="22"/>
      <c r="N174" s="89"/>
      <c r="O174" s="35"/>
      <c r="P174" s="37"/>
      <c r="Q174" s="35"/>
      <c r="R174" s="41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</row>
    <row r="175" spans="1:41" ht="13.8" x14ac:dyDescent="0.25">
      <c r="A175" s="22"/>
      <c r="B175" s="91"/>
      <c r="C175" s="45"/>
      <c r="D175" s="95"/>
      <c r="E175" s="39"/>
      <c r="F175" s="94"/>
      <c r="G175" s="44"/>
      <c r="H175" s="35"/>
      <c r="I175" s="42"/>
      <c r="J175" s="35"/>
      <c r="K175" s="35"/>
      <c r="L175" s="87"/>
      <c r="M175" s="22"/>
      <c r="N175" s="89"/>
      <c r="O175" s="35"/>
      <c r="P175" s="37"/>
      <c r="Q175" s="35"/>
      <c r="R175" s="41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</row>
    <row r="176" spans="1:41" ht="13.8" x14ac:dyDescent="0.25">
      <c r="A176" s="22"/>
      <c r="B176" s="91"/>
      <c r="C176" s="45"/>
      <c r="D176" s="95"/>
      <c r="E176" s="39"/>
      <c r="F176" s="94"/>
      <c r="G176" s="44"/>
      <c r="H176" s="35"/>
      <c r="I176" s="42"/>
      <c r="J176" s="35"/>
      <c r="K176" s="35"/>
      <c r="L176" s="87"/>
      <c r="M176" s="22"/>
      <c r="N176" s="89"/>
      <c r="O176" s="35"/>
      <c r="P176" s="37"/>
      <c r="Q176" s="35"/>
      <c r="R176" s="41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</row>
    <row r="177" spans="1:41" ht="13.8" x14ac:dyDescent="0.25">
      <c r="A177" s="22"/>
      <c r="B177" s="91"/>
      <c r="C177" s="45"/>
      <c r="D177" s="95"/>
      <c r="E177" s="39"/>
      <c r="F177" s="94"/>
      <c r="G177" s="44"/>
      <c r="H177" s="35"/>
      <c r="I177" s="42"/>
      <c r="J177" s="35"/>
      <c r="K177" s="35"/>
      <c r="L177" s="87"/>
      <c r="M177" s="22"/>
      <c r="N177" s="89"/>
      <c r="O177" s="35"/>
      <c r="P177" s="37"/>
      <c r="Q177" s="35"/>
      <c r="R177" s="41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</row>
    <row r="178" spans="1:41" ht="13.8" x14ac:dyDescent="0.25">
      <c r="A178" s="22"/>
      <c r="B178" s="91"/>
      <c r="C178" s="45"/>
      <c r="D178" s="95"/>
      <c r="E178" s="39"/>
      <c r="F178" s="94"/>
      <c r="G178" s="44"/>
      <c r="H178" s="35"/>
      <c r="I178" s="42"/>
      <c r="J178" s="35"/>
      <c r="K178" s="35"/>
      <c r="L178" s="87"/>
      <c r="M178" s="22"/>
      <c r="N178" s="89"/>
      <c r="O178" s="35"/>
      <c r="P178" s="37"/>
      <c r="Q178" s="35"/>
      <c r="R178" s="41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</row>
    <row r="179" spans="1:41" ht="13.8" x14ac:dyDescent="0.25">
      <c r="A179" s="22"/>
      <c r="B179" s="91"/>
      <c r="C179" s="45"/>
      <c r="D179" s="95"/>
      <c r="E179" s="39"/>
      <c r="F179" s="94"/>
      <c r="G179" s="44"/>
      <c r="H179" s="35"/>
      <c r="I179" s="42"/>
      <c r="J179" s="35"/>
      <c r="K179" s="35"/>
      <c r="L179" s="87"/>
      <c r="M179" s="22"/>
      <c r="N179" s="89"/>
      <c r="O179" s="35"/>
      <c r="P179" s="37"/>
      <c r="Q179" s="35"/>
      <c r="R179" s="41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</row>
    <row r="180" spans="1:41" ht="13.8" x14ac:dyDescent="0.25">
      <c r="A180" s="22"/>
      <c r="B180" s="91"/>
      <c r="C180" s="45"/>
      <c r="D180" s="95"/>
      <c r="E180" s="39"/>
      <c r="F180" s="94"/>
      <c r="G180" s="44"/>
      <c r="H180" s="35"/>
      <c r="I180" s="42"/>
      <c r="J180" s="35"/>
      <c r="K180" s="35"/>
      <c r="L180" s="87"/>
      <c r="M180" s="22"/>
      <c r="N180" s="89"/>
      <c r="O180" s="35"/>
      <c r="P180" s="37"/>
      <c r="Q180" s="35"/>
      <c r="R180" s="41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</row>
    <row r="181" spans="1:41" ht="13.8" x14ac:dyDescent="0.25">
      <c r="A181" s="22"/>
      <c r="B181" s="91"/>
      <c r="C181" s="45"/>
      <c r="D181" s="95"/>
      <c r="E181" s="39"/>
      <c r="F181" s="94"/>
      <c r="G181" s="44"/>
      <c r="H181" s="35"/>
      <c r="I181" s="42"/>
      <c r="J181" s="35"/>
      <c r="K181" s="35"/>
      <c r="L181" s="87"/>
      <c r="M181" s="22"/>
      <c r="N181" s="89"/>
      <c r="O181" s="35"/>
      <c r="P181" s="37"/>
      <c r="Q181" s="35"/>
      <c r="R181" s="41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</row>
    <row r="182" spans="1:41" ht="13.8" x14ac:dyDescent="0.25">
      <c r="A182" s="22"/>
      <c r="B182" s="91"/>
      <c r="C182" s="45"/>
      <c r="D182" s="95"/>
      <c r="E182" s="39"/>
      <c r="F182" s="94"/>
      <c r="G182" s="44"/>
      <c r="H182" s="35"/>
      <c r="I182" s="42"/>
      <c r="J182" s="35"/>
      <c r="K182" s="35"/>
      <c r="L182" s="87"/>
      <c r="M182" s="22"/>
      <c r="N182" s="89"/>
      <c r="O182" s="35"/>
      <c r="P182" s="37"/>
      <c r="Q182" s="35"/>
      <c r="R182" s="41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</row>
    <row r="183" spans="1:41" ht="13.8" x14ac:dyDescent="0.25">
      <c r="A183" s="22"/>
      <c r="B183" s="91"/>
      <c r="C183" s="45"/>
      <c r="D183" s="95"/>
      <c r="E183" s="39"/>
      <c r="F183" s="94"/>
      <c r="G183" s="44"/>
      <c r="H183" s="35"/>
      <c r="I183" s="42"/>
      <c r="J183" s="35"/>
      <c r="K183" s="35"/>
      <c r="L183" s="87"/>
      <c r="M183" s="22"/>
      <c r="N183" s="89"/>
      <c r="O183" s="35"/>
      <c r="P183" s="37"/>
      <c r="Q183" s="35"/>
      <c r="R183" s="41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</row>
    <row r="184" spans="1:41" ht="13.8" x14ac:dyDescent="0.25">
      <c r="A184" s="22"/>
      <c r="B184" s="91"/>
      <c r="C184" s="45"/>
      <c r="D184" s="95"/>
      <c r="E184" s="39"/>
      <c r="F184" s="94"/>
      <c r="G184" s="44"/>
      <c r="H184" s="35"/>
      <c r="I184" s="42"/>
      <c r="J184" s="35"/>
      <c r="K184" s="35"/>
      <c r="L184" s="87"/>
      <c r="M184" s="22"/>
      <c r="N184" s="89"/>
      <c r="O184" s="35"/>
      <c r="P184" s="37"/>
      <c r="Q184" s="35"/>
      <c r="R184" s="41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</row>
    <row r="185" spans="1:41" ht="13.8" x14ac:dyDescent="0.25">
      <c r="A185" s="22"/>
      <c r="B185" s="91"/>
      <c r="C185" s="45"/>
      <c r="D185" s="95"/>
      <c r="E185" s="39"/>
      <c r="F185" s="94"/>
      <c r="G185" s="44"/>
      <c r="H185" s="35"/>
      <c r="I185" s="42"/>
      <c r="J185" s="35"/>
      <c r="K185" s="35"/>
      <c r="L185" s="87"/>
      <c r="M185" s="22"/>
      <c r="N185" s="89"/>
      <c r="O185" s="35"/>
      <c r="P185" s="37"/>
      <c r="Q185" s="35"/>
      <c r="R185" s="41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</row>
    <row r="186" spans="1:41" ht="13.8" x14ac:dyDescent="0.25">
      <c r="A186" s="22"/>
      <c r="B186" s="91"/>
      <c r="C186" s="45"/>
      <c r="D186" s="95"/>
      <c r="E186" s="39"/>
      <c r="F186" s="94"/>
      <c r="G186" s="44"/>
      <c r="H186" s="35"/>
      <c r="I186" s="42"/>
      <c r="J186" s="35"/>
      <c r="K186" s="35"/>
      <c r="L186" s="87"/>
      <c r="M186" s="22"/>
      <c r="N186" s="89"/>
      <c r="O186" s="35"/>
      <c r="P186" s="37"/>
      <c r="Q186" s="35"/>
      <c r="R186" s="41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</row>
    <row r="187" spans="1:41" ht="13.8" x14ac:dyDescent="0.25">
      <c r="A187" s="22"/>
      <c r="B187" s="91"/>
      <c r="C187" s="45"/>
      <c r="D187" s="95"/>
      <c r="E187" s="39"/>
      <c r="F187" s="94"/>
      <c r="G187" s="44"/>
      <c r="H187" s="35"/>
      <c r="I187" s="42"/>
      <c r="J187" s="35"/>
      <c r="K187" s="35"/>
      <c r="L187" s="87"/>
      <c r="M187" s="22"/>
      <c r="N187" s="89"/>
      <c r="O187" s="35"/>
      <c r="P187" s="37"/>
      <c r="Q187" s="35"/>
      <c r="R187" s="41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</row>
    <row r="188" spans="1:41" ht="13.8" x14ac:dyDescent="0.25">
      <c r="A188" s="22"/>
      <c r="B188" s="91"/>
      <c r="C188" s="45"/>
      <c r="D188" s="95"/>
      <c r="E188" s="39"/>
      <c r="F188" s="94"/>
      <c r="G188" s="44"/>
      <c r="H188" s="35"/>
      <c r="I188" s="42"/>
      <c r="J188" s="35"/>
      <c r="K188" s="35"/>
      <c r="L188" s="87"/>
      <c r="M188" s="22"/>
      <c r="N188" s="89"/>
      <c r="O188" s="35"/>
      <c r="P188" s="37"/>
      <c r="Q188" s="35"/>
      <c r="R188" s="41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</row>
    <row r="189" spans="1:41" ht="13.8" x14ac:dyDescent="0.25">
      <c r="A189" s="22"/>
      <c r="B189" s="91"/>
      <c r="C189" s="45"/>
      <c r="D189" s="95"/>
      <c r="E189" s="39"/>
      <c r="F189" s="94"/>
      <c r="G189" s="44"/>
      <c r="H189" s="35"/>
      <c r="I189" s="42"/>
      <c r="J189" s="35"/>
      <c r="K189" s="35"/>
      <c r="L189" s="87"/>
      <c r="M189" s="22"/>
      <c r="N189" s="89"/>
      <c r="O189" s="35"/>
      <c r="P189" s="37"/>
      <c r="Q189" s="35"/>
      <c r="R189" s="41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</row>
    <row r="190" spans="1:41" ht="13.8" x14ac:dyDescent="0.25">
      <c r="A190" s="22"/>
      <c r="B190" s="91"/>
      <c r="C190" s="45"/>
      <c r="D190" s="95"/>
      <c r="E190" s="39"/>
      <c r="F190" s="94"/>
      <c r="G190" s="44"/>
      <c r="H190" s="35"/>
      <c r="I190" s="42"/>
      <c r="J190" s="35"/>
      <c r="K190" s="35"/>
      <c r="L190" s="87"/>
      <c r="M190" s="22"/>
      <c r="N190" s="89"/>
      <c r="O190" s="35"/>
      <c r="P190" s="37"/>
      <c r="Q190" s="35"/>
      <c r="R190" s="41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</row>
    <row r="191" spans="1:41" ht="13.8" x14ac:dyDescent="0.25">
      <c r="A191" s="22"/>
      <c r="B191" s="91"/>
      <c r="C191" s="45"/>
      <c r="D191" s="95"/>
      <c r="E191" s="39"/>
      <c r="F191" s="94"/>
      <c r="G191" s="44"/>
      <c r="H191" s="35"/>
      <c r="I191" s="42"/>
      <c r="J191" s="35"/>
      <c r="K191" s="35"/>
      <c r="L191" s="87"/>
      <c r="M191" s="22"/>
      <c r="N191" s="89"/>
      <c r="O191" s="35"/>
      <c r="P191" s="37"/>
      <c r="Q191" s="35"/>
      <c r="R191" s="41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</row>
    <row r="192" spans="1:41" ht="13.8" x14ac:dyDescent="0.25">
      <c r="A192" s="22"/>
      <c r="B192" s="91"/>
      <c r="C192" s="45"/>
      <c r="D192" s="95"/>
      <c r="E192" s="39"/>
      <c r="F192" s="94"/>
      <c r="G192" s="44"/>
      <c r="H192" s="35"/>
      <c r="I192" s="42"/>
      <c r="J192" s="35"/>
      <c r="K192" s="35"/>
      <c r="L192" s="87"/>
      <c r="M192" s="22"/>
      <c r="N192" s="89"/>
      <c r="O192" s="35"/>
      <c r="P192" s="37"/>
      <c r="Q192" s="35"/>
      <c r="R192" s="41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</row>
    <row r="193" spans="1:41" ht="13.8" x14ac:dyDescent="0.25">
      <c r="A193" s="22"/>
      <c r="B193" s="91"/>
      <c r="C193" s="45"/>
      <c r="D193" s="95"/>
      <c r="E193" s="39"/>
      <c r="F193" s="94"/>
      <c r="G193" s="44"/>
      <c r="H193" s="35"/>
      <c r="I193" s="42"/>
      <c r="J193" s="35"/>
      <c r="K193" s="35"/>
      <c r="L193" s="87"/>
      <c r="M193" s="22"/>
      <c r="N193" s="89"/>
      <c r="O193" s="35"/>
      <c r="P193" s="37"/>
      <c r="Q193" s="35"/>
      <c r="R193" s="41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</row>
    <row r="194" spans="1:41" ht="13.8" x14ac:dyDescent="0.25">
      <c r="A194" s="22"/>
      <c r="B194" s="91"/>
      <c r="C194" s="45"/>
      <c r="D194" s="95"/>
      <c r="E194" s="39"/>
      <c r="F194" s="94"/>
      <c r="G194" s="44"/>
      <c r="H194" s="35"/>
      <c r="I194" s="42"/>
      <c r="J194" s="35"/>
      <c r="K194" s="35"/>
      <c r="L194" s="87"/>
      <c r="M194" s="22"/>
      <c r="N194" s="89"/>
      <c r="O194" s="35"/>
      <c r="P194" s="37"/>
      <c r="Q194" s="35"/>
      <c r="R194" s="41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</row>
    <row r="195" spans="1:41" ht="13.8" x14ac:dyDescent="0.25">
      <c r="A195" s="22"/>
      <c r="B195" s="91"/>
      <c r="C195" s="45"/>
      <c r="D195" s="95"/>
      <c r="E195" s="39"/>
      <c r="F195" s="94"/>
      <c r="G195" s="44"/>
      <c r="H195" s="35"/>
      <c r="I195" s="42"/>
      <c r="J195" s="35"/>
      <c r="K195" s="35"/>
      <c r="L195" s="87"/>
      <c r="M195" s="22"/>
      <c r="N195" s="89"/>
      <c r="O195" s="35"/>
      <c r="P195" s="37"/>
      <c r="Q195" s="35"/>
      <c r="R195" s="41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</row>
    <row r="196" spans="1:41" ht="13.8" x14ac:dyDescent="0.25">
      <c r="A196" s="22"/>
      <c r="B196" s="91"/>
      <c r="C196" s="45"/>
      <c r="D196" s="95"/>
      <c r="E196" s="39"/>
      <c r="F196" s="94"/>
      <c r="G196" s="44"/>
      <c r="H196" s="35"/>
      <c r="I196" s="42"/>
      <c r="J196" s="35"/>
      <c r="K196" s="35"/>
      <c r="L196" s="87"/>
      <c r="M196" s="22"/>
      <c r="N196" s="89"/>
      <c r="O196" s="35"/>
      <c r="P196" s="37"/>
      <c r="Q196" s="35"/>
      <c r="R196" s="41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</row>
    <row r="197" spans="1:41" ht="13.8" x14ac:dyDescent="0.25">
      <c r="A197" s="22"/>
      <c r="B197" s="91"/>
      <c r="C197" s="45"/>
      <c r="D197" s="95"/>
      <c r="E197" s="39"/>
      <c r="F197" s="94"/>
      <c r="G197" s="44"/>
      <c r="H197" s="35"/>
      <c r="I197" s="42"/>
      <c r="J197" s="35"/>
      <c r="K197" s="35"/>
      <c r="L197" s="87"/>
      <c r="M197" s="22"/>
      <c r="N197" s="89"/>
      <c r="O197" s="35"/>
      <c r="P197" s="37"/>
      <c r="Q197" s="35"/>
      <c r="R197" s="41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</row>
    <row r="198" spans="1:41" ht="13.8" x14ac:dyDescent="0.25">
      <c r="A198" s="22"/>
      <c r="B198" s="91"/>
      <c r="C198" s="45"/>
      <c r="D198" s="95"/>
      <c r="E198" s="39"/>
      <c r="F198" s="94"/>
      <c r="G198" s="44"/>
      <c r="H198" s="35"/>
      <c r="I198" s="42"/>
      <c r="J198" s="35"/>
      <c r="K198" s="35"/>
      <c r="L198" s="87"/>
      <c r="M198" s="22"/>
      <c r="N198" s="89"/>
      <c r="O198" s="35"/>
      <c r="P198" s="37"/>
      <c r="Q198" s="35"/>
      <c r="R198" s="41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</row>
    <row r="199" spans="1:41" ht="13.8" x14ac:dyDescent="0.25">
      <c r="A199" s="22"/>
      <c r="B199" s="91"/>
      <c r="C199" s="45"/>
      <c r="D199" s="95"/>
      <c r="E199" s="39"/>
      <c r="F199" s="94"/>
      <c r="G199" s="44"/>
      <c r="H199" s="35"/>
      <c r="I199" s="42"/>
      <c r="J199" s="35"/>
      <c r="K199" s="35"/>
      <c r="L199" s="87"/>
      <c r="M199" s="22"/>
      <c r="N199" s="89"/>
      <c r="O199" s="35"/>
      <c r="P199" s="37"/>
      <c r="Q199" s="35"/>
      <c r="R199" s="41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</row>
    <row r="200" spans="1:41" ht="13.8" x14ac:dyDescent="0.25">
      <c r="A200" s="22"/>
      <c r="B200" s="91"/>
      <c r="C200" s="45"/>
      <c r="D200" s="95"/>
      <c r="E200" s="39"/>
      <c r="F200" s="94"/>
      <c r="G200" s="44"/>
      <c r="H200" s="35"/>
      <c r="I200" s="42"/>
      <c r="J200" s="35"/>
      <c r="K200" s="35"/>
      <c r="L200" s="87"/>
      <c r="M200" s="22"/>
      <c r="N200" s="89"/>
      <c r="O200" s="35"/>
      <c r="P200" s="37"/>
      <c r="Q200" s="35"/>
      <c r="R200" s="41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</row>
    <row r="201" spans="1:41" ht="13.8" x14ac:dyDescent="0.25">
      <c r="A201" s="22"/>
      <c r="B201" s="91"/>
      <c r="C201" s="45"/>
      <c r="D201" s="95"/>
      <c r="E201" s="39"/>
      <c r="F201" s="94"/>
      <c r="G201" s="44"/>
      <c r="H201" s="35"/>
      <c r="I201" s="42"/>
      <c r="J201" s="35"/>
      <c r="K201" s="35"/>
      <c r="L201" s="87"/>
      <c r="M201" s="22"/>
      <c r="N201" s="89"/>
      <c r="O201" s="35"/>
      <c r="P201" s="37"/>
      <c r="Q201" s="35"/>
      <c r="R201" s="41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</row>
    <row r="202" spans="1:41" ht="13.8" x14ac:dyDescent="0.25">
      <c r="A202" s="22"/>
      <c r="B202" s="91"/>
      <c r="C202" s="45"/>
      <c r="D202" s="95"/>
      <c r="E202" s="39"/>
      <c r="F202" s="94"/>
      <c r="G202" s="44"/>
      <c r="H202" s="35"/>
      <c r="I202" s="42"/>
      <c r="J202" s="35"/>
      <c r="K202" s="35"/>
      <c r="L202" s="87"/>
      <c r="M202" s="22"/>
      <c r="N202" s="89"/>
      <c r="O202" s="35"/>
      <c r="P202" s="37"/>
      <c r="Q202" s="35"/>
      <c r="R202" s="41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</row>
    <row r="203" spans="1:41" ht="13.8" x14ac:dyDescent="0.25">
      <c r="A203" s="22"/>
      <c r="B203" s="91"/>
      <c r="C203" s="45"/>
      <c r="D203" s="95"/>
      <c r="E203" s="39"/>
      <c r="F203" s="94"/>
      <c r="G203" s="44"/>
      <c r="H203" s="35"/>
      <c r="I203" s="42"/>
      <c r="J203" s="35"/>
      <c r="K203" s="35"/>
      <c r="L203" s="87"/>
      <c r="M203" s="22"/>
      <c r="N203" s="89"/>
      <c r="O203" s="35"/>
      <c r="P203" s="37"/>
      <c r="Q203" s="35"/>
      <c r="R203" s="41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</row>
    <row r="204" spans="1:41" ht="13.8" x14ac:dyDescent="0.25">
      <c r="A204" s="22"/>
      <c r="B204" s="91"/>
      <c r="C204" s="45"/>
      <c r="D204" s="95"/>
      <c r="E204" s="39"/>
      <c r="F204" s="94"/>
      <c r="G204" s="44"/>
      <c r="H204" s="35"/>
      <c r="I204" s="42"/>
      <c r="J204" s="35"/>
      <c r="K204" s="35"/>
      <c r="L204" s="87"/>
      <c r="M204" s="22"/>
      <c r="N204" s="89"/>
      <c r="O204" s="35"/>
      <c r="P204" s="37"/>
      <c r="Q204" s="35"/>
      <c r="R204" s="41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</row>
    <row r="205" spans="1:41" ht="13.8" x14ac:dyDescent="0.25">
      <c r="A205" s="22"/>
      <c r="B205" s="91"/>
      <c r="C205" s="45"/>
      <c r="D205" s="95"/>
      <c r="E205" s="39"/>
      <c r="F205" s="94"/>
      <c r="G205" s="44"/>
      <c r="H205" s="35"/>
      <c r="I205" s="42"/>
      <c r="J205" s="35"/>
      <c r="K205" s="35"/>
      <c r="L205" s="87"/>
      <c r="M205" s="22"/>
      <c r="N205" s="89"/>
      <c r="O205" s="35"/>
      <c r="P205" s="37"/>
      <c r="Q205" s="35"/>
      <c r="R205" s="41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</row>
    <row r="206" spans="1:41" ht="13.8" x14ac:dyDescent="0.25">
      <c r="A206" s="22"/>
      <c r="B206" s="91"/>
      <c r="C206" s="45"/>
      <c r="D206" s="95"/>
      <c r="E206" s="39"/>
      <c r="F206" s="94"/>
      <c r="G206" s="44"/>
      <c r="H206" s="35"/>
      <c r="I206" s="42"/>
      <c r="J206" s="35"/>
      <c r="K206" s="35"/>
      <c r="L206" s="87"/>
      <c r="M206" s="22"/>
      <c r="N206" s="89"/>
      <c r="O206" s="35"/>
      <c r="P206" s="37"/>
      <c r="Q206" s="35"/>
      <c r="R206" s="41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</row>
    <row r="207" spans="1:41" ht="13.8" x14ac:dyDescent="0.25">
      <c r="A207" s="22"/>
      <c r="B207" s="91"/>
      <c r="C207" s="45"/>
      <c r="D207" s="95"/>
      <c r="E207" s="39"/>
      <c r="F207" s="94"/>
      <c r="G207" s="44"/>
      <c r="H207" s="35"/>
      <c r="I207" s="42"/>
      <c r="J207" s="35"/>
      <c r="K207" s="35"/>
      <c r="L207" s="87"/>
      <c r="M207" s="22"/>
      <c r="N207" s="89"/>
      <c r="O207" s="35"/>
      <c r="P207" s="37"/>
      <c r="Q207" s="35"/>
      <c r="R207" s="41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</row>
    <row r="208" spans="1:41" ht="13.8" x14ac:dyDescent="0.25">
      <c r="A208" s="22"/>
      <c r="B208" s="91"/>
      <c r="C208" s="45"/>
      <c r="D208" s="95"/>
      <c r="E208" s="39"/>
      <c r="F208" s="94"/>
      <c r="G208" s="44"/>
      <c r="H208" s="35"/>
      <c r="I208" s="42"/>
      <c r="J208" s="35"/>
      <c r="K208" s="35"/>
      <c r="L208" s="87"/>
      <c r="M208" s="22"/>
      <c r="N208" s="89"/>
      <c r="O208" s="35"/>
      <c r="P208" s="37"/>
      <c r="Q208" s="35"/>
      <c r="R208" s="41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</row>
    <row r="209" spans="1:41" ht="13.8" x14ac:dyDescent="0.25">
      <c r="A209" s="22"/>
      <c r="B209" s="91"/>
      <c r="C209" s="45"/>
      <c r="D209" s="95"/>
      <c r="E209" s="39"/>
      <c r="F209" s="94"/>
      <c r="G209" s="44"/>
      <c r="H209" s="35"/>
      <c r="I209" s="42"/>
      <c r="J209" s="35"/>
      <c r="K209" s="35"/>
      <c r="L209" s="87"/>
      <c r="M209" s="22"/>
      <c r="N209" s="89"/>
      <c r="O209" s="35"/>
      <c r="P209" s="37"/>
      <c r="Q209" s="35"/>
      <c r="R209" s="41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</row>
    <row r="210" spans="1:41" ht="13.8" x14ac:dyDescent="0.25">
      <c r="A210" s="22"/>
      <c r="B210" s="91"/>
      <c r="C210" s="45"/>
      <c r="D210" s="95"/>
      <c r="E210" s="39"/>
      <c r="F210" s="94"/>
      <c r="G210" s="44"/>
      <c r="H210" s="35"/>
      <c r="I210" s="42"/>
      <c r="J210" s="35"/>
      <c r="K210" s="35"/>
      <c r="L210" s="87"/>
      <c r="M210" s="22"/>
      <c r="N210" s="89"/>
      <c r="O210" s="35"/>
      <c r="P210" s="37"/>
      <c r="Q210" s="35"/>
      <c r="R210" s="41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</row>
    <row r="211" spans="1:41" ht="13.8" x14ac:dyDescent="0.25">
      <c r="A211" s="22"/>
      <c r="B211" s="91"/>
      <c r="C211" s="45"/>
      <c r="D211" s="95"/>
      <c r="E211" s="39"/>
      <c r="F211" s="94"/>
      <c r="G211" s="44"/>
      <c r="H211" s="35"/>
      <c r="I211" s="42"/>
      <c r="J211" s="35"/>
      <c r="K211" s="35"/>
      <c r="L211" s="87"/>
      <c r="M211" s="22"/>
      <c r="N211" s="89"/>
      <c r="O211" s="35"/>
      <c r="P211" s="37"/>
      <c r="Q211" s="35"/>
      <c r="R211" s="41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</row>
    <row r="212" spans="1:41" ht="13.8" x14ac:dyDescent="0.25">
      <c r="A212" s="22"/>
      <c r="B212" s="91"/>
      <c r="C212" s="45"/>
      <c r="D212" s="95"/>
      <c r="E212" s="39"/>
      <c r="F212" s="94"/>
      <c r="G212" s="44"/>
      <c r="H212" s="35"/>
      <c r="I212" s="42"/>
      <c r="J212" s="35"/>
      <c r="K212" s="35"/>
      <c r="L212" s="87"/>
      <c r="M212" s="22"/>
      <c r="N212" s="89"/>
      <c r="O212" s="35"/>
      <c r="P212" s="37"/>
      <c r="Q212" s="35"/>
      <c r="R212" s="41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</row>
    <row r="213" spans="1:41" ht="13.8" x14ac:dyDescent="0.25">
      <c r="A213" s="22"/>
      <c r="B213" s="91"/>
      <c r="C213" s="45"/>
      <c r="D213" s="95"/>
      <c r="E213" s="39"/>
      <c r="F213" s="94"/>
      <c r="G213" s="44"/>
      <c r="H213" s="35"/>
      <c r="I213" s="42"/>
      <c r="J213" s="35"/>
      <c r="K213" s="35"/>
      <c r="L213" s="87"/>
      <c r="M213" s="22"/>
      <c r="N213" s="89"/>
      <c r="O213" s="35"/>
      <c r="P213" s="37"/>
      <c r="Q213" s="35"/>
      <c r="R213" s="41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</row>
    <row r="214" spans="1:41" ht="13.8" x14ac:dyDescent="0.25">
      <c r="A214" s="22"/>
      <c r="B214" s="91"/>
      <c r="C214" s="45"/>
      <c r="D214" s="95"/>
      <c r="E214" s="39"/>
      <c r="F214" s="94"/>
      <c r="G214" s="44"/>
      <c r="H214" s="35"/>
      <c r="I214" s="42"/>
      <c r="J214" s="35"/>
      <c r="K214" s="35"/>
      <c r="L214" s="87"/>
      <c r="M214" s="22"/>
      <c r="N214" s="89"/>
      <c r="O214" s="35"/>
      <c r="P214" s="37"/>
      <c r="Q214" s="35"/>
      <c r="R214" s="41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</row>
    <row r="215" spans="1:41" ht="13.8" x14ac:dyDescent="0.25">
      <c r="A215" s="22"/>
      <c r="B215" s="91"/>
      <c r="C215" s="45"/>
      <c r="D215" s="95"/>
      <c r="E215" s="39"/>
      <c r="F215" s="94"/>
      <c r="G215" s="44"/>
      <c r="H215" s="35"/>
      <c r="I215" s="42"/>
      <c r="J215" s="35"/>
      <c r="K215" s="35"/>
      <c r="L215" s="87"/>
      <c r="M215" s="22"/>
      <c r="N215" s="89"/>
      <c r="O215" s="35"/>
      <c r="P215" s="37"/>
      <c r="Q215" s="35"/>
      <c r="R215" s="41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</row>
    <row r="216" spans="1:41" ht="13.8" x14ac:dyDescent="0.25">
      <c r="A216" s="22"/>
      <c r="B216" s="91"/>
      <c r="C216" s="45"/>
      <c r="D216" s="95"/>
      <c r="E216" s="39"/>
      <c r="F216" s="94"/>
      <c r="G216" s="44"/>
      <c r="H216" s="35"/>
      <c r="I216" s="42"/>
      <c r="J216" s="35"/>
      <c r="K216" s="35"/>
      <c r="L216" s="87"/>
      <c r="M216" s="22"/>
      <c r="N216" s="89"/>
      <c r="O216" s="35"/>
      <c r="P216" s="37"/>
      <c r="Q216" s="35"/>
      <c r="R216" s="41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</row>
    <row r="217" spans="1:41" ht="13.8" x14ac:dyDescent="0.25">
      <c r="A217" s="22"/>
      <c r="B217" s="91"/>
      <c r="C217" s="45"/>
      <c r="D217" s="95"/>
      <c r="E217" s="39"/>
      <c r="F217" s="94"/>
      <c r="G217" s="44"/>
      <c r="H217" s="35"/>
      <c r="I217" s="42"/>
      <c r="J217" s="35"/>
      <c r="K217" s="35"/>
      <c r="L217" s="87"/>
      <c r="M217" s="22"/>
      <c r="N217" s="89"/>
      <c r="O217" s="35"/>
      <c r="P217" s="37"/>
      <c r="Q217" s="35"/>
      <c r="R217" s="41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</row>
    <row r="218" spans="1:41" ht="13.8" x14ac:dyDescent="0.25">
      <c r="A218" s="22"/>
      <c r="B218" s="91"/>
      <c r="C218" s="45"/>
      <c r="D218" s="95"/>
      <c r="E218" s="39"/>
      <c r="F218" s="94"/>
      <c r="G218" s="44"/>
      <c r="H218" s="35"/>
      <c r="I218" s="42"/>
      <c r="J218" s="35"/>
      <c r="K218" s="35"/>
      <c r="L218" s="87"/>
      <c r="M218" s="22"/>
      <c r="N218" s="89"/>
      <c r="O218" s="35"/>
      <c r="P218" s="37"/>
      <c r="Q218" s="35"/>
      <c r="R218" s="41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</row>
    <row r="219" spans="1:41" ht="13.8" x14ac:dyDescent="0.25">
      <c r="A219" s="22"/>
      <c r="B219" s="91"/>
      <c r="C219" s="45"/>
      <c r="D219" s="95"/>
      <c r="E219" s="39"/>
      <c r="F219" s="94"/>
      <c r="G219" s="44"/>
      <c r="H219" s="35"/>
      <c r="I219" s="42"/>
      <c r="J219" s="35"/>
      <c r="K219" s="35"/>
      <c r="L219" s="87"/>
      <c r="M219" s="22"/>
      <c r="N219" s="89"/>
      <c r="O219" s="35"/>
      <c r="P219" s="37"/>
      <c r="Q219" s="35"/>
      <c r="R219" s="41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</row>
    <row r="220" spans="1:41" ht="13.8" x14ac:dyDescent="0.25">
      <c r="A220" s="22"/>
      <c r="B220" s="91"/>
      <c r="C220" s="45"/>
      <c r="D220" s="95"/>
      <c r="E220" s="39"/>
      <c r="F220" s="94"/>
      <c r="G220" s="44"/>
      <c r="H220" s="35"/>
      <c r="I220" s="42"/>
      <c r="J220" s="35"/>
      <c r="K220" s="35"/>
      <c r="L220" s="87"/>
      <c r="M220" s="22"/>
      <c r="N220" s="89"/>
      <c r="O220" s="35"/>
      <c r="P220" s="37"/>
      <c r="Q220" s="35"/>
      <c r="R220" s="41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</row>
    <row r="221" spans="1:41" ht="13.8" x14ac:dyDescent="0.25">
      <c r="A221" s="22"/>
      <c r="B221" s="91"/>
      <c r="C221" s="45"/>
      <c r="D221" s="95"/>
      <c r="E221" s="39"/>
      <c r="F221" s="94"/>
      <c r="G221" s="44"/>
      <c r="H221" s="35"/>
      <c r="I221" s="42"/>
      <c r="J221" s="35"/>
      <c r="K221" s="35"/>
      <c r="L221" s="87"/>
      <c r="M221" s="22"/>
      <c r="N221" s="89"/>
      <c r="O221" s="35"/>
      <c r="P221" s="37"/>
      <c r="Q221" s="35"/>
      <c r="R221" s="41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</row>
    <row r="222" spans="1:41" ht="13.8" x14ac:dyDescent="0.25">
      <c r="A222" s="22"/>
      <c r="B222" s="91"/>
      <c r="C222" s="45"/>
      <c r="D222" s="95"/>
      <c r="E222" s="39"/>
      <c r="F222" s="94"/>
      <c r="G222" s="44"/>
      <c r="H222" s="35"/>
      <c r="I222" s="42"/>
      <c r="J222" s="35"/>
      <c r="K222" s="35"/>
      <c r="L222" s="87"/>
      <c r="M222" s="22"/>
      <c r="N222" s="89"/>
      <c r="O222" s="35"/>
      <c r="P222" s="37"/>
      <c r="Q222" s="35"/>
      <c r="R222" s="41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</row>
    <row r="223" spans="1:41" ht="13.8" x14ac:dyDescent="0.25">
      <c r="A223" s="22"/>
      <c r="B223" s="91"/>
      <c r="C223" s="45"/>
      <c r="D223" s="95"/>
      <c r="E223" s="39"/>
      <c r="F223" s="94"/>
      <c r="G223" s="44"/>
      <c r="H223" s="35"/>
      <c r="I223" s="42"/>
      <c r="J223" s="35"/>
      <c r="K223" s="35"/>
      <c r="L223" s="87"/>
      <c r="M223" s="22"/>
      <c r="N223" s="89"/>
      <c r="O223" s="35"/>
      <c r="P223" s="37"/>
      <c r="Q223" s="35"/>
      <c r="R223" s="41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</row>
    <row r="224" spans="1:41" ht="13.8" x14ac:dyDescent="0.25">
      <c r="A224" s="22"/>
      <c r="B224" s="91"/>
      <c r="C224" s="45"/>
      <c r="D224" s="95"/>
      <c r="E224" s="39"/>
      <c r="F224" s="94"/>
      <c r="G224" s="44"/>
      <c r="H224" s="35"/>
      <c r="I224" s="42"/>
      <c r="J224" s="35"/>
      <c r="K224" s="35"/>
      <c r="L224" s="87"/>
      <c r="M224" s="22"/>
      <c r="N224" s="89"/>
      <c r="O224" s="35"/>
      <c r="P224" s="37"/>
      <c r="Q224" s="35"/>
      <c r="R224" s="41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</row>
    <row r="225" spans="1:41" ht="13.8" x14ac:dyDescent="0.25">
      <c r="A225" s="22"/>
      <c r="B225" s="91"/>
      <c r="C225" s="45"/>
      <c r="D225" s="95"/>
      <c r="E225" s="39"/>
      <c r="F225" s="94"/>
      <c r="G225" s="44"/>
      <c r="H225" s="35"/>
      <c r="I225" s="42"/>
      <c r="J225" s="35"/>
      <c r="K225" s="35"/>
      <c r="L225" s="87"/>
      <c r="M225" s="22"/>
      <c r="N225" s="89"/>
      <c r="O225" s="35"/>
      <c r="P225" s="37"/>
      <c r="Q225" s="35"/>
      <c r="R225" s="41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</row>
    <row r="226" spans="1:41" ht="13.8" x14ac:dyDescent="0.25">
      <c r="A226" s="22"/>
      <c r="B226" s="91"/>
      <c r="C226" s="45"/>
      <c r="D226" s="95"/>
      <c r="E226" s="39"/>
      <c r="F226" s="94"/>
      <c r="G226" s="44"/>
      <c r="H226" s="35"/>
      <c r="I226" s="42"/>
      <c r="J226" s="35"/>
      <c r="K226" s="35"/>
      <c r="L226" s="87"/>
      <c r="M226" s="22"/>
      <c r="N226" s="89"/>
      <c r="O226" s="35"/>
      <c r="P226" s="37"/>
      <c r="Q226" s="35"/>
      <c r="R226" s="41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</row>
    <row r="227" spans="1:41" ht="13.8" x14ac:dyDescent="0.25">
      <c r="A227" s="22"/>
      <c r="B227" s="91"/>
      <c r="C227" s="45"/>
      <c r="D227" s="95"/>
      <c r="E227" s="39"/>
      <c r="F227" s="94"/>
      <c r="G227" s="44"/>
      <c r="H227" s="35"/>
      <c r="I227" s="42"/>
      <c r="J227" s="35"/>
      <c r="K227" s="35"/>
      <c r="L227" s="87"/>
      <c r="M227" s="22"/>
      <c r="N227" s="89"/>
      <c r="O227" s="35"/>
      <c r="P227" s="37"/>
      <c r="Q227" s="35"/>
      <c r="R227" s="41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</row>
    <row r="228" spans="1:41" ht="13.8" x14ac:dyDescent="0.25">
      <c r="A228" s="22"/>
      <c r="B228" s="91"/>
      <c r="C228" s="45"/>
      <c r="D228" s="95"/>
      <c r="E228" s="39"/>
      <c r="F228" s="94"/>
      <c r="G228" s="44"/>
      <c r="H228" s="35"/>
      <c r="I228" s="42"/>
      <c r="J228" s="35"/>
      <c r="K228" s="35"/>
      <c r="L228" s="87"/>
      <c r="M228" s="22"/>
      <c r="N228" s="89"/>
      <c r="O228" s="35"/>
      <c r="P228" s="37"/>
      <c r="Q228" s="35"/>
      <c r="R228" s="41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</row>
    <row r="229" spans="1:41" ht="13.8" x14ac:dyDescent="0.25">
      <c r="A229" s="22"/>
      <c r="B229" s="91"/>
      <c r="C229" s="45"/>
      <c r="D229" s="95"/>
      <c r="E229" s="39"/>
      <c r="F229" s="94"/>
      <c r="G229" s="44"/>
      <c r="H229" s="35"/>
      <c r="I229" s="42"/>
      <c r="J229" s="35"/>
      <c r="K229" s="35"/>
      <c r="L229" s="87"/>
      <c r="M229" s="22"/>
      <c r="N229" s="89"/>
      <c r="O229" s="35"/>
      <c r="P229" s="37"/>
      <c r="Q229" s="35"/>
      <c r="R229" s="41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</row>
    <row r="230" spans="1:41" ht="13.8" x14ac:dyDescent="0.25">
      <c r="A230" s="22"/>
      <c r="B230" s="91"/>
      <c r="C230" s="45"/>
      <c r="D230" s="95"/>
      <c r="E230" s="39"/>
      <c r="F230" s="94"/>
      <c r="G230" s="44"/>
      <c r="H230" s="35"/>
      <c r="I230" s="42"/>
      <c r="J230" s="35"/>
      <c r="K230" s="35"/>
      <c r="L230" s="87"/>
      <c r="M230" s="22"/>
      <c r="N230" s="89"/>
      <c r="O230" s="35"/>
      <c r="P230" s="37"/>
      <c r="Q230" s="35"/>
      <c r="R230" s="41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</row>
    <row r="231" spans="1:41" ht="13.8" x14ac:dyDescent="0.25">
      <c r="A231" s="22"/>
      <c r="B231" s="91"/>
      <c r="C231" s="45"/>
      <c r="D231" s="95"/>
      <c r="E231" s="39"/>
      <c r="F231" s="94"/>
      <c r="G231" s="44"/>
      <c r="H231" s="35"/>
      <c r="I231" s="42"/>
      <c r="J231" s="35"/>
      <c r="K231" s="35"/>
      <c r="L231" s="87"/>
      <c r="M231" s="22"/>
      <c r="N231" s="89"/>
      <c r="O231" s="35"/>
      <c r="P231" s="37"/>
      <c r="Q231" s="35"/>
      <c r="R231" s="41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</row>
    <row r="232" spans="1:41" ht="13.8" x14ac:dyDescent="0.25">
      <c r="A232" s="22"/>
      <c r="B232" s="91"/>
      <c r="C232" s="45"/>
      <c r="D232" s="95"/>
      <c r="E232" s="39"/>
      <c r="F232" s="94"/>
      <c r="G232" s="44"/>
      <c r="H232" s="35"/>
      <c r="I232" s="42"/>
      <c r="J232" s="35"/>
      <c r="K232" s="35"/>
      <c r="L232" s="87"/>
      <c r="M232" s="22"/>
      <c r="N232" s="89"/>
      <c r="O232" s="35"/>
      <c r="P232" s="37"/>
      <c r="Q232" s="35"/>
      <c r="R232" s="41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</row>
    <row r="233" spans="1:41" ht="13.8" x14ac:dyDescent="0.25">
      <c r="A233" s="22"/>
      <c r="B233" s="91"/>
      <c r="C233" s="45"/>
      <c r="D233" s="95"/>
      <c r="E233" s="39"/>
      <c r="F233" s="94"/>
      <c r="G233" s="44"/>
      <c r="H233" s="35"/>
      <c r="I233" s="42"/>
      <c r="J233" s="35"/>
      <c r="K233" s="35"/>
      <c r="L233" s="87"/>
      <c r="M233" s="22"/>
      <c r="N233" s="89"/>
      <c r="O233" s="35"/>
      <c r="P233" s="37"/>
      <c r="Q233" s="35"/>
      <c r="R233" s="41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</row>
    <row r="234" spans="1:41" ht="13.8" x14ac:dyDescent="0.25">
      <c r="A234" s="22"/>
      <c r="B234" s="91"/>
      <c r="C234" s="45"/>
      <c r="D234" s="95"/>
      <c r="E234" s="39"/>
      <c r="F234" s="94"/>
      <c r="G234" s="44"/>
      <c r="H234" s="35"/>
      <c r="I234" s="42"/>
      <c r="J234" s="35"/>
      <c r="K234" s="35"/>
      <c r="L234" s="87"/>
      <c r="M234" s="22"/>
      <c r="N234" s="89"/>
      <c r="O234" s="35"/>
      <c r="P234" s="37"/>
      <c r="Q234" s="35"/>
      <c r="R234" s="41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</row>
    <row r="235" spans="1:41" ht="13.8" x14ac:dyDescent="0.25">
      <c r="A235" s="22"/>
      <c r="B235" s="91"/>
      <c r="C235" s="45"/>
      <c r="D235" s="95"/>
      <c r="E235" s="39"/>
      <c r="F235" s="94"/>
      <c r="G235" s="44"/>
      <c r="H235" s="35"/>
      <c r="I235" s="42"/>
      <c r="J235" s="35"/>
      <c r="K235" s="35"/>
      <c r="L235" s="87"/>
      <c r="M235" s="22"/>
      <c r="N235" s="89"/>
      <c r="O235" s="35"/>
      <c r="P235" s="37"/>
      <c r="Q235" s="35"/>
      <c r="R235" s="41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</row>
    <row r="236" spans="1:41" ht="13.8" x14ac:dyDescent="0.25">
      <c r="A236" s="22"/>
      <c r="B236" s="91"/>
      <c r="C236" s="45"/>
      <c r="D236" s="95"/>
      <c r="E236" s="39"/>
      <c r="F236" s="94"/>
      <c r="G236" s="44"/>
      <c r="H236" s="35"/>
      <c r="I236" s="42"/>
      <c r="J236" s="35"/>
      <c r="K236" s="35"/>
      <c r="L236" s="87"/>
      <c r="M236" s="22"/>
      <c r="N236" s="89"/>
      <c r="O236" s="35"/>
      <c r="P236" s="37"/>
      <c r="Q236" s="35"/>
      <c r="R236" s="41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</row>
    <row r="237" spans="1:41" ht="13.8" x14ac:dyDescent="0.25">
      <c r="A237" s="22"/>
      <c r="B237" s="91"/>
      <c r="C237" s="45"/>
      <c r="D237" s="95"/>
      <c r="E237" s="39"/>
      <c r="F237" s="94"/>
      <c r="G237" s="44"/>
      <c r="H237" s="35"/>
      <c r="I237" s="42"/>
      <c r="J237" s="35"/>
      <c r="K237" s="35"/>
      <c r="L237" s="87"/>
      <c r="M237" s="22"/>
      <c r="N237" s="89"/>
      <c r="O237" s="35"/>
      <c r="P237" s="37"/>
      <c r="Q237" s="35"/>
      <c r="R237" s="41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</row>
    <row r="238" spans="1:41" ht="13.8" x14ac:dyDescent="0.25">
      <c r="A238" s="22"/>
      <c r="B238" s="91"/>
      <c r="C238" s="45"/>
      <c r="D238" s="95"/>
      <c r="E238" s="39"/>
      <c r="F238" s="94"/>
      <c r="G238" s="44"/>
      <c r="H238" s="35"/>
      <c r="I238" s="42"/>
      <c r="J238" s="35"/>
      <c r="K238" s="35"/>
      <c r="L238" s="87"/>
      <c r="M238" s="22"/>
      <c r="N238" s="89"/>
      <c r="O238" s="35"/>
      <c r="P238" s="37"/>
      <c r="Q238" s="35"/>
      <c r="R238" s="41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</row>
    <row r="239" spans="1:41" ht="13.8" x14ac:dyDescent="0.25">
      <c r="A239" s="22"/>
      <c r="B239" s="91"/>
      <c r="C239" s="45"/>
      <c r="D239" s="95"/>
      <c r="E239" s="39"/>
      <c r="F239" s="94"/>
      <c r="G239" s="44"/>
      <c r="H239" s="35"/>
      <c r="I239" s="42"/>
      <c r="J239" s="35"/>
      <c r="K239" s="35"/>
      <c r="L239" s="87"/>
      <c r="M239" s="22"/>
      <c r="N239" s="89"/>
      <c r="O239" s="35"/>
      <c r="P239" s="37"/>
      <c r="Q239" s="35"/>
      <c r="R239" s="41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</row>
    <row r="240" spans="1:41" ht="13.8" x14ac:dyDescent="0.25">
      <c r="A240" s="22"/>
      <c r="B240" s="91"/>
      <c r="C240" s="45"/>
      <c r="D240" s="95"/>
      <c r="E240" s="39"/>
      <c r="F240" s="94"/>
      <c r="G240" s="44"/>
      <c r="H240" s="35"/>
      <c r="I240" s="42"/>
      <c r="J240" s="35"/>
      <c r="K240" s="35"/>
      <c r="L240" s="87"/>
      <c r="M240" s="22"/>
      <c r="N240" s="89"/>
      <c r="O240" s="35"/>
      <c r="P240" s="37"/>
      <c r="Q240" s="35"/>
      <c r="R240" s="41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</row>
    <row r="241" spans="1:41" ht="13.8" x14ac:dyDescent="0.25">
      <c r="A241" s="22"/>
      <c r="B241" s="91"/>
      <c r="C241" s="45"/>
      <c r="D241" s="95"/>
      <c r="E241" s="39"/>
      <c r="F241" s="94"/>
      <c r="G241" s="44"/>
      <c r="H241" s="35"/>
      <c r="I241" s="42"/>
      <c r="J241" s="35"/>
      <c r="K241" s="35"/>
      <c r="L241" s="87"/>
      <c r="M241" s="22"/>
      <c r="N241" s="89"/>
      <c r="O241" s="35"/>
      <c r="P241" s="37"/>
      <c r="Q241" s="35"/>
      <c r="R241" s="41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</row>
    <row r="242" spans="1:41" ht="13.8" x14ac:dyDescent="0.25">
      <c r="A242" s="22"/>
      <c r="B242" s="91"/>
      <c r="C242" s="45"/>
      <c r="D242" s="95"/>
      <c r="E242" s="39"/>
      <c r="F242" s="94"/>
      <c r="G242" s="44"/>
      <c r="H242" s="35"/>
      <c r="I242" s="42"/>
      <c r="J242" s="35"/>
      <c r="K242" s="35"/>
      <c r="L242" s="87"/>
      <c r="M242" s="22"/>
      <c r="N242" s="89"/>
      <c r="O242" s="35"/>
      <c r="P242" s="37"/>
      <c r="Q242" s="35"/>
      <c r="R242" s="41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</row>
    <row r="243" spans="1:41" ht="13.8" x14ac:dyDescent="0.25">
      <c r="A243" s="22"/>
      <c r="B243" s="91"/>
      <c r="C243" s="45"/>
      <c r="D243" s="95"/>
      <c r="E243" s="39"/>
      <c r="F243" s="94"/>
      <c r="G243" s="44"/>
      <c r="H243" s="35"/>
      <c r="I243" s="42"/>
      <c r="J243" s="35"/>
      <c r="K243" s="35"/>
      <c r="L243" s="87"/>
      <c r="M243" s="22"/>
      <c r="N243" s="89"/>
      <c r="O243" s="35"/>
      <c r="P243" s="37"/>
      <c r="Q243" s="35"/>
      <c r="R243" s="41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</row>
    <row r="244" spans="1:41" ht="13.8" x14ac:dyDescent="0.25">
      <c r="A244" s="22"/>
      <c r="B244" s="91"/>
      <c r="C244" s="45"/>
      <c r="D244" s="95"/>
      <c r="E244" s="39"/>
      <c r="F244" s="94"/>
      <c r="G244" s="44"/>
      <c r="H244" s="35"/>
      <c r="I244" s="42"/>
      <c r="J244" s="35"/>
      <c r="K244" s="35"/>
      <c r="L244" s="87"/>
      <c r="M244" s="22"/>
      <c r="N244" s="89"/>
      <c r="O244" s="35"/>
      <c r="P244" s="37"/>
      <c r="Q244" s="35"/>
      <c r="R244" s="41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</row>
    <row r="245" spans="1:41" ht="13.8" x14ac:dyDescent="0.25">
      <c r="A245" s="22"/>
      <c r="B245" s="91"/>
      <c r="C245" s="45"/>
      <c r="D245" s="95"/>
      <c r="E245" s="39"/>
      <c r="F245" s="94"/>
      <c r="G245" s="44"/>
      <c r="H245" s="35"/>
      <c r="I245" s="42"/>
      <c r="J245" s="35"/>
      <c r="K245" s="35"/>
      <c r="L245" s="87"/>
      <c r="M245" s="22"/>
      <c r="N245" s="89"/>
      <c r="O245" s="35"/>
      <c r="P245" s="37"/>
      <c r="Q245" s="35"/>
      <c r="R245" s="41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</row>
    <row r="246" spans="1:41" ht="13.8" x14ac:dyDescent="0.25">
      <c r="A246" s="22"/>
      <c r="B246" s="91"/>
      <c r="C246" s="45"/>
      <c r="D246" s="95"/>
      <c r="E246" s="39"/>
      <c r="F246" s="94"/>
      <c r="G246" s="44"/>
      <c r="H246" s="35"/>
      <c r="I246" s="42"/>
      <c r="J246" s="35"/>
      <c r="K246" s="35"/>
      <c r="L246" s="87"/>
      <c r="M246" s="22"/>
      <c r="N246" s="89"/>
      <c r="O246" s="35"/>
      <c r="P246" s="37"/>
      <c r="Q246" s="35"/>
      <c r="R246" s="41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</row>
    <row r="247" spans="1:41" ht="13.8" x14ac:dyDescent="0.25">
      <c r="A247" s="22"/>
      <c r="B247" s="91"/>
      <c r="C247" s="45"/>
      <c r="D247" s="95"/>
      <c r="E247" s="39"/>
      <c r="F247" s="94"/>
      <c r="G247" s="44"/>
      <c r="H247" s="35"/>
      <c r="I247" s="42"/>
      <c r="J247" s="35"/>
      <c r="K247" s="35"/>
      <c r="L247" s="87"/>
      <c r="M247" s="22"/>
      <c r="N247" s="89"/>
      <c r="O247" s="35"/>
      <c r="P247" s="37"/>
      <c r="Q247" s="35"/>
      <c r="R247" s="41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</row>
    <row r="248" spans="1:41" ht="13.8" x14ac:dyDescent="0.25">
      <c r="A248" s="22"/>
      <c r="B248" s="91"/>
      <c r="C248" s="45"/>
      <c r="D248" s="95"/>
      <c r="E248" s="39"/>
      <c r="F248" s="94"/>
      <c r="G248" s="44"/>
      <c r="H248" s="35"/>
      <c r="I248" s="42"/>
      <c r="J248" s="35"/>
      <c r="K248" s="35"/>
      <c r="L248" s="87"/>
      <c r="M248" s="22"/>
      <c r="N248" s="89"/>
      <c r="O248" s="35"/>
      <c r="P248" s="37"/>
      <c r="Q248" s="35"/>
      <c r="R248" s="41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</row>
    <row r="249" spans="1:41" ht="13.8" x14ac:dyDescent="0.25">
      <c r="A249" s="22"/>
      <c r="B249" s="91"/>
      <c r="C249" s="45"/>
      <c r="D249" s="95"/>
      <c r="E249" s="39"/>
      <c r="F249" s="94"/>
      <c r="G249" s="44"/>
      <c r="H249" s="35"/>
      <c r="I249" s="42"/>
      <c r="J249" s="35"/>
      <c r="K249" s="35"/>
      <c r="L249" s="87"/>
      <c r="M249" s="22"/>
      <c r="N249" s="89"/>
      <c r="O249" s="35"/>
      <c r="P249" s="37"/>
      <c r="Q249" s="35"/>
      <c r="R249" s="41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</row>
    <row r="250" spans="1:41" ht="13.8" x14ac:dyDescent="0.25">
      <c r="A250" s="22"/>
      <c r="B250" s="91"/>
      <c r="C250" s="45"/>
      <c r="D250" s="95"/>
      <c r="E250" s="39"/>
      <c r="F250" s="94"/>
      <c r="G250" s="44"/>
      <c r="H250" s="35"/>
      <c r="I250" s="42"/>
      <c r="J250" s="35"/>
      <c r="K250" s="35"/>
      <c r="L250" s="87"/>
      <c r="M250" s="22"/>
      <c r="N250" s="89"/>
      <c r="O250" s="35"/>
      <c r="P250" s="37"/>
      <c r="Q250" s="35"/>
      <c r="R250" s="41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</row>
    <row r="251" spans="1:41" ht="13.8" x14ac:dyDescent="0.25">
      <c r="A251" s="22"/>
      <c r="B251" s="91"/>
      <c r="C251" s="45"/>
      <c r="D251" s="95"/>
      <c r="E251" s="39"/>
      <c r="F251" s="94"/>
      <c r="G251" s="44"/>
      <c r="H251" s="35"/>
      <c r="I251" s="42"/>
      <c r="J251" s="35"/>
      <c r="K251" s="35"/>
      <c r="L251" s="87"/>
      <c r="M251" s="22"/>
      <c r="N251" s="89"/>
      <c r="O251" s="35"/>
      <c r="P251" s="37"/>
      <c r="Q251" s="35"/>
      <c r="R251" s="41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</row>
    <row r="252" spans="1:41" ht="13.8" x14ac:dyDescent="0.25">
      <c r="A252" s="22"/>
      <c r="B252" s="91"/>
      <c r="C252" s="45"/>
      <c r="D252" s="95"/>
      <c r="E252" s="39"/>
      <c r="F252" s="94"/>
      <c r="G252" s="44"/>
      <c r="H252" s="35"/>
      <c r="I252" s="42"/>
      <c r="J252" s="35"/>
      <c r="K252" s="35"/>
      <c r="L252" s="87"/>
      <c r="M252" s="22"/>
      <c r="N252" s="89"/>
      <c r="O252" s="35"/>
      <c r="P252" s="37"/>
      <c r="Q252" s="35"/>
      <c r="R252" s="41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</row>
    <row r="253" spans="1:41" ht="13.8" x14ac:dyDescent="0.25">
      <c r="A253" s="22"/>
      <c r="B253" s="91"/>
      <c r="C253" s="45"/>
      <c r="D253" s="95"/>
      <c r="E253" s="39"/>
      <c r="F253" s="94"/>
      <c r="G253" s="44"/>
      <c r="H253" s="35"/>
      <c r="I253" s="42"/>
      <c r="J253" s="35"/>
      <c r="K253" s="35"/>
      <c r="L253" s="87"/>
      <c r="M253" s="22"/>
      <c r="N253" s="89"/>
      <c r="O253" s="35"/>
      <c r="P253" s="37"/>
      <c r="Q253" s="35"/>
      <c r="R253" s="41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</row>
    <row r="254" spans="1:41" ht="13.8" x14ac:dyDescent="0.25">
      <c r="A254" s="22"/>
      <c r="B254" s="91"/>
      <c r="C254" s="45"/>
      <c r="D254" s="95"/>
      <c r="E254" s="39"/>
      <c r="F254" s="94"/>
      <c r="G254" s="44"/>
      <c r="H254" s="35"/>
      <c r="I254" s="42"/>
      <c r="J254" s="35"/>
      <c r="K254" s="35"/>
      <c r="L254" s="87"/>
      <c r="M254" s="22"/>
      <c r="N254" s="89"/>
      <c r="O254" s="35"/>
      <c r="P254" s="37"/>
      <c r="Q254" s="35"/>
      <c r="R254" s="41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</row>
    <row r="255" spans="1:41" ht="13.8" x14ac:dyDescent="0.25">
      <c r="A255" s="22"/>
      <c r="B255" s="91"/>
      <c r="C255" s="45"/>
      <c r="D255" s="95"/>
      <c r="E255" s="39"/>
      <c r="F255" s="94"/>
      <c r="G255" s="44"/>
      <c r="H255" s="35"/>
      <c r="I255" s="42"/>
      <c r="J255" s="35"/>
      <c r="K255" s="35"/>
      <c r="L255" s="87"/>
      <c r="M255" s="22"/>
      <c r="N255" s="89"/>
      <c r="O255" s="35"/>
      <c r="P255" s="37"/>
      <c r="Q255" s="35"/>
      <c r="R255" s="41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</row>
    <row r="256" spans="1:41" ht="13.8" x14ac:dyDescent="0.25">
      <c r="A256" s="22"/>
      <c r="B256" s="91"/>
      <c r="C256" s="45"/>
      <c r="D256" s="95"/>
      <c r="E256" s="39"/>
      <c r="F256" s="94"/>
      <c r="G256" s="44"/>
      <c r="H256" s="35"/>
      <c r="I256" s="42"/>
      <c r="J256" s="35"/>
      <c r="K256" s="35"/>
      <c r="L256" s="87"/>
      <c r="M256" s="22"/>
      <c r="N256" s="89"/>
      <c r="O256" s="35"/>
      <c r="P256" s="37"/>
      <c r="Q256" s="35"/>
      <c r="R256" s="41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</row>
    <row r="257" spans="1:41" ht="13.8" x14ac:dyDescent="0.25">
      <c r="A257" s="22"/>
      <c r="B257" s="91"/>
      <c r="C257" s="45"/>
      <c r="D257" s="95"/>
      <c r="E257" s="39"/>
      <c r="F257" s="94"/>
      <c r="G257" s="44"/>
      <c r="H257" s="35"/>
      <c r="I257" s="42"/>
      <c r="J257" s="35"/>
      <c r="K257" s="35"/>
      <c r="L257" s="87"/>
      <c r="M257" s="22"/>
      <c r="N257" s="89"/>
      <c r="O257" s="35"/>
      <c r="P257" s="37"/>
      <c r="Q257" s="35"/>
      <c r="R257" s="41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</row>
    <row r="258" spans="1:41" ht="13.8" x14ac:dyDescent="0.25">
      <c r="A258" s="22"/>
      <c r="B258" s="91"/>
      <c r="C258" s="45"/>
      <c r="D258" s="95"/>
      <c r="E258" s="39"/>
      <c r="F258" s="94"/>
      <c r="G258" s="44"/>
      <c r="H258" s="35"/>
      <c r="I258" s="42"/>
      <c r="J258" s="35"/>
      <c r="K258" s="35"/>
      <c r="L258" s="87"/>
      <c r="M258" s="22"/>
      <c r="N258" s="89"/>
      <c r="O258" s="35"/>
      <c r="P258" s="37"/>
      <c r="Q258" s="35"/>
      <c r="R258" s="41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</row>
    <row r="259" spans="1:41" ht="13.8" x14ac:dyDescent="0.25">
      <c r="A259" s="22"/>
      <c r="B259" s="91"/>
      <c r="C259" s="45"/>
      <c r="D259" s="95"/>
      <c r="E259" s="39"/>
      <c r="F259" s="94"/>
      <c r="G259" s="44"/>
      <c r="H259" s="35"/>
      <c r="I259" s="42"/>
      <c r="J259" s="35"/>
      <c r="K259" s="35"/>
      <c r="L259" s="87"/>
      <c r="M259" s="22"/>
      <c r="N259" s="89"/>
      <c r="O259" s="35"/>
      <c r="P259" s="37"/>
      <c r="Q259" s="35"/>
      <c r="R259" s="41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</row>
    <row r="260" spans="1:41" ht="13.8" x14ac:dyDescent="0.25">
      <c r="A260" s="22"/>
      <c r="B260" s="91"/>
      <c r="C260" s="45"/>
      <c r="D260" s="95"/>
      <c r="E260" s="39"/>
      <c r="F260" s="94"/>
      <c r="G260" s="44"/>
      <c r="H260" s="35"/>
      <c r="I260" s="42"/>
      <c r="J260" s="35"/>
      <c r="K260" s="35"/>
      <c r="L260" s="87"/>
      <c r="M260" s="22"/>
      <c r="N260" s="89"/>
      <c r="O260" s="35"/>
      <c r="P260" s="37"/>
      <c r="Q260" s="35"/>
      <c r="R260" s="41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</row>
    <row r="261" spans="1:41" ht="13.8" x14ac:dyDescent="0.25">
      <c r="A261" s="22"/>
      <c r="B261" s="91"/>
      <c r="C261" s="45"/>
      <c r="D261" s="95"/>
      <c r="E261" s="39"/>
      <c r="F261" s="94"/>
      <c r="G261" s="44"/>
      <c r="H261" s="35"/>
      <c r="I261" s="42"/>
      <c r="J261" s="35"/>
      <c r="K261" s="35"/>
      <c r="L261" s="87"/>
      <c r="M261" s="22"/>
      <c r="N261" s="89"/>
      <c r="O261" s="35"/>
      <c r="P261" s="37"/>
      <c r="Q261" s="35"/>
      <c r="R261" s="41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</row>
    <row r="262" spans="1:41" ht="13.8" x14ac:dyDescent="0.25">
      <c r="A262" s="22"/>
      <c r="B262" s="91"/>
      <c r="C262" s="45"/>
      <c r="D262" s="95"/>
      <c r="E262" s="39"/>
      <c r="F262" s="94"/>
      <c r="G262" s="44"/>
      <c r="H262" s="35"/>
      <c r="I262" s="42"/>
      <c r="J262" s="35"/>
      <c r="K262" s="35"/>
      <c r="L262" s="87"/>
      <c r="M262" s="22"/>
      <c r="N262" s="89"/>
      <c r="O262" s="35"/>
      <c r="P262" s="37"/>
      <c r="Q262" s="35"/>
      <c r="R262" s="41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</row>
    <row r="263" spans="1:41" ht="13.8" x14ac:dyDescent="0.25">
      <c r="A263" s="22"/>
      <c r="B263" s="91"/>
      <c r="C263" s="45"/>
      <c r="D263" s="95"/>
      <c r="E263" s="39"/>
      <c r="F263" s="94"/>
      <c r="G263" s="44"/>
      <c r="H263" s="35"/>
      <c r="I263" s="42"/>
      <c r="J263" s="35"/>
      <c r="K263" s="35"/>
      <c r="L263" s="87"/>
      <c r="M263" s="22"/>
      <c r="N263" s="89"/>
      <c r="O263" s="35"/>
      <c r="P263" s="37"/>
      <c r="Q263" s="35"/>
      <c r="R263" s="41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</row>
    <row r="264" spans="1:41" ht="13.8" x14ac:dyDescent="0.25">
      <c r="A264" s="22"/>
      <c r="B264" s="91"/>
      <c r="C264" s="45"/>
      <c r="D264" s="95"/>
      <c r="E264" s="39"/>
      <c r="F264" s="94"/>
      <c r="G264" s="44"/>
      <c r="H264" s="35"/>
      <c r="I264" s="42"/>
      <c r="J264" s="35"/>
      <c r="K264" s="35"/>
      <c r="L264" s="87"/>
      <c r="M264" s="22"/>
      <c r="N264" s="89"/>
      <c r="O264" s="35"/>
      <c r="P264" s="37"/>
      <c r="Q264" s="35"/>
      <c r="R264" s="41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</row>
    <row r="265" spans="1:41" ht="13.8" x14ac:dyDescent="0.25">
      <c r="A265" s="22"/>
      <c r="B265" s="91"/>
      <c r="C265" s="45"/>
      <c r="D265" s="95"/>
      <c r="E265" s="39"/>
      <c r="F265" s="94"/>
      <c r="G265" s="44"/>
      <c r="H265" s="35"/>
      <c r="I265" s="42"/>
      <c r="J265" s="35"/>
      <c r="K265" s="35"/>
      <c r="L265" s="87"/>
      <c r="M265" s="22"/>
      <c r="N265" s="89"/>
      <c r="O265" s="35"/>
      <c r="P265" s="37"/>
      <c r="Q265" s="35"/>
      <c r="R265" s="41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</row>
    <row r="266" spans="1:41" ht="13.8" x14ac:dyDescent="0.25">
      <c r="A266" s="22"/>
      <c r="B266" s="91"/>
      <c r="C266" s="45"/>
      <c r="D266" s="95"/>
      <c r="E266" s="39"/>
      <c r="F266" s="94"/>
      <c r="G266" s="44"/>
      <c r="H266" s="35"/>
      <c r="I266" s="42"/>
      <c r="J266" s="35"/>
      <c r="K266" s="35"/>
      <c r="L266" s="87"/>
      <c r="M266" s="22"/>
      <c r="N266" s="89"/>
      <c r="O266" s="35"/>
      <c r="P266" s="37"/>
      <c r="Q266" s="35"/>
      <c r="R266" s="41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</row>
    <row r="267" spans="1:41" ht="13.8" x14ac:dyDescent="0.25">
      <c r="A267" s="22"/>
      <c r="B267" s="91"/>
      <c r="C267" s="45"/>
      <c r="D267" s="95"/>
      <c r="E267" s="39"/>
      <c r="F267" s="94"/>
      <c r="G267" s="44"/>
      <c r="H267" s="35"/>
      <c r="I267" s="42"/>
      <c r="J267" s="35"/>
      <c r="K267" s="35"/>
      <c r="L267" s="87"/>
      <c r="M267" s="22"/>
      <c r="N267" s="89"/>
      <c r="O267" s="35"/>
      <c r="P267" s="37"/>
      <c r="Q267" s="35"/>
      <c r="R267" s="41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</row>
    <row r="268" spans="1:41" ht="13.8" x14ac:dyDescent="0.25">
      <c r="A268" s="22"/>
      <c r="B268" s="91"/>
      <c r="C268" s="45"/>
      <c r="D268" s="95"/>
      <c r="E268" s="39"/>
      <c r="F268" s="94"/>
      <c r="G268" s="44"/>
      <c r="H268" s="35"/>
      <c r="I268" s="42"/>
      <c r="J268" s="35"/>
      <c r="K268" s="35"/>
      <c r="L268" s="87"/>
      <c r="M268" s="22"/>
      <c r="N268" s="89"/>
      <c r="O268" s="35"/>
      <c r="P268" s="37"/>
      <c r="Q268" s="35"/>
      <c r="R268" s="41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</row>
    <row r="269" spans="1:41" ht="13.8" x14ac:dyDescent="0.25">
      <c r="A269" s="22"/>
      <c r="B269" s="91"/>
      <c r="C269" s="45"/>
      <c r="D269" s="95"/>
      <c r="E269" s="39"/>
      <c r="F269" s="94"/>
      <c r="G269" s="44"/>
      <c r="H269" s="35"/>
      <c r="I269" s="42"/>
      <c r="J269" s="35"/>
      <c r="K269" s="35"/>
      <c r="L269" s="87"/>
      <c r="M269" s="22"/>
      <c r="N269" s="89"/>
      <c r="O269" s="35"/>
      <c r="P269" s="37"/>
      <c r="Q269" s="35"/>
      <c r="R269" s="41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</row>
    <row r="270" spans="1:41" ht="13.8" x14ac:dyDescent="0.25">
      <c r="A270" s="22"/>
      <c r="B270" s="91"/>
      <c r="C270" s="45"/>
      <c r="D270" s="95"/>
      <c r="E270" s="39"/>
      <c r="F270" s="94"/>
      <c r="G270" s="44"/>
      <c r="H270" s="35"/>
      <c r="I270" s="42"/>
      <c r="J270" s="35"/>
      <c r="K270" s="35"/>
      <c r="L270" s="87"/>
      <c r="M270" s="22"/>
      <c r="N270" s="89"/>
      <c r="O270" s="35"/>
      <c r="P270" s="37"/>
      <c r="Q270" s="35"/>
      <c r="R270" s="41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</row>
    <row r="271" spans="1:41" ht="13.8" x14ac:dyDescent="0.25">
      <c r="A271" s="22"/>
      <c r="B271" s="91"/>
      <c r="C271" s="45"/>
      <c r="D271" s="95"/>
      <c r="E271" s="39"/>
      <c r="F271" s="94"/>
      <c r="G271" s="44"/>
      <c r="H271" s="35"/>
      <c r="I271" s="42"/>
      <c r="J271" s="35"/>
      <c r="K271" s="35"/>
      <c r="L271" s="87"/>
      <c r="M271" s="22"/>
      <c r="N271" s="89"/>
      <c r="O271" s="35"/>
      <c r="P271" s="37"/>
      <c r="Q271" s="35"/>
      <c r="R271" s="41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</row>
    <row r="272" spans="1:41" ht="13.8" x14ac:dyDescent="0.25">
      <c r="A272" s="22"/>
      <c r="B272" s="91"/>
      <c r="C272" s="45"/>
      <c r="D272" s="95"/>
      <c r="E272" s="39"/>
      <c r="F272" s="94"/>
      <c r="G272" s="44"/>
      <c r="H272" s="35"/>
      <c r="I272" s="42"/>
      <c r="J272" s="35"/>
      <c r="K272" s="35"/>
      <c r="L272" s="87"/>
      <c r="M272" s="22"/>
      <c r="N272" s="89"/>
      <c r="O272" s="35"/>
      <c r="P272" s="37"/>
      <c r="Q272" s="35"/>
      <c r="R272" s="41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</row>
    <row r="273" spans="1:41" ht="13.8" x14ac:dyDescent="0.25">
      <c r="A273" s="22"/>
      <c r="B273" s="91"/>
      <c r="C273" s="45"/>
      <c r="D273" s="95"/>
      <c r="E273" s="39"/>
      <c r="F273" s="94"/>
      <c r="G273" s="44"/>
      <c r="H273" s="35"/>
      <c r="I273" s="42"/>
      <c r="J273" s="35"/>
      <c r="K273" s="35"/>
      <c r="L273" s="87"/>
      <c r="M273" s="22"/>
      <c r="N273" s="89"/>
      <c r="O273" s="35"/>
      <c r="P273" s="37"/>
      <c r="Q273" s="35"/>
      <c r="R273" s="41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</row>
    <row r="274" spans="1:41" ht="13.8" x14ac:dyDescent="0.25">
      <c r="A274" s="22"/>
      <c r="B274" s="91"/>
      <c r="C274" s="45"/>
      <c r="D274" s="95"/>
      <c r="E274" s="39"/>
      <c r="F274" s="94"/>
      <c r="G274" s="44"/>
      <c r="H274" s="35"/>
      <c r="I274" s="42"/>
      <c r="J274" s="35"/>
      <c r="K274" s="35"/>
      <c r="L274" s="87"/>
      <c r="M274" s="22"/>
      <c r="N274" s="89"/>
      <c r="O274" s="35"/>
      <c r="P274" s="37"/>
      <c r="Q274" s="35"/>
      <c r="R274" s="41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</row>
    <row r="275" spans="1:41" ht="13.8" x14ac:dyDescent="0.25">
      <c r="A275" s="22"/>
      <c r="B275" s="91"/>
      <c r="C275" s="45"/>
      <c r="D275" s="95"/>
      <c r="E275" s="39"/>
      <c r="F275" s="94"/>
      <c r="G275" s="44"/>
      <c r="H275" s="35"/>
      <c r="I275" s="42"/>
      <c r="J275" s="35"/>
      <c r="K275" s="35"/>
      <c r="L275" s="87"/>
      <c r="M275" s="22"/>
      <c r="N275" s="89"/>
      <c r="O275" s="35"/>
      <c r="P275" s="37"/>
      <c r="Q275" s="35"/>
      <c r="R275" s="41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</row>
    <row r="276" spans="1:41" ht="13.8" x14ac:dyDescent="0.25">
      <c r="A276" s="22"/>
      <c r="B276" s="91"/>
      <c r="C276" s="45"/>
      <c r="D276" s="95"/>
      <c r="E276" s="39"/>
      <c r="F276" s="94"/>
      <c r="G276" s="44"/>
      <c r="H276" s="35"/>
      <c r="I276" s="42"/>
      <c r="J276" s="35"/>
      <c r="K276" s="35"/>
      <c r="L276" s="87"/>
      <c r="M276" s="22"/>
      <c r="N276" s="89"/>
      <c r="O276" s="35"/>
      <c r="P276" s="37"/>
      <c r="Q276" s="35"/>
      <c r="R276" s="41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</row>
    <row r="277" spans="1:41" ht="13.8" x14ac:dyDescent="0.25">
      <c r="A277" s="22"/>
      <c r="B277" s="91"/>
      <c r="C277" s="45"/>
      <c r="D277" s="95"/>
      <c r="E277" s="39"/>
      <c r="F277" s="94"/>
      <c r="G277" s="44"/>
      <c r="H277" s="35"/>
      <c r="I277" s="42"/>
      <c r="J277" s="35"/>
      <c r="K277" s="35"/>
      <c r="L277" s="87"/>
      <c r="M277" s="22"/>
      <c r="N277" s="89"/>
      <c r="O277" s="35"/>
      <c r="P277" s="37"/>
      <c r="Q277" s="35"/>
      <c r="R277" s="41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</row>
    <row r="278" spans="1:41" ht="13.8" x14ac:dyDescent="0.25">
      <c r="A278" s="22"/>
      <c r="B278" s="91"/>
      <c r="C278" s="45"/>
      <c r="D278" s="95"/>
      <c r="E278" s="39"/>
      <c r="F278" s="94"/>
      <c r="G278" s="44"/>
      <c r="H278" s="35"/>
      <c r="I278" s="42"/>
      <c r="J278" s="35"/>
      <c r="K278" s="35"/>
      <c r="L278" s="87"/>
      <c r="M278" s="22"/>
      <c r="N278" s="89"/>
      <c r="O278" s="35"/>
      <c r="P278" s="37"/>
      <c r="Q278" s="35"/>
      <c r="R278" s="41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</row>
    <row r="279" spans="1:41" ht="13.8" x14ac:dyDescent="0.25">
      <c r="A279" s="22"/>
      <c r="B279" s="91"/>
      <c r="C279" s="45"/>
      <c r="D279" s="95"/>
      <c r="E279" s="39"/>
      <c r="F279" s="94"/>
      <c r="G279" s="44"/>
      <c r="H279" s="35"/>
      <c r="I279" s="42"/>
      <c r="J279" s="35"/>
      <c r="K279" s="35"/>
      <c r="L279" s="87"/>
      <c r="M279" s="22"/>
      <c r="N279" s="89"/>
      <c r="O279" s="35"/>
      <c r="P279" s="37"/>
      <c r="Q279" s="35"/>
      <c r="R279" s="41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</row>
    <row r="280" spans="1:41" ht="13.8" x14ac:dyDescent="0.25">
      <c r="A280" s="22"/>
      <c r="B280" s="91"/>
      <c r="C280" s="45"/>
      <c r="D280" s="95"/>
      <c r="E280" s="39"/>
      <c r="F280" s="94"/>
      <c r="G280" s="44"/>
      <c r="H280" s="35"/>
      <c r="I280" s="42"/>
      <c r="J280" s="35"/>
      <c r="K280" s="35"/>
      <c r="L280" s="87"/>
      <c r="M280" s="22"/>
      <c r="N280" s="89"/>
      <c r="O280" s="35"/>
      <c r="P280" s="37"/>
      <c r="Q280" s="35"/>
      <c r="R280" s="41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</row>
    <row r="281" spans="1:41" ht="13.8" x14ac:dyDescent="0.25">
      <c r="A281" s="22"/>
      <c r="B281" s="91"/>
      <c r="C281" s="45"/>
      <c r="D281" s="95"/>
      <c r="E281" s="39"/>
      <c r="F281" s="94"/>
      <c r="G281" s="44"/>
      <c r="H281" s="35"/>
      <c r="I281" s="42"/>
      <c r="J281" s="35"/>
      <c r="K281" s="35"/>
      <c r="L281" s="87"/>
      <c r="M281" s="22"/>
      <c r="N281" s="89"/>
      <c r="O281" s="35"/>
      <c r="P281" s="37"/>
      <c r="Q281" s="35"/>
      <c r="R281" s="41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</row>
    <row r="282" spans="1:41" ht="13.8" x14ac:dyDescent="0.25">
      <c r="A282" s="22"/>
      <c r="B282" s="91"/>
      <c r="C282" s="45"/>
      <c r="D282" s="95"/>
      <c r="E282" s="39"/>
      <c r="F282" s="94"/>
      <c r="G282" s="44"/>
      <c r="H282" s="35"/>
      <c r="I282" s="42"/>
      <c r="J282" s="35"/>
      <c r="K282" s="35"/>
      <c r="L282" s="87"/>
      <c r="M282" s="22"/>
      <c r="N282" s="89"/>
      <c r="O282" s="35"/>
      <c r="P282" s="37"/>
      <c r="Q282" s="35"/>
      <c r="R282" s="41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</row>
    <row r="283" spans="1:41" ht="13.8" x14ac:dyDescent="0.25">
      <c r="A283" s="22"/>
      <c r="B283" s="91"/>
      <c r="C283" s="45"/>
      <c r="D283" s="95"/>
      <c r="E283" s="39"/>
      <c r="F283" s="94"/>
      <c r="G283" s="44"/>
      <c r="H283" s="35"/>
      <c r="I283" s="42"/>
      <c r="J283" s="35"/>
      <c r="K283" s="35"/>
      <c r="L283" s="87"/>
      <c r="M283" s="22"/>
      <c r="N283" s="89"/>
      <c r="O283" s="35"/>
      <c r="P283" s="37"/>
      <c r="Q283" s="35"/>
      <c r="R283" s="41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</row>
    <row r="284" spans="1:41" ht="13.8" x14ac:dyDescent="0.25">
      <c r="A284" s="22"/>
      <c r="B284" s="91"/>
      <c r="C284" s="45"/>
      <c r="D284" s="95"/>
      <c r="E284" s="39"/>
      <c r="F284" s="94"/>
      <c r="G284" s="44"/>
      <c r="H284" s="35"/>
      <c r="I284" s="42"/>
      <c r="J284" s="35"/>
      <c r="K284" s="35"/>
      <c r="L284" s="87"/>
      <c r="M284" s="22"/>
      <c r="N284" s="89"/>
      <c r="O284" s="35"/>
      <c r="P284" s="37"/>
      <c r="Q284" s="35"/>
      <c r="R284" s="41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</row>
    <row r="285" spans="1:41" ht="13.8" x14ac:dyDescent="0.25">
      <c r="A285" s="22"/>
      <c r="B285" s="91"/>
      <c r="C285" s="45"/>
      <c r="D285" s="95"/>
      <c r="E285" s="39"/>
      <c r="F285" s="94"/>
      <c r="G285" s="44"/>
      <c r="H285" s="35"/>
      <c r="I285" s="42"/>
      <c r="J285" s="35"/>
      <c r="K285" s="35"/>
      <c r="L285" s="87"/>
      <c r="M285" s="22"/>
      <c r="N285" s="89"/>
      <c r="O285" s="35"/>
      <c r="P285" s="37"/>
      <c r="Q285" s="35"/>
      <c r="R285" s="41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</row>
    <row r="286" spans="1:41" ht="13.8" x14ac:dyDescent="0.25">
      <c r="A286" s="22"/>
      <c r="B286" s="91"/>
      <c r="C286" s="45"/>
      <c r="D286" s="95"/>
      <c r="E286" s="39"/>
      <c r="F286" s="94"/>
      <c r="G286" s="44"/>
      <c r="H286" s="35"/>
      <c r="I286" s="42"/>
      <c r="J286" s="35"/>
      <c r="K286" s="35"/>
      <c r="L286" s="87"/>
      <c r="M286" s="22"/>
      <c r="N286" s="89"/>
      <c r="O286" s="35"/>
      <c r="P286" s="37"/>
      <c r="Q286" s="35"/>
      <c r="R286" s="41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</row>
    <row r="287" spans="1:41" ht="13.8" x14ac:dyDescent="0.25">
      <c r="A287" s="22"/>
      <c r="B287" s="91"/>
      <c r="C287" s="45"/>
      <c r="D287" s="95"/>
      <c r="E287" s="39"/>
      <c r="F287" s="94"/>
      <c r="G287" s="44"/>
      <c r="H287" s="35"/>
      <c r="I287" s="42"/>
      <c r="J287" s="35"/>
      <c r="K287" s="35"/>
      <c r="L287" s="87"/>
      <c r="M287" s="22"/>
      <c r="N287" s="89"/>
      <c r="O287" s="35"/>
      <c r="P287" s="37"/>
      <c r="Q287" s="35"/>
      <c r="R287" s="41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</row>
    <row r="288" spans="1:41" ht="13.8" x14ac:dyDescent="0.25">
      <c r="A288" s="22"/>
      <c r="B288" s="91"/>
      <c r="C288" s="45"/>
      <c r="D288" s="95"/>
      <c r="E288" s="39"/>
      <c r="F288" s="94"/>
      <c r="G288" s="44"/>
      <c r="H288" s="35"/>
      <c r="I288" s="42"/>
      <c r="J288" s="35"/>
      <c r="K288" s="35"/>
      <c r="L288" s="87"/>
      <c r="M288" s="22"/>
      <c r="N288" s="89"/>
      <c r="O288" s="35"/>
      <c r="P288" s="37"/>
      <c r="Q288" s="35"/>
      <c r="R288" s="41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</row>
    <row r="289" spans="1:41" ht="13.8" x14ac:dyDescent="0.25">
      <c r="A289" s="22"/>
      <c r="B289" s="91"/>
      <c r="C289" s="45"/>
      <c r="D289" s="95"/>
      <c r="E289" s="39"/>
      <c r="F289" s="94"/>
      <c r="G289" s="44"/>
      <c r="H289" s="35"/>
      <c r="I289" s="42"/>
      <c r="J289" s="35"/>
      <c r="K289" s="35"/>
      <c r="L289" s="87"/>
      <c r="M289" s="22"/>
      <c r="N289" s="89"/>
      <c r="O289" s="35"/>
      <c r="P289" s="37"/>
      <c r="Q289" s="35"/>
      <c r="R289" s="41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</row>
    <row r="290" spans="1:41" ht="13.8" x14ac:dyDescent="0.25">
      <c r="A290" s="22"/>
      <c r="B290" s="91"/>
      <c r="C290" s="45"/>
      <c r="D290" s="95"/>
      <c r="E290" s="39"/>
      <c r="F290" s="94"/>
      <c r="G290" s="44"/>
      <c r="H290" s="35"/>
      <c r="I290" s="42"/>
      <c r="J290" s="35"/>
      <c r="K290" s="35"/>
      <c r="L290" s="87"/>
      <c r="M290" s="22"/>
      <c r="N290" s="89"/>
      <c r="O290" s="35"/>
      <c r="P290" s="37"/>
      <c r="Q290" s="35"/>
      <c r="R290" s="41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</row>
    <row r="291" spans="1:41" ht="13.8" x14ac:dyDescent="0.25">
      <c r="A291" s="22"/>
      <c r="B291" s="91"/>
      <c r="C291" s="45"/>
      <c r="D291" s="95"/>
      <c r="E291" s="39"/>
      <c r="F291" s="94"/>
      <c r="G291" s="44"/>
      <c r="H291" s="35"/>
      <c r="I291" s="42"/>
      <c r="J291" s="35"/>
      <c r="K291" s="35"/>
      <c r="L291" s="87"/>
      <c r="M291" s="22"/>
      <c r="N291" s="89"/>
      <c r="O291" s="35"/>
      <c r="P291" s="37"/>
      <c r="Q291" s="35"/>
      <c r="R291" s="41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</row>
    <row r="292" spans="1:41" ht="13.8" x14ac:dyDescent="0.25">
      <c r="A292" s="22"/>
      <c r="B292" s="91"/>
      <c r="C292" s="45"/>
      <c r="D292" s="95"/>
      <c r="E292" s="39"/>
      <c r="F292" s="94"/>
      <c r="G292" s="44"/>
      <c r="H292" s="35"/>
      <c r="I292" s="42"/>
      <c r="J292" s="35"/>
      <c r="K292" s="35"/>
      <c r="L292" s="87"/>
      <c r="M292" s="22"/>
      <c r="N292" s="89"/>
      <c r="O292" s="35"/>
      <c r="P292" s="37"/>
      <c r="Q292" s="35"/>
      <c r="R292" s="41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</row>
    <row r="293" spans="1:41" ht="13.8" x14ac:dyDescent="0.25">
      <c r="A293" s="22"/>
      <c r="B293" s="91"/>
      <c r="C293" s="45"/>
      <c r="D293" s="95"/>
      <c r="E293" s="39"/>
      <c r="F293" s="94"/>
      <c r="G293" s="44"/>
      <c r="H293" s="35"/>
      <c r="I293" s="42"/>
      <c r="J293" s="35"/>
      <c r="K293" s="35"/>
      <c r="L293" s="87"/>
      <c r="M293" s="22"/>
      <c r="N293" s="89"/>
      <c r="O293" s="35"/>
      <c r="P293" s="37"/>
      <c r="Q293" s="35"/>
      <c r="R293" s="41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</row>
    <row r="294" spans="1:41" ht="13.8" x14ac:dyDescent="0.25">
      <c r="A294" s="22"/>
      <c r="B294" s="91"/>
      <c r="C294" s="45"/>
      <c r="D294" s="95"/>
      <c r="E294" s="39"/>
      <c r="F294" s="94"/>
      <c r="G294" s="44"/>
      <c r="H294" s="35"/>
      <c r="I294" s="42"/>
      <c r="J294" s="35"/>
      <c r="K294" s="35"/>
      <c r="L294" s="87"/>
      <c r="M294" s="22"/>
      <c r="N294" s="89"/>
      <c r="O294" s="35"/>
      <c r="P294" s="37"/>
      <c r="Q294" s="35"/>
      <c r="R294" s="41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</row>
    <row r="295" spans="1:41" ht="13.8" x14ac:dyDescent="0.25">
      <c r="A295" s="22"/>
      <c r="B295" s="91"/>
      <c r="C295" s="45"/>
      <c r="D295" s="95"/>
      <c r="E295" s="39"/>
      <c r="F295" s="94"/>
      <c r="G295" s="44"/>
      <c r="H295" s="35"/>
      <c r="I295" s="42"/>
      <c r="J295" s="35"/>
      <c r="K295" s="35"/>
      <c r="L295" s="87"/>
      <c r="M295" s="22"/>
      <c r="N295" s="89"/>
      <c r="O295" s="35"/>
      <c r="P295" s="37"/>
      <c r="Q295" s="35"/>
      <c r="R295" s="41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</row>
    <row r="296" spans="1:41" ht="13.8" x14ac:dyDescent="0.25">
      <c r="A296" s="22"/>
      <c r="B296" s="91"/>
      <c r="C296" s="45"/>
      <c r="D296" s="95"/>
      <c r="E296" s="39"/>
      <c r="F296" s="94"/>
      <c r="G296" s="44"/>
      <c r="H296" s="35"/>
      <c r="I296" s="42"/>
      <c r="J296" s="35"/>
      <c r="K296" s="35"/>
      <c r="L296" s="87"/>
      <c r="M296" s="22"/>
      <c r="N296" s="89"/>
      <c r="O296" s="35"/>
      <c r="P296" s="37"/>
      <c r="Q296" s="35"/>
      <c r="R296" s="41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</row>
    <row r="297" spans="1:41" ht="13.8" x14ac:dyDescent="0.25">
      <c r="A297" s="22"/>
      <c r="B297" s="91"/>
      <c r="C297" s="45"/>
      <c r="D297" s="95"/>
      <c r="E297" s="39"/>
      <c r="F297" s="94"/>
      <c r="G297" s="44"/>
      <c r="H297" s="35"/>
      <c r="I297" s="42"/>
      <c r="J297" s="35"/>
      <c r="K297" s="35"/>
      <c r="L297" s="87"/>
      <c r="M297" s="22"/>
      <c r="N297" s="89"/>
      <c r="O297" s="35"/>
      <c r="P297" s="37"/>
      <c r="Q297" s="35"/>
      <c r="R297" s="41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</row>
    <row r="298" spans="1:41" ht="13.8" x14ac:dyDescent="0.25">
      <c r="A298" s="22"/>
      <c r="B298" s="91"/>
      <c r="C298" s="45"/>
      <c r="D298" s="95"/>
      <c r="E298" s="39"/>
      <c r="F298" s="94"/>
      <c r="G298" s="44"/>
      <c r="H298" s="35"/>
      <c r="I298" s="42"/>
      <c r="J298" s="35"/>
      <c r="K298" s="35"/>
      <c r="L298" s="87"/>
      <c r="M298" s="22"/>
      <c r="N298" s="89"/>
      <c r="O298" s="35"/>
      <c r="P298" s="37"/>
      <c r="Q298" s="35"/>
      <c r="R298" s="41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</row>
    <row r="299" spans="1:41" ht="13.8" x14ac:dyDescent="0.25">
      <c r="A299" s="22"/>
      <c r="B299" s="91"/>
      <c r="C299" s="45"/>
      <c r="D299" s="95"/>
      <c r="E299" s="39"/>
      <c r="F299" s="94"/>
      <c r="G299" s="44"/>
      <c r="H299" s="35"/>
      <c r="I299" s="42"/>
      <c r="J299" s="35"/>
      <c r="K299" s="35"/>
      <c r="L299" s="87"/>
      <c r="M299" s="22"/>
      <c r="N299" s="89"/>
      <c r="O299" s="35"/>
      <c r="P299" s="37"/>
      <c r="Q299" s="35"/>
      <c r="R299" s="41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</row>
    <row r="300" spans="1:41" ht="13.8" x14ac:dyDescent="0.25">
      <c r="A300" s="22"/>
      <c r="B300" s="91"/>
      <c r="C300" s="45"/>
      <c r="D300" s="95"/>
      <c r="E300" s="39"/>
      <c r="F300" s="94"/>
      <c r="G300" s="44"/>
      <c r="H300" s="35"/>
      <c r="I300" s="42"/>
      <c r="J300" s="35"/>
      <c r="K300" s="35"/>
      <c r="L300" s="87"/>
      <c r="M300" s="22"/>
      <c r="N300" s="89"/>
      <c r="O300" s="35"/>
      <c r="P300" s="37"/>
      <c r="Q300" s="35"/>
      <c r="R300" s="41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</row>
    <row r="301" spans="1:41" ht="13.8" x14ac:dyDescent="0.25">
      <c r="A301" s="22"/>
      <c r="B301" s="91"/>
      <c r="C301" s="45"/>
      <c r="D301" s="95"/>
      <c r="E301" s="39"/>
      <c r="F301" s="94"/>
      <c r="G301" s="44"/>
      <c r="H301" s="35"/>
      <c r="I301" s="42"/>
      <c r="J301" s="35"/>
      <c r="K301" s="35"/>
      <c r="L301" s="87"/>
      <c r="M301" s="22"/>
      <c r="N301" s="89"/>
      <c r="O301" s="35"/>
      <c r="P301" s="37"/>
      <c r="Q301" s="35"/>
      <c r="R301" s="41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</row>
    <row r="302" spans="1:41" ht="13.8" x14ac:dyDescent="0.25">
      <c r="A302" s="22"/>
      <c r="B302" s="91"/>
      <c r="C302" s="45"/>
      <c r="D302" s="95"/>
      <c r="E302" s="39"/>
      <c r="F302" s="94"/>
      <c r="G302" s="44"/>
      <c r="H302" s="35"/>
      <c r="I302" s="42"/>
      <c r="J302" s="35"/>
      <c r="K302" s="35"/>
      <c r="L302" s="87"/>
      <c r="M302" s="22"/>
      <c r="N302" s="89"/>
      <c r="O302" s="35"/>
      <c r="P302" s="37"/>
      <c r="Q302" s="35"/>
      <c r="R302" s="41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</row>
    <row r="303" spans="1:41" ht="13.8" x14ac:dyDescent="0.25">
      <c r="A303" s="22"/>
      <c r="B303" s="91"/>
      <c r="C303" s="45"/>
      <c r="D303" s="95"/>
      <c r="E303" s="39"/>
      <c r="F303" s="94"/>
      <c r="G303" s="44"/>
      <c r="H303" s="35"/>
      <c r="I303" s="42"/>
      <c r="J303" s="35"/>
      <c r="K303" s="35"/>
      <c r="L303" s="87"/>
      <c r="M303" s="22"/>
      <c r="N303" s="89"/>
      <c r="O303" s="35"/>
      <c r="P303" s="37"/>
      <c r="Q303" s="35"/>
      <c r="R303" s="41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</row>
    <row r="304" spans="1:41" ht="13.8" x14ac:dyDescent="0.25">
      <c r="A304" s="22"/>
      <c r="B304" s="91"/>
      <c r="C304" s="45"/>
      <c r="D304" s="95"/>
      <c r="E304" s="39"/>
      <c r="F304" s="94"/>
      <c r="G304" s="44"/>
      <c r="H304" s="35"/>
      <c r="I304" s="42"/>
      <c r="J304" s="35"/>
      <c r="K304" s="35"/>
      <c r="L304" s="87"/>
      <c r="M304" s="22"/>
      <c r="N304" s="89"/>
      <c r="O304" s="35"/>
      <c r="P304" s="37"/>
      <c r="Q304" s="35"/>
      <c r="R304" s="41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</row>
    <row r="305" spans="1:41" ht="13.8" x14ac:dyDescent="0.25">
      <c r="A305" s="22"/>
      <c r="B305" s="91"/>
      <c r="C305" s="45"/>
      <c r="D305" s="95"/>
      <c r="E305" s="39"/>
      <c r="F305" s="94"/>
      <c r="G305" s="44"/>
      <c r="H305" s="35"/>
      <c r="I305" s="42"/>
      <c r="J305" s="35"/>
      <c r="K305" s="35"/>
      <c r="L305" s="87"/>
      <c r="M305" s="22"/>
      <c r="N305" s="89"/>
      <c r="O305" s="35"/>
      <c r="P305" s="37"/>
      <c r="Q305" s="35"/>
      <c r="R305" s="41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</row>
    <row r="306" spans="1:41" ht="13.8" x14ac:dyDescent="0.25">
      <c r="A306" s="22"/>
      <c r="B306" s="91"/>
      <c r="C306" s="45"/>
      <c r="D306" s="95"/>
      <c r="E306" s="39"/>
      <c r="F306" s="94"/>
      <c r="G306" s="44"/>
      <c r="H306" s="35"/>
      <c r="I306" s="42"/>
      <c r="J306" s="35"/>
      <c r="K306" s="35"/>
      <c r="L306" s="87"/>
      <c r="M306" s="22"/>
      <c r="N306" s="89"/>
      <c r="O306" s="35"/>
      <c r="P306" s="37"/>
      <c r="Q306" s="35"/>
      <c r="R306" s="41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</row>
    <row r="307" spans="1:41" ht="13.8" x14ac:dyDescent="0.25">
      <c r="A307" s="22"/>
      <c r="B307" s="91"/>
      <c r="C307" s="45"/>
      <c r="D307" s="95"/>
      <c r="E307" s="39"/>
      <c r="F307" s="94"/>
      <c r="G307" s="44"/>
      <c r="H307" s="35"/>
      <c r="I307" s="42"/>
      <c r="J307" s="35"/>
      <c r="K307" s="35"/>
      <c r="L307" s="87"/>
      <c r="M307" s="22"/>
      <c r="N307" s="89"/>
      <c r="O307" s="35"/>
      <c r="P307" s="37"/>
      <c r="Q307" s="35"/>
      <c r="R307" s="41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</row>
    <row r="308" spans="1:41" ht="13.8" x14ac:dyDescent="0.25">
      <c r="A308" s="22"/>
      <c r="B308" s="91"/>
      <c r="C308" s="45"/>
      <c r="D308" s="95"/>
      <c r="E308" s="39"/>
      <c r="F308" s="94"/>
      <c r="G308" s="44"/>
      <c r="H308" s="35"/>
      <c r="I308" s="42"/>
      <c r="J308" s="35"/>
      <c r="K308" s="35"/>
      <c r="L308" s="87"/>
      <c r="M308" s="22"/>
      <c r="N308" s="89"/>
      <c r="O308" s="35"/>
      <c r="P308" s="37"/>
      <c r="Q308" s="35"/>
      <c r="R308" s="41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</row>
    <row r="309" spans="1:41" ht="13.8" x14ac:dyDescent="0.25">
      <c r="A309" s="22"/>
      <c r="B309" s="91"/>
      <c r="C309" s="45"/>
      <c r="D309" s="95"/>
      <c r="E309" s="39"/>
      <c r="F309" s="94"/>
      <c r="G309" s="44"/>
      <c r="H309" s="35"/>
      <c r="I309" s="42"/>
      <c r="J309" s="35"/>
      <c r="K309" s="35"/>
      <c r="L309" s="87"/>
      <c r="M309" s="22"/>
      <c r="N309" s="89"/>
      <c r="O309" s="35"/>
      <c r="P309" s="37"/>
      <c r="Q309" s="35"/>
      <c r="R309" s="41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</row>
    <row r="310" spans="1:41" ht="13.8" x14ac:dyDescent="0.25">
      <c r="A310" s="22"/>
      <c r="B310" s="91"/>
      <c r="C310" s="45"/>
      <c r="D310" s="95"/>
      <c r="E310" s="39"/>
      <c r="F310" s="94"/>
      <c r="G310" s="44"/>
      <c r="H310" s="35"/>
      <c r="I310" s="42"/>
      <c r="J310" s="35"/>
      <c r="K310" s="35"/>
      <c r="L310" s="87"/>
      <c r="M310" s="22"/>
      <c r="N310" s="89"/>
      <c r="O310" s="35"/>
      <c r="P310" s="37"/>
      <c r="Q310" s="35"/>
      <c r="R310" s="41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</row>
    <row r="311" spans="1:41" ht="13.8" x14ac:dyDescent="0.25">
      <c r="A311" s="22"/>
      <c r="B311" s="91"/>
      <c r="C311" s="45"/>
      <c r="D311" s="95"/>
      <c r="E311" s="39"/>
      <c r="F311" s="94"/>
      <c r="G311" s="44"/>
      <c r="H311" s="35"/>
      <c r="I311" s="42"/>
      <c r="J311" s="35"/>
      <c r="K311" s="35"/>
      <c r="L311" s="87"/>
      <c r="M311" s="22"/>
      <c r="N311" s="89"/>
      <c r="O311" s="35"/>
      <c r="P311" s="37"/>
      <c r="Q311" s="35"/>
      <c r="R311" s="41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</row>
    <row r="312" spans="1:41" ht="13.8" x14ac:dyDescent="0.25">
      <c r="A312" s="22"/>
      <c r="B312" s="91"/>
      <c r="C312" s="45"/>
      <c r="D312" s="95"/>
      <c r="E312" s="39"/>
      <c r="F312" s="94"/>
      <c r="G312" s="44"/>
      <c r="H312" s="35"/>
      <c r="I312" s="42"/>
      <c r="J312" s="35"/>
      <c r="K312" s="35"/>
      <c r="L312" s="87"/>
      <c r="M312" s="22"/>
      <c r="N312" s="89"/>
      <c r="O312" s="35"/>
      <c r="P312" s="37"/>
      <c r="Q312" s="35"/>
      <c r="R312" s="41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</row>
    <row r="313" spans="1:41" ht="13.8" x14ac:dyDescent="0.25">
      <c r="A313" s="22"/>
      <c r="B313" s="91"/>
      <c r="C313" s="45"/>
      <c r="D313" s="95"/>
      <c r="E313" s="39"/>
      <c r="F313" s="94"/>
      <c r="G313" s="44"/>
      <c r="H313" s="35"/>
      <c r="I313" s="42"/>
      <c r="J313" s="35"/>
      <c r="K313" s="35"/>
      <c r="L313" s="87"/>
      <c r="M313" s="22"/>
      <c r="N313" s="89"/>
      <c r="O313" s="35"/>
      <c r="P313" s="37"/>
      <c r="Q313" s="35"/>
      <c r="R313" s="41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</row>
    <row r="314" spans="1:41" ht="13.8" x14ac:dyDescent="0.25">
      <c r="A314" s="22"/>
      <c r="B314" s="91"/>
      <c r="C314" s="45"/>
      <c r="D314" s="95"/>
      <c r="E314" s="39"/>
      <c r="F314" s="94"/>
      <c r="G314" s="44"/>
      <c r="H314" s="35"/>
      <c r="I314" s="42"/>
      <c r="J314" s="35"/>
      <c r="K314" s="35"/>
      <c r="L314" s="87"/>
      <c r="M314" s="22"/>
      <c r="N314" s="89"/>
      <c r="O314" s="35"/>
      <c r="P314" s="37"/>
      <c r="Q314" s="35"/>
      <c r="R314" s="41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</row>
    <row r="315" spans="1:41" ht="13.8" x14ac:dyDescent="0.25">
      <c r="A315" s="22"/>
      <c r="B315" s="91"/>
      <c r="C315" s="45"/>
      <c r="D315" s="95"/>
      <c r="E315" s="39"/>
      <c r="F315" s="94"/>
      <c r="G315" s="44"/>
      <c r="H315" s="35"/>
      <c r="I315" s="42"/>
      <c r="J315" s="35"/>
      <c r="K315" s="35"/>
      <c r="L315" s="87"/>
      <c r="M315" s="22"/>
      <c r="N315" s="89"/>
      <c r="O315" s="35"/>
      <c r="P315" s="37"/>
      <c r="Q315" s="35"/>
      <c r="R315" s="41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</row>
    <row r="316" spans="1:41" ht="13.8" x14ac:dyDescent="0.25">
      <c r="A316" s="22"/>
      <c r="B316" s="91"/>
      <c r="C316" s="45"/>
      <c r="D316" s="95"/>
      <c r="E316" s="39"/>
      <c r="F316" s="94"/>
      <c r="G316" s="44"/>
      <c r="H316" s="35"/>
      <c r="I316" s="42"/>
      <c r="J316" s="35"/>
      <c r="K316" s="35"/>
      <c r="L316" s="87"/>
      <c r="M316" s="22"/>
      <c r="N316" s="89"/>
      <c r="O316" s="35"/>
      <c r="P316" s="37"/>
      <c r="Q316" s="35"/>
      <c r="R316" s="41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</row>
    <row r="317" spans="1:41" ht="13.8" x14ac:dyDescent="0.25">
      <c r="A317" s="22"/>
      <c r="B317" s="91"/>
      <c r="C317" s="45"/>
      <c r="D317" s="95"/>
      <c r="E317" s="39"/>
      <c r="F317" s="94"/>
      <c r="G317" s="44"/>
      <c r="H317" s="35"/>
      <c r="I317" s="42"/>
      <c r="J317" s="35"/>
      <c r="K317" s="35"/>
      <c r="L317" s="87"/>
      <c r="M317" s="22"/>
      <c r="N317" s="89"/>
      <c r="O317" s="35"/>
      <c r="P317" s="37"/>
      <c r="Q317" s="35"/>
      <c r="R317" s="41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</row>
    <row r="318" spans="1:41" ht="13.8" x14ac:dyDescent="0.25">
      <c r="A318" s="22"/>
      <c r="B318" s="91"/>
      <c r="C318" s="45"/>
      <c r="D318" s="95"/>
      <c r="E318" s="39"/>
      <c r="F318" s="94"/>
      <c r="G318" s="44"/>
      <c r="H318" s="35"/>
      <c r="I318" s="42"/>
      <c r="J318" s="35"/>
      <c r="K318" s="35"/>
      <c r="L318" s="87"/>
      <c r="M318" s="22"/>
      <c r="N318" s="89"/>
      <c r="O318" s="35"/>
      <c r="P318" s="37"/>
      <c r="Q318" s="35"/>
      <c r="R318" s="41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</row>
    <row r="319" spans="1:41" ht="13.8" x14ac:dyDescent="0.25">
      <c r="A319" s="22"/>
      <c r="B319" s="91"/>
      <c r="C319" s="45"/>
      <c r="D319" s="95"/>
      <c r="E319" s="39"/>
      <c r="F319" s="94"/>
      <c r="G319" s="44"/>
      <c r="H319" s="35"/>
      <c r="I319" s="42"/>
      <c r="J319" s="35"/>
      <c r="K319" s="35"/>
      <c r="L319" s="87"/>
      <c r="M319" s="22"/>
      <c r="N319" s="89"/>
      <c r="O319" s="35"/>
      <c r="P319" s="37"/>
      <c r="Q319" s="35"/>
      <c r="R319" s="41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</row>
    <row r="320" spans="1:41" ht="13.8" x14ac:dyDescent="0.25">
      <c r="A320" s="22"/>
      <c r="B320" s="91"/>
      <c r="C320" s="45"/>
      <c r="D320" s="95"/>
      <c r="E320" s="39"/>
      <c r="F320" s="94"/>
      <c r="G320" s="44"/>
      <c r="H320" s="35"/>
      <c r="I320" s="42"/>
      <c r="J320" s="35"/>
      <c r="K320" s="35"/>
      <c r="L320" s="87"/>
      <c r="M320" s="22"/>
      <c r="N320" s="89"/>
      <c r="O320" s="35"/>
      <c r="P320" s="37"/>
      <c r="Q320" s="35"/>
      <c r="R320" s="41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</row>
    <row r="321" spans="1:41" ht="13.8" x14ac:dyDescent="0.25">
      <c r="A321" s="22"/>
      <c r="B321" s="91"/>
      <c r="C321" s="45"/>
      <c r="D321" s="95"/>
      <c r="E321" s="39"/>
      <c r="F321" s="94"/>
      <c r="G321" s="44"/>
      <c r="H321" s="35"/>
      <c r="I321" s="42"/>
      <c r="J321" s="35"/>
      <c r="K321" s="35"/>
      <c r="L321" s="87"/>
      <c r="M321" s="22"/>
      <c r="N321" s="89"/>
      <c r="O321" s="35"/>
      <c r="P321" s="37"/>
      <c r="Q321" s="35"/>
      <c r="R321" s="41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</row>
    <row r="322" spans="1:41" ht="13.8" x14ac:dyDescent="0.25">
      <c r="A322" s="22"/>
      <c r="B322" s="91"/>
      <c r="C322" s="45"/>
      <c r="D322" s="95"/>
      <c r="E322" s="39"/>
      <c r="F322" s="94"/>
      <c r="G322" s="44"/>
      <c r="H322" s="35"/>
      <c r="I322" s="42"/>
      <c r="J322" s="35"/>
      <c r="K322" s="35"/>
      <c r="L322" s="87"/>
      <c r="M322" s="22"/>
      <c r="N322" s="89"/>
      <c r="O322" s="35"/>
      <c r="P322" s="37"/>
      <c r="Q322" s="35"/>
      <c r="R322" s="41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</row>
    <row r="323" spans="1:41" ht="13.8" x14ac:dyDescent="0.25">
      <c r="A323" s="22"/>
      <c r="B323" s="91"/>
      <c r="C323" s="45"/>
      <c r="D323" s="95"/>
      <c r="E323" s="39"/>
      <c r="F323" s="94"/>
      <c r="G323" s="44"/>
      <c r="H323" s="35"/>
      <c r="I323" s="42"/>
      <c r="J323" s="35"/>
      <c r="K323" s="35"/>
      <c r="L323" s="87"/>
      <c r="M323" s="22"/>
      <c r="N323" s="89"/>
      <c r="O323" s="35"/>
      <c r="P323" s="37"/>
      <c r="Q323" s="35"/>
      <c r="R323" s="41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</row>
    <row r="324" spans="1:41" ht="13.8" x14ac:dyDescent="0.25">
      <c r="A324" s="22"/>
      <c r="B324" s="91"/>
      <c r="C324" s="45"/>
      <c r="D324" s="95"/>
      <c r="E324" s="39"/>
      <c r="F324" s="94"/>
      <c r="G324" s="44"/>
      <c r="H324" s="35"/>
      <c r="I324" s="42"/>
      <c r="J324" s="35"/>
      <c r="K324" s="35"/>
      <c r="L324" s="87"/>
      <c r="M324" s="22"/>
      <c r="N324" s="89"/>
      <c r="O324" s="35"/>
      <c r="P324" s="37"/>
      <c r="Q324" s="35"/>
      <c r="R324" s="41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</row>
    <row r="325" spans="1:41" ht="13.8" x14ac:dyDescent="0.25">
      <c r="A325" s="22"/>
      <c r="B325" s="91"/>
      <c r="C325" s="45"/>
      <c r="D325" s="95"/>
      <c r="E325" s="39"/>
      <c r="F325" s="94"/>
      <c r="G325" s="44"/>
      <c r="H325" s="35"/>
      <c r="I325" s="42"/>
      <c r="J325" s="35"/>
      <c r="K325" s="35"/>
      <c r="L325" s="87"/>
      <c r="M325" s="22"/>
      <c r="N325" s="89"/>
      <c r="O325" s="35"/>
      <c r="P325" s="37"/>
      <c r="Q325" s="35"/>
      <c r="R325" s="41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</row>
    <row r="326" spans="1:41" ht="13.8" x14ac:dyDescent="0.25">
      <c r="A326" s="22"/>
      <c r="B326" s="91"/>
      <c r="C326" s="45"/>
      <c r="D326" s="95"/>
      <c r="E326" s="39"/>
      <c r="F326" s="94"/>
      <c r="G326" s="44"/>
      <c r="H326" s="35"/>
      <c r="I326" s="42"/>
      <c r="J326" s="35"/>
      <c r="K326" s="35"/>
      <c r="L326" s="87"/>
      <c r="M326" s="22"/>
      <c r="N326" s="89"/>
      <c r="O326" s="35"/>
      <c r="P326" s="37"/>
      <c r="Q326" s="35"/>
      <c r="R326" s="41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</row>
    <row r="327" spans="1:41" ht="13.8" x14ac:dyDescent="0.25">
      <c r="A327" s="22"/>
      <c r="B327" s="91"/>
      <c r="C327" s="45"/>
      <c r="D327" s="95"/>
      <c r="E327" s="39"/>
      <c r="F327" s="94"/>
      <c r="G327" s="44"/>
      <c r="H327" s="35"/>
      <c r="I327" s="42"/>
      <c r="J327" s="35"/>
      <c r="K327" s="35"/>
      <c r="L327" s="87"/>
      <c r="M327" s="22"/>
      <c r="N327" s="89"/>
      <c r="O327" s="35"/>
      <c r="P327" s="37"/>
      <c r="Q327" s="35"/>
      <c r="R327" s="41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</row>
    <row r="328" spans="1:41" ht="13.8" x14ac:dyDescent="0.25">
      <c r="A328" s="22"/>
      <c r="B328" s="91"/>
      <c r="C328" s="45"/>
      <c r="D328" s="95"/>
      <c r="E328" s="39"/>
      <c r="F328" s="94"/>
      <c r="G328" s="44"/>
      <c r="H328" s="35"/>
      <c r="I328" s="42"/>
      <c r="J328" s="35"/>
      <c r="K328" s="35"/>
      <c r="L328" s="87"/>
      <c r="M328" s="22"/>
      <c r="N328" s="89"/>
      <c r="O328" s="35"/>
      <c r="P328" s="37"/>
      <c r="Q328" s="35"/>
      <c r="R328" s="41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</row>
    <row r="329" spans="1:41" ht="13.8" x14ac:dyDescent="0.25">
      <c r="A329" s="22"/>
      <c r="B329" s="91"/>
      <c r="C329" s="45"/>
      <c r="D329" s="95"/>
      <c r="E329" s="39"/>
      <c r="F329" s="94"/>
      <c r="G329" s="44"/>
      <c r="H329" s="35"/>
      <c r="I329" s="42"/>
      <c r="J329" s="35"/>
      <c r="K329" s="35"/>
      <c r="L329" s="87"/>
      <c r="M329" s="22"/>
      <c r="N329" s="89"/>
      <c r="O329" s="35"/>
      <c r="P329" s="37"/>
      <c r="Q329" s="35"/>
      <c r="R329" s="41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</row>
    <row r="330" spans="1:41" ht="13.8" x14ac:dyDescent="0.25">
      <c r="A330" s="22"/>
      <c r="B330" s="91"/>
      <c r="C330" s="45"/>
      <c r="D330" s="95"/>
      <c r="E330" s="39"/>
      <c r="F330" s="94"/>
      <c r="G330" s="44"/>
      <c r="H330" s="35"/>
      <c r="I330" s="42"/>
      <c r="J330" s="35"/>
      <c r="K330" s="35"/>
      <c r="L330" s="87"/>
      <c r="M330" s="22"/>
      <c r="N330" s="89"/>
      <c r="O330" s="35"/>
      <c r="P330" s="37"/>
      <c r="Q330" s="35"/>
      <c r="R330" s="41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</row>
    <row r="331" spans="1:41" ht="13.8" x14ac:dyDescent="0.25">
      <c r="A331" s="22"/>
      <c r="B331" s="91"/>
      <c r="C331" s="45"/>
      <c r="D331" s="95"/>
      <c r="E331" s="39"/>
      <c r="F331" s="94"/>
      <c r="G331" s="44"/>
      <c r="H331" s="35"/>
      <c r="I331" s="42"/>
      <c r="J331" s="35"/>
      <c r="K331" s="35"/>
      <c r="L331" s="87"/>
      <c r="M331" s="22"/>
      <c r="N331" s="89"/>
      <c r="O331" s="35"/>
      <c r="P331" s="37"/>
      <c r="Q331" s="35"/>
      <c r="R331" s="41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</row>
    <row r="332" spans="1:41" ht="13.8" x14ac:dyDescent="0.25">
      <c r="A332" s="22"/>
      <c r="B332" s="91"/>
      <c r="C332" s="45"/>
      <c r="D332" s="95"/>
      <c r="E332" s="39"/>
      <c r="F332" s="94"/>
      <c r="G332" s="44"/>
      <c r="H332" s="35"/>
      <c r="I332" s="42"/>
      <c r="J332" s="35"/>
      <c r="K332" s="35"/>
      <c r="L332" s="87"/>
      <c r="M332" s="22"/>
      <c r="N332" s="89"/>
      <c r="O332" s="35"/>
      <c r="P332" s="37"/>
      <c r="Q332" s="35"/>
      <c r="R332" s="41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</row>
    <row r="333" spans="1:41" ht="13.8" x14ac:dyDescent="0.25">
      <c r="A333" s="22"/>
      <c r="B333" s="91"/>
      <c r="C333" s="45"/>
      <c r="D333" s="95"/>
      <c r="E333" s="39"/>
      <c r="F333" s="94"/>
      <c r="G333" s="44"/>
      <c r="H333" s="35"/>
      <c r="I333" s="42"/>
      <c r="J333" s="35"/>
      <c r="K333" s="35"/>
      <c r="L333" s="87"/>
      <c r="M333" s="22"/>
      <c r="N333" s="89"/>
      <c r="O333" s="35"/>
      <c r="P333" s="37"/>
      <c r="Q333" s="35"/>
      <c r="R333" s="41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</row>
    <row r="334" spans="1:41" ht="13.8" x14ac:dyDescent="0.25">
      <c r="A334" s="22"/>
      <c r="B334" s="91"/>
      <c r="C334" s="45"/>
      <c r="D334" s="95"/>
      <c r="E334" s="39"/>
      <c r="F334" s="94"/>
      <c r="G334" s="44"/>
      <c r="H334" s="35"/>
      <c r="I334" s="42"/>
      <c r="J334" s="35"/>
      <c r="K334" s="35"/>
      <c r="L334" s="87"/>
      <c r="M334" s="22"/>
      <c r="N334" s="89"/>
      <c r="O334" s="35"/>
      <c r="P334" s="37"/>
      <c r="Q334" s="35"/>
      <c r="R334" s="41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</row>
    <row r="335" spans="1:41" ht="13.8" x14ac:dyDescent="0.25">
      <c r="A335" s="22"/>
      <c r="B335" s="91"/>
      <c r="C335" s="45"/>
      <c r="D335" s="95"/>
      <c r="E335" s="39"/>
      <c r="F335" s="94"/>
      <c r="G335" s="44"/>
      <c r="H335" s="35"/>
      <c r="I335" s="42"/>
      <c r="J335" s="35"/>
      <c r="K335" s="35"/>
      <c r="L335" s="87"/>
      <c r="M335" s="22"/>
      <c r="N335" s="89"/>
      <c r="O335" s="35"/>
      <c r="P335" s="37"/>
      <c r="Q335" s="35"/>
      <c r="R335" s="41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</row>
    <row r="336" spans="1:41" ht="13.8" x14ac:dyDescent="0.25">
      <c r="A336" s="22"/>
      <c r="B336" s="91"/>
      <c r="C336" s="45"/>
      <c r="D336" s="95"/>
      <c r="E336" s="39"/>
      <c r="F336" s="94"/>
      <c r="G336" s="44"/>
      <c r="H336" s="35"/>
      <c r="I336" s="42"/>
      <c r="J336" s="35"/>
      <c r="K336" s="35"/>
      <c r="L336" s="87"/>
      <c r="M336" s="22"/>
      <c r="N336" s="89"/>
      <c r="O336" s="35"/>
      <c r="P336" s="37"/>
      <c r="Q336" s="35"/>
      <c r="R336" s="41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</row>
    <row r="337" spans="1:41" ht="13.8" x14ac:dyDescent="0.25">
      <c r="A337" s="22"/>
      <c r="B337" s="91"/>
      <c r="C337" s="45"/>
      <c r="D337" s="95"/>
      <c r="E337" s="39"/>
      <c r="F337" s="94"/>
      <c r="G337" s="44"/>
      <c r="H337" s="35"/>
      <c r="I337" s="42"/>
      <c r="J337" s="35"/>
      <c r="K337" s="35"/>
      <c r="L337" s="87"/>
      <c r="M337" s="22"/>
      <c r="N337" s="89"/>
      <c r="O337" s="35"/>
      <c r="P337" s="37"/>
      <c r="Q337" s="35"/>
      <c r="R337" s="41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</row>
    <row r="338" spans="1:41" ht="13.8" x14ac:dyDescent="0.25">
      <c r="A338" s="22"/>
      <c r="B338" s="91"/>
      <c r="C338" s="45"/>
      <c r="D338" s="95"/>
      <c r="E338" s="39"/>
      <c r="F338" s="94"/>
      <c r="G338" s="44"/>
      <c r="H338" s="35"/>
      <c r="I338" s="42"/>
      <c r="J338" s="35"/>
      <c r="K338" s="35"/>
      <c r="L338" s="87"/>
      <c r="M338" s="22"/>
      <c r="N338" s="89"/>
      <c r="O338" s="35"/>
      <c r="P338" s="37"/>
      <c r="Q338" s="35"/>
      <c r="R338" s="41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</row>
    <row r="339" spans="1:41" ht="13.8" x14ac:dyDescent="0.25">
      <c r="A339" s="22"/>
      <c r="B339" s="91"/>
      <c r="C339" s="45"/>
      <c r="D339" s="95"/>
      <c r="E339" s="39"/>
      <c r="F339" s="94"/>
      <c r="G339" s="44"/>
      <c r="H339" s="35"/>
      <c r="I339" s="42"/>
      <c r="J339" s="35"/>
      <c r="K339" s="35"/>
      <c r="L339" s="87"/>
      <c r="M339" s="22"/>
      <c r="N339" s="89"/>
      <c r="O339" s="35"/>
      <c r="P339" s="37"/>
      <c r="Q339" s="35"/>
      <c r="R339" s="41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</row>
    <row r="340" spans="1:41" ht="13.8" x14ac:dyDescent="0.25">
      <c r="A340" s="22"/>
      <c r="B340" s="91"/>
      <c r="C340" s="45"/>
      <c r="D340" s="95"/>
      <c r="E340" s="39"/>
      <c r="F340" s="94"/>
      <c r="G340" s="44"/>
      <c r="H340" s="35"/>
      <c r="I340" s="42"/>
      <c r="J340" s="35"/>
      <c r="K340" s="35"/>
      <c r="L340" s="87"/>
      <c r="M340" s="22"/>
      <c r="N340" s="89"/>
      <c r="O340" s="35"/>
      <c r="P340" s="37"/>
      <c r="Q340" s="35"/>
      <c r="R340" s="41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</row>
    <row r="341" spans="1:41" ht="13.8" x14ac:dyDescent="0.25">
      <c r="A341" s="22"/>
      <c r="B341" s="91"/>
      <c r="C341" s="45"/>
      <c r="D341" s="95"/>
      <c r="E341" s="39"/>
      <c r="F341" s="94"/>
      <c r="G341" s="44"/>
      <c r="H341" s="35"/>
      <c r="I341" s="42"/>
      <c r="J341" s="35"/>
      <c r="K341" s="35"/>
      <c r="L341" s="87"/>
      <c r="M341" s="22"/>
      <c r="N341" s="89"/>
      <c r="O341" s="35"/>
      <c r="P341" s="37"/>
      <c r="Q341" s="35"/>
      <c r="R341" s="41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</row>
    <row r="342" spans="1:41" ht="13.8" x14ac:dyDescent="0.25">
      <c r="A342" s="22"/>
      <c r="B342" s="91"/>
      <c r="C342" s="45"/>
      <c r="D342" s="95"/>
      <c r="E342" s="39"/>
      <c r="F342" s="94"/>
      <c r="G342" s="44"/>
      <c r="H342" s="35"/>
      <c r="I342" s="42"/>
      <c r="J342" s="35"/>
      <c r="K342" s="35"/>
      <c r="L342" s="87"/>
      <c r="M342" s="22"/>
      <c r="N342" s="89"/>
      <c r="O342" s="35"/>
      <c r="P342" s="37"/>
      <c r="Q342" s="35"/>
      <c r="R342" s="41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</row>
    <row r="343" spans="1:41" ht="13.8" x14ac:dyDescent="0.25">
      <c r="A343" s="22"/>
      <c r="B343" s="91"/>
      <c r="C343" s="45"/>
      <c r="D343" s="95"/>
      <c r="E343" s="39"/>
      <c r="F343" s="94"/>
      <c r="G343" s="44"/>
      <c r="H343" s="35"/>
      <c r="I343" s="42"/>
      <c r="J343" s="35"/>
      <c r="K343" s="35"/>
      <c r="L343" s="87"/>
      <c r="M343" s="22"/>
      <c r="N343" s="89"/>
      <c r="O343" s="35"/>
      <c r="P343" s="37"/>
      <c r="Q343" s="35"/>
      <c r="R343" s="41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</row>
    <row r="344" spans="1:41" ht="13.8" x14ac:dyDescent="0.25">
      <c r="A344" s="22"/>
      <c r="B344" s="91"/>
      <c r="C344" s="45"/>
      <c r="D344" s="95"/>
      <c r="E344" s="39"/>
      <c r="F344" s="94"/>
      <c r="G344" s="44"/>
      <c r="H344" s="35"/>
      <c r="I344" s="42"/>
      <c r="J344" s="35"/>
      <c r="K344" s="35"/>
      <c r="L344" s="87"/>
      <c r="M344" s="22"/>
      <c r="N344" s="89"/>
      <c r="O344" s="35"/>
      <c r="P344" s="37"/>
      <c r="Q344" s="35"/>
      <c r="R344" s="41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</row>
    <row r="345" spans="1:41" ht="13.8" x14ac:dyDescent="0.25">
      <c r="A345" s="22"/>
      <c r="B345" s="91"/>
      <c r="C345" s="45"/>
      <c r="D345" s="95"/>
      <c r="E345" s="39"/>
      <c r="F345" s="94"/>
      <c r="G345" s="44"/>
      <c r="H345" s="35"/>
      <c r="I345" s="42"/>
      <c r="J345" s="35"/>
      <c r="K345" s="35"/>
      <c r="L345" s="87"/>
      <c r="M345" s="22"/>
      <c r="N345" s="89"/>
      <c r="O345" s="35"/>
      <c r="P345" s="37"/>
      <c r="Q345" s="35"/>
      <c r="R345" s="41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</row>
    <row r="346" spans="1:41" ht="13.8" x14ac:dyDescent="0.25">
      <c r="A346" s="22"/>
      <c r="B346" s="91"/>
      <c r="C346" s="45"/>
      <c r="D346" s="95"/>
      <c r="E346" s="39"/>
      <c r="F346" s="94"/>
      <c r="G346" s="44"/>
      <c r="H346" s="35"/>
      <c r="I346" s="42"/>
      <c r="J346" s="35"/>
      <c r="K346" s="35"/>
      <c r="L346" s="87"/>
      <c r="M346" s="22"/>
      <c r="N346" s="89"/>
      <c r="O346" s="35"/>
      <c r="P346" s="37"/>
      <c r="Q346" s="35"/>
      <c r="R346" s="41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</row>
    <row r="347" spans="1:41" ht="13.8" x14ac:dyDescent="0.25">
      <c r="A347" s="22"/>
      <c r="B347" s="91"/>
      <c r="C347" s="45"/>
      <c r="D347" s="95"/>
      <c r="E347" s="39"/>
      <c r="F347" s="94"/>
      <c r="G347" s="44"/>
      <c r="H347" s="35"/>
      <c r="I347" s="42"/>
      <c r="J347" s="35"/>
      <c r="K347" s="35"/>
      <c r="L347" s="87"/>
      <c r="M347" s="22"/>
      <c r="N347" s="89"/>
      <c r="O347" s="35"/>
      <c r="P347" s="37"/>
      <c r="Q347" s="35"/>
      <c r="R347" s="41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</row>
    <row r="348" spans="1:41" ht="13.8" x14ac:dyDescent="0.25">
      <c r="A348" s="22"/>
      <c r="B348" s="91"/>
      <c r="C348" s="45"/>
      <c r="D348" s="95"/>
      <c r="E348" s="39"/>
      <c r="F348" s="94"/>
      <c r="G348" s="44"/>
      <c r="H348" s="35"/>
      <c r="I348" s="42"/>
      <c r="J348" s="35"/>
      <c r="K348" s="35"/>
      <c r="L348" s="87"/>
      <c r="M348" s="22"/>
      <c r="N348" s="89"/>
      <c r="O348" s="35"/>
      <c r="P348" s="37"/>
      <c r="Q348" s="35"/>
      <c r="R348" s="41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</row>
    <row r="349" spans="1:41" ht="13.8" x14ac:dyDescent="0.25">
      <c r="A349" s="22"/>
      <c r="B349" s="91"/>
      <c r="C349" s="45"/>
      <c r="D349" s="95"/>
      <c r="E349" s="39"/>
      <c r="F349" s="94"/>
      <c r="G349" s="44"/>
      <c r="H349" s="35"/>
      <c r="I349" s="42"/>
      <c r="J349" s="35"/>
      <c r="K349" s="35"/>
      <c r="L349" s="87"/>
      <c r="M349" s="22"/>
      <c r="N349" s="89"/>
      <c r="O349" s="35"/>
      <c r="P349" s="37"/>
      <c r="Q349" s="35"/>
      <c r="R349" s="41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</row>
    <row r="350" spans="1:41" ht="13.8" x14ac:dyDescent="0.25">
      <c r="A350" s="22"/>
      <c r="B350" s="91"/>
      <c r="C350" s="45"/>
      <c r="D350" s="95"/>
      <c r="E350" s="39"/>
      <c r="F350" s="94"/>
      <c r="G350" s="44"/>
      <c r="H350" s="35"/>
      <c r="I350" s="42"/>
      <c r="J350" s="35"/>
      <c r="K350" s="35"/>
      <c r="L350" s="87"/>
      <c r="M350" s="22"/>
      <c r="N350" s="89"/>
      <c r="O350" s="35"/>
      <c r="P350" s="37"/>
      <c r="Q350" s="35"/>
      <c r="R350" s="41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</row>
    <row r="351" spans="1:41" ht="13.8" x14ac:dyDescent="0.25">
      <c r="A351" s="22"/>
      <c r="B351" s="91"/>
      <c r="C351" s="45"/>
      <c r="D351" s="95"/>
      <c r="E351" s="39"/>
      <c r="F351" s="94"/>
      <c r="G351" s="44"/>
      <c r="H351" s="35"/>
      <c r="I351" s="42"/>
      <c r="J351" s="35"/>
      <c r="K351" s="35"/>
      <c r="L351" s="87"/>
      <c r="M351" s="22"/>
      <c r="N351" s="89"/>
      <c r="O351" s="35"/>
      <c r="P351" s="37"/>
      <c r="Q351" s="35"/>
      <c r="R351" s="41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</row>
    <row r="352" spans="1:41" ht="13.8" x14ac:dyDescent="0.25">
      <c r="A352" s="22"/>
      <c r="B352" s="91"/>
      <c r="C352" s="45"/>
      <c r="D352" s="95"/>
      <c r="E352" s="39"/>
      <c r="F352" s="94"/>
      <c r="G352" s="44"/>
      <c r="H352" s="35"/>
      <c r="I352" s="42"/>
      <c r="J352" s="35"/>
      <c r="K352" s="35"/>
      <c r="L352" s="87"/>
      <c r="M352" s="22"/>
      <c r="N352" s="89"/>
      <c r="O352" s="35"/>
      <c r="P352" s="37"/>
      <c r="Q352" s="35"/>
      <c r="R352" s="41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</row>
    <row r="353" spans="1:41" ht="13.8" x14ac:dyDescent="0.25">
      <c r="A353" s="22"/>
      <c r="B353" s="91"/>
      <c r="C353" s="45"/>
      <c r="D353" s="95"/>
      <c r="E353" s="39"/>
      <c r="F353" s="94"/>
      <c r="G353" s="44"/>
      <c r="H353" s="35"/>
      <c r="I353" s="42"/>
      <c r="J353" s="35"/>
      <c r="K353" s="35"/>
      <c r="L353" s="87"/>
      <c r="M353" s="22"/>
      <c r="N353" s="89"/>
      <c r="O353" s="35"/>
      <c r="P353" s="37"/>
      <c r="Q353" s="35"/>
      <c r="R353" s="41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</row>
    <row r="354" spans="1:41" ht="13.8" x14ac:dyDescent="0.25">
      <c r="A354" s="22"/>
      <c r="B354" s="91"/>
      <c r="C354" s="45"/>
      <c r="D354" s="95"/>
      <c r="E354" s="39"/>
      <c r="F354" s="94"/>
      <c r="G354" s="44"/>
      <c r="H354" s="35"/>
      <c r="I354" s="42"/>
      <c r="J354" s="35"/>
      <c r="K354" s="35"/>
      <c r="L354" s="87"/>
      <c r="M354" s="22"/>
      <c r="N354" s="89"/>
      <c r="O354" s="35"/>
      <c r="P354" s="37"/>
      <c r="Q354" s="35"/>
      <c r="R354" s="41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</row>
    <row r="355" spans="1:41" ht="13.8" x14ac:dyDescent="0.25">
      <c r="A355" s="22"/>
      <c r="B355" s="91"/>
      <c r="C355" s="45"/>
      <c r="D355" s="95"/>
      <c r="E355" s="39"/>
      <c r="F355" s="94"/>
      <c r="G355" s="44"/>
      <c r="H355" s="35"/>
      <c r="I355" s="42"/>
      <c r="J355" s="35"/>
      <c r="K355" s="35"/>
      <c r="L355" s="87"/>
      <c r="M355" s="22"/>
      <c r="N355" s="89"/>
      <c r="O355" s="35"/>
      <c r="P355" s="37"/>
      <c r="Q355" s="35"/>
      <c r="R355" s="41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</row>
    <row r="356" spans="1:41" ht="13.8" x14ac:dyDescent="0.25">
      <c r="A356" s="22"/>
      <c r="B356" s="91"/>
      <c r="C356" s="45"/>
      <c r="D356" s="95"/>
      <c r="E356" s="39"/>
      <c r="F356" s="94"/>
      <c r="G356" s="44"/>
      <c r="H356" s="35"/>
      <c r="I356" s="42"/>
      <c r="J356" s="35"/>
      <c r="K356" s="35"/>
      <c r="L356" s="87"/>
      <c r="M356" s="22"/>
      <c r="N356" s="89"/>
      <c r="O356" s="35"/>
      <c r="P356" s="37"/>
      <c r="Q356" s="35"/>
      <c r="R356" s="41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</row>
    <row r="357" spans="1:41" ht="13.8" x14ac:dyDescent="0.25">
      <c r="A357" s="22"/>
      <c r="B357" s="91"/>
      <c r="C357" s="45"/>
      <c r="D357" s="95"/>
      <c r="E357" s="39"/>
      <c r="F357" s="94"/>
      <c r="G357" s="44"/>
      <c r="H357" s="35"/>
      <c r="I357" s="42"/>
      <c r="J357" s="35"/>
      <c r="K357" s="35"/>
      <c r="L357" s="87"/>
      <c r="M357" s="22"/>
      <c r="N357" s="89"/>
      <c r="O357" s="35"/>
      <c r="P357" s="37"/>
      <c r="Q357" s="35"/>
      <c r="R357" s="41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</row>
    <row r="358" spans="1:41" ht="13.8" x14ac:dyDescent="0.25">
      <c r="A358" s="22"/>
      <c r="B358" s="91"/>
      <c r="C358" s="45"/>
      <c r="D358" s="95"/>
      <c r="E358" s="39"/>
      <c r="F358" s="94"/>
      <c r="G358" s="44"/>
      <c r="H358" s="35"/>
      <c r="I358" s="42"/>
      <c r="J358" s="35"/>
      <c r="K358" s="35"/>
      <c r="L358" s="87"/>
      <c r="M358" s="22"/>
      <c r="N358" s="89"/>
      <c r="O358" s="35"/>
      <c r="P358" s="37"/>
      <c r="Q358" s="35"/>
      <c r="R358" s="41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</row>
    <row r="359" spans="1:41" ht="13.8" x14ac:dyDescent="0.25">
      <c r="A359" s="22"/>
      <c r="B359" s="91"/>
      <c r="C359" s="45"/>
      <c r="D359" s="95"/>
      <c r="E359" s="39"/>
      <c r="F359" s="94"/>
      <c r="G359" s="44"/>
      <c r="H359" s="35"/>
      <c r="I359" s="42"/>
      <c r="J359" s="35"/>
      <c r="K359" s="35"/>
      <c r="L359" s="87"/>
      <c r="M359" s="22"/>
      <c r="N359" s="89"/>
      <c r="O359" s="35"/>
      <c r="P359" s="37"/>
      <c r="Q359" s="35"/>
      <c r="R359" s="41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</row>
    <row r="360" spans="1:41" ht="13.8" x14ac:dyDescent="0.25">
      <c r="A360" s="22"/>
      <c r="B360" s="91"/>
      <c r="C360" s="45"/>
      <c r="D360" s="95"/>
      <c r="E360" s="39"/>
      <c r="F360" s="94"/>
      <c r="G360" s="44"/>
      <c r="H360" s="35"/>
      <c r="I360" s="42"/>
      <c r="J360" s="35"/>
      <c r="K360" s="35"/>
      <c r="L360" s="87"/>
      <c r="M360" s="22"/>
      <c r="N360" s="89"/>
      <c r="O360" s="35"/>
      <c r="P360" s="37"/>
      <c r="Q360" s="35"/>
      <c r="R360" s="41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</row>
    <row r="361" spans="1:41" ht="13.8" x14ac:dyDescent="0.25">
      <c r="A361" s="22"/>
      <c r="B361" s="91"/>
      <c r="C361" s="45"/>
      <c r="D361" s="95"/>
      <c r="E361" s="39"/>
      <c r="F361" s="94"/>
      <c r="G361" s="44"/>
      <c r="H361" s="35"/>
      <c r="I361" s="42"/>
      <c r="J361" s="35"/>
      <c r="K361" s="35"/>
      <c r="L361" s="87"/>
      <c r="M361" s="22"/>
      <c r="N361" s="89"/>
      <c r="O361" s="35"/>
      <c r="P361" s="37"/>
      <c r="Q361" s="35"/>
      <c r="R361" s="41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</row>
    <row r="362" spans="1:41" ht="13.8" x14ac:dyDescent="0.25">
      <c r="A362" s="22"/>
      <c r="B362" s="91"/>
      <c r="C362" s="45"/>
      <c r="D362" s="95"/>
      <c r="E362" s="39"/>
      <c r="F362" s="94"/>
      <c r="G362" s="44"/>
      <c r="H362" s="35"/>
      <c r="I362" s="42"/>
      <c r="J362" s="35"/>
      <c r="K362" s="35"/>
      <c r="L362" s="87"/>
      <c r="M362" s="22"/>
      <c r="N362" s="89"/>
      <c r="O362" s="35"/>
      <c r="P362" s="37"/>
      <c r="Q362" s="35"/>
      <c r="R362" s="41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</row>
    <row r="363" spans="1:41" ht="13.8" x14ac:dyDescent="0.25">
      <c r="A363" s="22"/>
      <c r="B363" s="91"/>
      <c r="C363" s="45"/>
      <c r="D363" s="95"/>
      <c r="E363" s="39"/>
      <c r="F363" s="94"/>
      <c r="G363" s="44"/>
      <c r="H363" s="35"/>
      <c r="I363" s="42"/>
      <c r="J363" s="35"/>
      <c r="K363" s="35"/>
      <c r="L363" s="87"/>
      <c r="M363" s="22"/>
      <c r="N363" s="89"/>
      <c r="O363" s="35"/>
      <c r="P363" s="37"/>
      <c r="Q363" s="35"/>
      <c r="R363" s="41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</row>
    <row r="364" spans="1:41" ht="13.8" x14ac:dyDescent="0.25">
      <c r="A364" s="22"/>
      <c r="B364" s="91"/>
      <c r="C364" s="45"/>
      <c r="D364" s="95"/>
      <c r="E364" s="39"/>
      <c r="F364" s="94"/>
      <c r="G364" s="44"/>
      <c r="H364" s="35"/>
      <c r="I364" s="42"/>
      <c r="J364" s="35"/>
      <c r="K364" s="35"/>
      <c r="L364" s="87"/>
      <c r="M364" s="22"/>
      <c r="N364" s="89"/>
      <c r="O364" s="35"/>
      <c r="P364" s="37"/>
      <c r="Q364" s="35"/>
      <c r="R364" s="41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</row>
    <row r="365" spans="1:41" ht="13.8" x14ac:dyDescent="0.25">
      <c r="A365" s="22"/>
      <c r="B365" s="91"/>
      <c r="C365" s="45"/>
      <c r="D365" s="95"/>
      <c r="E365" s="39"/>
      <c r="F365" s="94"/>
      <c r="G365" s="44"/>
      <c r="H365" s="35"/>
      <c r="I365" s="42"/>
      <c r="J365" s="35"/>
      <c r="K365" s="35"/>
      <c r="L365" s="87"/>
      <c r="M365" s="22"/>
      <c r="N365" s="89"/>
      <c r="O365" s="35"/>
      <c r="P365" s="37"/>
      <c r="Q365" s="35"/>
      <c r="R365" s="41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</row>
    <row r="366" spans="1:41" ht="13.8" x14ac:dyDescent="0.25">
      <c r="A366" s="22"/>
      <c r="B366" s="91"/>
      <c r="C366" s="45"/>
      <c r="D366" s="95"/>
      <c r="E366" s="39"/>
      <c r="F366" s="94"/>
      <c r="G366" s="44"/>
      <c r="H366" s="35"/>
      <c r="I366" s="42"/>
      <c r="J366" s="35"/>
      <c r="K366" s="35"/>
      <c r="L366" s="87"/>
      <c r="M366" s="22"/>
      <c r="N366" s="89"/>
      <c r="O366" s="35"/>
      <c r="P366" s="37"/>
      <c r="Q366" s="35"/>
      <c r="R366" s="41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</row>
    <row r="367" spans="1:41" ht="13.8" x14ac:dyDescent="0.25">
      <c r="A367" s="22"/>
      <c r="B367" s="91"/>
      <c r="C367" s="45"/>
      <c r="D367" s="95"/>
      <c r="E367" s="39"/>
      <c r="F367" s="94"/>
      <c r="G367" s="44"/>
      <c r="H367" s="35"/>
      <c r="I367" s="42"/>
      <c r="J367" s="35"/>
      <c r="K367" s="35"/>
      <c r="L367" s="87"/>
      <c r="M367" s="22"/>
      <c r="N367" s="89"/>
      <c r="O367" s="35"/>
      <c r="P367" s="37"/>
      <c r="Q367" s="35"/>
      <c r="R367" s="41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</row>
    <row r="368" spans="1:41" ht="13.8" x14ac:dyDescent="0.25">
      <c r="A368" s="22"/>
      <c r="B368" s="91"/>
      <c r="C368" s="45"/>
      <c r="D368" s="95"/>
      <c r="E368" s="39"/>
      <c r="F368" s="94"/>
      <c r="G368" s="44"/>
      <c r="H368" s="35"/>
      <c r="I368" s="42"/>
      <c r="J368" s="35"/>
      <c r="K368" s="35"/>
      <c r="L368" s="87"/>
      <c r="M368" s="22"/>
      <c r="N368" s="89"/>
      <c r="O368" s="35"/>
      <c r="P368" s="37"/>
      <c r="Q368" s="35"/>
      <c r="R368" s="41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</row>
    <row r="369" spans="1:41" ht="13.8" x14ac:dyDescent="0.25">
      <c r="A369" s="22"/>
      <c r="B369" s="91"/>
      <c r="C369" s="45"/>
      <c r="D369" s="95"/>
      <c r="E369" s="39"/>
      <c r="F369" s="94"/>
      <c r="G369" s="44"/>
      <c r="H369" s="35"/>
      <c r="I369" s="42"/>
      <c r="J369" s="35"/>
      <c r="K369" s="35"/>
      <c r="L369" s="87"/>
      <c r="M369" s="22"/>
      <c r="N369" s="89"/>
      <c r="O369" s="35"/>
      <c r="P369" s="37"/>
      <c r="Q369" s="35"/>
      <c r="R369" s="41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</row>
    <row r="370" spans="1:41" ht="13.8" x14ac:dyDescent="0.25">
      <c r="A370" s="22"/>
      <c r="B370" s="91"/>
      <c r="C370" s="45"/>
      <c r="D370" s="95"/>
      <c r="E370" s="39"/>
      <c r="F370" s="94"/>
      <c r="G370" s="44"/>
      <c r="H370" s="35"/>
      <c r="I370" s="42"/>
      <c r="J370" s="35"/>
      <c r="K370" s="35"/>
      <c r="L370" s="87"/>
      <c r="M370" s="22"/>
      <c r="N370" s="89"/>
      <c r="O370" s="35"/>
      <c r="P370" s="37"/>
      <c r="Q370" s="35"/>
      <c r="R370" s="41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</row>
    <row r="371" spans="1:41" ht="13.8" x14ac:dyDescent="0.25">
      <c r="A371" s="22"/>
      <c r="B371" s="91"/>
      <c r="C371" s="45"/>
      <c r="D371" s="95"/>
      <c r="E371" s="39"/>
      <c r="F371" s="94"/>
      <c r="G371" s="44"/>
      <c r="H371" s="35"/>
      <c r="I371" s="42"/>
      <c r="J371" s="35"/>
      <c r="K371" s="35"/>
      <c r="L371" s="87"/>
      <c r="M371" s="22"/>
      <c r="N371" s="89"/>
      <c r="O371" s="35"/>
      <c r="P371" s="37"/>
      <c r="Q371" s="35"/>
      <c r="R371" s="41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</row>
    <row r="372" spans="1:41" ht="13.8" x14ac:dyDescent="0.25">
      <c r="A372" s="22"/>
      <c r="B372" s="91"/>
      <c r="C372" s="45"/>
      <c r="D372" s="95"/>
      <c r="E372" s="39"/>
      <c r="F372" s="94"/>
      <c r="G372" s="44"/>
      <c r="H372" s="35"/>
      <c r="I372" s="42"/>
      <c r="J372" s="35"/>
      <c r="K372" s="35"/>
      <c r="L372" s="87"/>
      <c r="M372" s="22"/>
      <c r="N372" s="89"/>
      <c r="O372" s="35"/>
      <c r="P372" s="37"/>
      <c r="Q372" s="35"/>
      <c r="R372" s="41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</row>
    <row r="373" spans="1:41" ht="13.8" x14ac:dyDescent="0.25">
      <c r="A373" s="22"/>
      <c r="B373" s="91"/>
      <c r="C373" s="45"/>
      <c r="D373" s="95"/>
      <c r="E373" s="39"/>
      <c r="F373" s="94"/>
      <c r="G373" s="44"/>
      <c r="H373" s="35"/>
      <c r="I373" s="42"/>
      <c r="J373" s="35"/>
      <c r="K373" s="35"/>
      <c r="L373" s="87"/>
      <c r="M373" s="22"/>
      <c r="N373" s="89"/>
      <c r="O373" s="35"/>
      <c r="P373" s="37"/>
      <c r="Q373" s="35"/>
      <c r="R373" s="41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</row>
    <row r="374" spans="1:41" ht="13.8" x14ac:dyDescent="0.25">
      <c r="A374" s="22"/>
      <c r="B374" s="91"/>
      <c r="C374" s="45"/>
      <c r="D374" s="95"/>
      <c r="E374" s="39"/>
      <c r="F374" s="94"/>
      <c r="G374" s="44"/>
      <c r="H374" s="35"/>
      <c r="I374" s="42"/>
      <c r="J374" s="35"/>
      <c r="K374" s="35"/>
      <c r="L374" s="87"/>
      <c r="M374" s="22"/>
      <c r="N374" s="89"/>
      <c r="O374" s="35"/>
      <c r="P374" s="37"/>
      <c r="Q374" s="35"/>
      <c r="R374" s="41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</row>
    <row r="375" spans="1:41" ht="13.8" x14ac:dyDescent="0.25">
      <c r="A375" s="22"/>
      <c r="B375" s="91"/>
      <c r="C375" s="45"/>
      <c r="D375" s="95"/>
      <c r="E375" s="39"/>
      <c r="F375" s="94"/>
      <c r="G375" s="44"/>
      <c r="H375" s="35"/>
      <c r="I375" s="42"/>
      <c r="J375" s="35"/>
      <c r="K375" s="35"/>
      <c r="L375" s="87"/>
      <c r="M375" s="22"/>
      <c r="N375" s="89"/>
      <c r="O375" s="35"/>
      <c r="P375" s="37"/>
      <c r="Q375" s="35"/>
      <c r="R375" s="41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</row>
    <row r="376" spans="1:41" ht="13.8" x14ac:dyDescent="0.25">
      <c r="A376" s="22"/>
      <c r="B376" s="91"/>
      <c r="C376" s="45"/>
      <c r="D376" s="95"/>
      <c r="E376" s="39"/>
      <c r="F376" s="94"/>
      <c r="G376" s="44"/>
      <c r="H376" s="35"/>
      <c r="I376" s="42"/>
      <c r="J376" s="35"/>
      <c r="K376" s="35"/>
      <c r="L376" s="87"/>
      <c r="M376" s="22"/>
      <c r="N376" s="89"/>
      <c r="O376" s="35"/>
      <c r="P376" s="37"/>
      <c r="Q376" s="35"/>
      <c r="R376" s="41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</row>
    <row r="377" spans="1:41" ht="13.8" x14ac:dyDescent="0.25">
      <c r="A377" s="22"/>
      <c r="B377" s="91"/>
      <c r="C377" s="45"/>
      <c r="D377" s="95"/>
      <c r="E377" s="39"/>
      <c r="F377" s="94"/>
      <c r="G377" s="44"/>
      <c r="H377" s="35"/>
      <c r="I377" s="42"/>
      <c r="J377" s="35"/>
      <c r="K377" s="35"/>
      <c r="L377" s="87"/>
      <c r="M377" s="22"/>
      <c r="N377" s="89"/>
      <c r="O377" s="35"/>
      <c r="P377" s="37"/>
      <c r="Q377" s="35"/>
      <c r="R377" s="41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</row>
    <row r="378" spans="1:41" ht="13.8" x14ac:dyDescent="0.25">
      <c r="A378" s="22"/>
      <c r="B378" s="91"/>
      <c r="C378" s="45"/>
      <c r="D378" s="95"/>
      <c r="E378" s="39"/>
      <c r="F378" s="94"/>
      <c r="G378" s="44"/>
      <c r="H378" s="35"/>
      <c r="I378" s="42"/>
      <c r="J378" s="35"/>
      <c r="K378" s="35"/>
      <c r="L378" s="87"/>
      <c r="M378" s="22"/>
      <c r="N378" s="89"/>
      <c r="O378" s="35"/>
      <c r="P378" s="37"/>
      <c r="Q378" s="35"/>
      <c r="R378" s="41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</row>
    <row r="379" spans="1:41" ht="13.8" x14ac:dyDescent="0.25">
      <c r="A379" s="22"/>
      <c r="B379" s="91"/>
      <c r="C379" s="45"/>
      <c r="D379" s="95"/>
      <c r="E379" s="39"/>
      <c r="F379" s="94"/>
      <c r="G379" s="44"/>
      <c r="H379" s="35"/>
      <c r="I379" s="42"/>
      <c r="J379" s="35"/>
      <c r="K379" s="35"/>
      <c r="L379" s="87"/>
      <c r="M379" s="22"/>
      <c r="N379" s="89"/>
      <c r="O379" s="35"/>
      <c r="P379" s="37"/>
      <c r="Q379" s="35"/>
      <c r="R379" s="41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</row>
    <row r="380" spans="1:41" ht="13.8" x14ac:dyDescent="0.25">
      <c r="A380" s="22"/>
      <c r="B380" s="91"/>
      <c r="C380" s="45"/>
      <c r="D380" s="95"/>
      <c r="E380" s="39"/>
      <c r="F380" s="94"/>
      <c r="G380" s="44"/>
      <c r="H380" s="35"/>
      <c r="I380" s="42"/>
      <c r="J380" s="35"/>
      <c r="K380" s="35"/>
      <c r="L380" s="87"/>
      <c r="M380" s="22"/>
      <c r="N380" s="89"/>
      <c r="O380" s="35"/>
      <c r="P380" s="37"/>
      <c r="Q380" s="35"/>
      <c r="R380" s="41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</row>
    <row r="381" spans="1:41" ht="13.8" x14ac:dyDescent="0.25">
      <c r="A381" s="22"/>
      <c r="B381" s="91"/>
      <c r="C381" s="45"/>
      <c r="D381" s="95"/>
      <c r="E381" s="39"/>
      <c r="F381" s="94"/>
      <c r="G381" s="44"/>
      <c r="H381" s="35"/>
      <c r="I381" s="42"/>
      <c r="J381" s="35"/>
      <c r="K381" s="35"/>
      <c r="L381" s="87"/>
      <c r="M381" s="22"/>
      <c r="N381" s="89"/>
      <c r="O381" s="35"/>
      <c r="P381" s="37"/>
      <c r="Q381" s="35"/>
      <c r="R381" s="41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</row>
    <row r="382" spans="1:41" ht="13.8" x14ac:dyDescent="0.25">
      <c r="A382" s="22"/>
      <c r="B382" s="91"/>
      <c r="C382" s="45"/>
      <c r="D382" s="95"/>
      <c r="E382" s="39"/>
      <c r="F382" s="94"/>
      <c r="G382" s="44"/>
      <c r="H382" s="35"/>
      <c r="I382" s="42"/>
      <c r="J382" s="35"/>
      <c r="K382" s="35"/>
      <c r="L382" s="87"/>
      <c r="M382" s="22"/>
      <c r="N382" s="89"/>
      <c r="O382" s="35"/>
      <c r="P382" s="37"/>
      <c r="Q382" s="35"/>
      <c r="R382" s="41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</row>
    <row r="383" spans="1:41" ht="13.8" x14ac:dyDescent="0.25">
      <c r="A383" s="22"/>
      <c r="B383" s="91"/>
      <c r="C383" s="45"/>
      <c r="D383" s="95"/>
      <c r="E383" s="39"/>
      <c r="F383" s="94"/>
      <c r="G383" s="44"/>
      <c r="H383" s="35"/>
      <c r="I383" s="42"/>
      <c r="J383" s="35"/>
      <c r="K383" s="35"/>
      <c r="L383" s="87"/>
      <c r="M383" s="22"/>
      <c r="N383" s="89"/>
      <c r="O383" s="35"/>
      <c r="P383" s="37"/>
      <c r="Q383" s="35"/>
      <c r="R383" s="41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</row>
    <row r="384" spans="1:41" ht="13.8" x14ac:dyDescent="0.25">
      <c r="A384" s="22"/>
      <c r="B384" s="91"/>
      <c r="C384" s="45"/>
      <c r="D384" s="95"/>
      <c r="E384" s="39"/>
      <c r="F384" s="94"/>
      <c r="G384" s="44"/>
      <c r="H384" s="35"/>
      <c r="I384" s="42"/>
      <c r="J384" s="35"/>
      <c r="K384" s="35"/>
      <c r="L384" s="87"/>
      <c r="M384" s="22"/>
      <c r="N384" s="89"/>
      <c r="O384" s="35"/>
      <c r="P384" s="37"/>
      <c r="Q384" s="35"/>
      <c r="R384" s="41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</row>
    <row r="385" spans="1:41" ht="13.8" x14ac:dyDescent="0.25">
      <c r="A385" s="22"/>
      <c r="B385" s="91"/>
      <c r="C385" s="45"/>
      <c r="D385" s="95"/>
      <c r="E385" s="39"/>
      <c r="F385" s="94"/>
      <c r="G385" s="44"/>
      <c r="H385" s="35"/>
      <c r="I385" s="42"/>
      <c r="J385" s="35"/>
      <c r="K385" s="35"/>
      <c r="L385" s="87"/>
      <c r="M385" s="22"/>
      <c r="N385" s="89"/>
      <c r="O385" s="35"/>
      <c r="P385" s="37"/>
      <c r="Q385" s="35"/>
      <c r="R385" s="41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</row>
    <row r="386" spans="1:41" ht="13.8" x14ac:dyDescent="0.25">
      <c r="A386" s="22"/>
      <c r="B386" s="91"/>
      <c r="C386" s="45"/>
      <c r="D386" s="95"/>
      <c r="E386" s="39"/>
      <c r="F386" s="94"/>
      <c r="G386" s="44"/>
      <c r="H386" s="35"/>
      <c r="I386" s="42"/>
      <c r="J386" s="35"/>
      <c r="K386" s="35"/>
      <c r="L386" s="87"/>
      <c r="M386" s="22"/>
      <c r="N386" s="89"/>
      <c r="O386" s="35"/>
      <c r="P386" s="37"/>
      <c r="Q386" s="35"/>
      <c r="R386" s="41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</row>
    <row r="387" spans="1:41" ht="13.8" x14ac:dyDescent="0.25">
      <c r="A387" s="22"/>
      <c r="B387" s="91"/>
      <c r="C387" s="45"/>
      <c r="D387" s="95"/>
      <c r="E387" s="39"/>
      <c r="F387" s="94"/>
      <c r="G387" s="44"/>
      <c r="H387" s="35"/>
      <c r="I387" s="42"/>
      <c r="J387" s="35"/>
      <c r="K387" s="35"/>
      <c r="L387" s="87"/>
      <c r="M387" s="22"/>
      <c r="N387" s="89"/>
      <c r="O387" s="35"/>
      <c r="P387" s="37"/>
      <c r="Q387" s="35"/>
      <c r="R387" s="41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</row>
    <row r="388" spans="1:41" ht="13.8" x14ac:dyDescent="0.25">
      <c r="A388" s="22"/>
      <c r="B388" s="91"/>
      <c r="C388" s="45"/>
      <c r="D388" s="95"/>
      <c r="E388" s="39"/>
      <c r="F388" s="94"/>
      <c r="G388" s="44"/>
      <c r="H388" s="35"/>
      <c r="I388" s="42"/>
      <c r="J388" s="35"/>
      <c r="K388" s="35"/>
      <c r="L388" s="87"/>
      <c r="M388" s="22"/>
      <c r="N388" s="89"/>
      <c r="O388" s="35"/>
      <c r="P388" s="37"/>
      <c r="Q388" s="35"/>
      <c r="R388" s="41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</row>
    <row r="389" spans="1:41" ht="13.8" x14ac:dyDescent="0.25">
      <c r="A389" s="22"/>
      <c r="B389" s="91"/>
      <c r="C389" s="45"/>
      <c r="D389" s="95"/>
      <c r="E389" s="39"/>
      <c r="F389" s="94"/>
      <c r="G389" s="44"/>
      <c r="H389" s="35"/>
      <c r="I389" s="42"/>
      <c r="J389" s="35"/>
      <c r="K389" s="35"/>
      <c r="L389" s="87"/>
      <c r="M389" s="22"/>
      <c r="N389" s="89"/>
      <c r="O389" s="35"/>
      <c r="P389" s="37"/>
      <c r="Q389" s="35"/>
      <c r="R389" s="41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</row>
    <row r="390" spans="1:41" ht="13.8" x14ac:dyDescent="0.25">
      <c r="A390" s="22"/>
      <c r="B390" s="91"/>
      <c r="C390" s="45"/>
      <c r="D390" s="95"/>
      <c r="E390" s="39"/>
      <c r="F390" s="94"/>
      <c r="G390" s="44"/>
      <c r="H390" s="35"/>
      <c r="I390" s="42"/>
      <c r="J390" s="35"/>
      <c r="K390" s="35"/>
      <c r="L390" s="87"/>
      <c r="M390" s="22"/>
      <c r="N390" s="89"/>
      <c r="O390" s="35"/>
      <c r="P390" s="37"/>
      <c r="Q390" s="35"/>
      <c r="R390" s="41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</row>
    <row r="391" spans="1:41" ht="13.8" x14ac:dyDescent="0.25">
      <c r="A391" s="22"/>
      <c r="B391" s="91"/>
      <c r="C391" s="45"/>
      <c r="D391" s="95"/>
      <c r="E391" s="39"/>
      <c r="F391" s="94"/>
      <c r="G391" s="44"/>
      <c r="H391" s="35"/>
      <c r="I391" s="42"/>
      <c r="J391" s="35"/>
      <c r="K391" s="35"/>
      <c r="L391" s="87"/>
      <c r="M391" s="22"/>
      <c r="N391" s="89"/>
      <c r="O391" s="35"/>
      <c r="P391" s="37"/>
      <c r="Q391" s="35"/>
      <c r="R391" s="41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</row>
    <row r="392" spans="1:41" ht="13.8" x14ac:dyDescent="0.25">
      <c r="A392" s="22"/>
      <c r="B392" s="91"/>
      <c r="C392" s="45"/>
      <c r="D392" s="95"/>
      <c r="E392" s="39"/>
      <c r="F392" s="94"/>
      <c r="G392" s="44"/>
      <c r="H392" s="35"/>
      <c r="I392" s="42"/>
      <c r="J392" s="35"/>
      <c r="K392" s="35"/>
      <c r="L392" s="87"/>
      <c r="M392" s="22"/>
      <c r="N392" s="89"/>
      <c r="O392" s="35"/>
      <c r="P392" s="37"/>
      <c r="Q392" s="35"/>
      <c r="R392" s="41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</row>
    <row r="393" spans="1:41" ht="13.8" x14ac:dyDescent="0.25">
      <c r="A393" s="22"/>
      <c r="B393" s="91"/>
      <c r="C393" s="45"/>
      <c r="D393" s="95"/>
      <c r="E393" s="39"/>
      <c r="F393" s="94"/>
      <c r="G393" s="44"/>
      <c r="H393" s="35"/>
      <c r="I393" s="42"/>
      <c r="J393" s="35"/>
      <c r="K393" s="35"/>
      <c r="L393" s="87"/>
      <c r="M393" s="22"/>
      <c r="N393" s="89"/>
      <c r="O393" s="35"/>
      <c r="P393" s="37"/>
      <c r="Q393" s="35"/>
      <c r="R393" s="41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</row>
    <row r="394" spans="1:41" ht="13.8" x14ac:dyDescent="0.25">
      <c r="A394" s="22"/>
      <c r="B394" s="91"/>
      <c r="C394" s="45"/>
      <c r="D394" s="95"/>
      <c r="E394" s="39"/>
      <c r="F394" s="94"/>
      <c r="G394" s="44"/>
      <c r="H394" s="35"/>
      <c r="I394" s="42"/>
      <c r="J394" s="35"/>
      <c r="K394" s="35"/>
      <c r="L394" s="87"/>
      <c r="M394" s="22"/>
      <c r="N394" s="89"/>
      <c r="O394" s="35"/>
      <c r="P394" s="37"/>
      <c r="Q394" s="35"/>
      <c r="R394" s="41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</row>
    <row r="395" spans="1:41" ht="13.8" x14ac:dyDescent="0.25">
      <c r="A395" s="22"/>
      <c r="B395" s="91"/>
      <c r="C395" s="45"/>
      <c r="D395" s="95"/>
      <c r="E395" s="39"/>
      <c r="F395" s="94"/>
      <c r="G395" s="44"/>
      <c r="H395" s="35"/>
      <c r="I395" s="42"/>
      <c r="J395" s="35"/>
      <c r="K395" s="35"/>
      <c r="L395" s="87"/>
      <c r="M395" s="22"/>
      <c r="N395" s="89"/>
      <c r="O395" s="35"/>
      <c r="P395" s="37"/>
      <c r="Q395" s="35"/>
      <c r="R395" s="41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</row>
    <row r="396" spans="1:41" ht="13.8" x14ac:dyDescent="0.25">
      <c r="A396" s="22"/>
      <c r="B396" s="91"/>
      <c r="C396" s="45"/>
      <c r="D396" s="95"/>
      <c r="E396" s="39"/>
      <c r="F396" s="94"/>
      <c r="G396" s="44"/>
      <c r="H396" s="35"/>
      <c r="I396" s="42"/>
      <c r="J396" s="35"/>
      <c r="K396" s="35"/>
      <c r="L396" s="87"/>
      <c r="M396" s="22"/>
      <c r="N396" s="89"/>
      <c r="O396" s="35"/>
      <c r="P396" s="37"/>
      <c r="Q396" s="35"/>
      <c r="R396" s="41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</row>
    <row r="397" spans="1:41" ht="13.8" x14ac:dyDescent="0.25">
      <c r="A397" s="22"/>
      <c r="B397" s="91"/>
      <c r="C397" s="45"/>
      <c r="D397" s="95"/>
      <c r="E397" s="39"/>
      <c r="F397" s="94"/>
      <c r="G397" s="44"/>
      <c r="H397" s="35"/>
      <c r="I397" s="42"/>
      <c r="J397" s="35"/>
      <c r="K397" s="35"/>
      <c r="L397" s="87"/>
      <c r="M397" s="22"/>
      <c r="N397" s="89"/>
      <c r="O397" s="35"/>
      <c r="P397" s="37"/>
      <c r="Q397" s="35"/>
      <c r="R397" s="41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</row>
    <row r="398" spans="1:41" ht="13.8" x14ac:dyDescent="0.25">
      <c r="A398" s="22"/>
      <c r="B398" s="91"/>
      <c r="C398" s="45"/>
      <c r="D398" s="95"/>
      <c r="E398" s="39"/>
      <c r="F398" s="94"/>
      <c r="G398" s="44"/>
      <c r="H398" s="35"/>
      <c r="I398" s="42"/>
      <c r="J398" s="35"/>
      <c r="K398" s="35"/>
      <c r="L398" s="87"/>
      <c r="M398" s="22"/>
      <c r="N398" s="89"/>
      <c r="O398" s="35"/>
      <c r="P398" s="37"/>
      <c r="Q398" s="35"/>
      <c r="R398" s="41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</row>
    <row r="399" spans="1:41" ht="13.8" x14ac:dyDescent="0.25">
      <c r="A399" s="22"/>
      <c r="B399" s="91"/>
      <c r="C399" s="45"/>
      <c r="D399" s="95"/>
      <c r="E399" s="39"/>
      <c r="F399" s="94"/>
      <c r="G399" s="44"/>
      <c r="H399" s="35"/>
      <c r="I399" s="42"/>
      <c r="J399" s="35"/>
      <c r="K399" s="35"/>
      <c r="L399" s="87"/>
      <c r="M399" s="22"/>
      <c r="N399" s="89"/>
      <c r="O399" s="35"/>
      <c r="P399" s="37"/>
      <c r="Q399" s="35"/>
      <c r="R399" s="41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</row>
    <row r="400" spans="1:41" ht="13.8" x14ac:dyDescent="0.25">
      <c r="A400" s="22"/>
      <c r="B400" s="91"/>
      <c r="C400" s="45"/>
      <c r="D400" s="95"/>
      <c r="E400" s="39"/>
      <c r="F400" s="94"/>
      <c r="G400" s="44"/>
      <c r="H400" s="35"/>
      <c r="I400" s="42"/>
      <c r="J400" s="35"/>
      <c r="K400" s="35"/>
      <c r="L400" s="87"/>
      <c r="M400" s="22"/>
      <c r="N400" s="89"/>
      <c r="O400" s="35"/>
      <c r="P400" s="37"/>
      <c r="Q400" s="35"/>
      <c r="R400" s="41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</row>
    <row r="401" spans="1:41" ht="13.8" x14ac:dyDescent="0.25">
      <c r="A401" s="22"/>
      <c r="B401" s="91"/>
      <c r="C401" s="45"/>
      <c r="D401" s="95"/>
      <c r="E401" s="39"/>
      <c r="F401" s="94"/>
      <c r="G401" s="44"/>
      <c r="H401" s="35"/>
      <c r="I401" s="42"/>
      <c r="J401" s="35"/>
      <c r="K401" s="35"/>
      <c r="L401" s="87"/>
      <c r="M401" s="22"/>
      <c r="N401" s="89"/>
      <c r="O401" s="35"/>
      <c r="P401" s="37"/>
      <c r="Q401" s="35"/>
      <c r="R401" s="41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</row>
    <row r="402" spans="1:41" ht="13.8" x14ac:dyDescent="0.25">
      <c r="A402" s="22"/>
      <c r="B402" s="91"/>
      <c r="C402" s="45"/>
      <c r="D402" s="95"/>
      <c r="E402" s="39"/>
      <c r="F402" s="94"/>
      <c r="G402" s="44"/>
      <c r="H402" s="35"/>
      <c r="I402" s="42"/>
      <c r="J402" s="35"/>
      <c r="K402" s="35"/>
      <c r="L402" s="87"/>
      <c r="M402" s="22"/>
      <c r="N402" s="89"/>
      <c r="O402" s="35"/>
      <c r="P402" s="37"/>
      <c r="Q402" s="35"/>
      <c r="R402" s="41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</row>
    <row r="403" spans="1:41" ht="13.8" x14ac:dyDescent="0.25">
      <c r="A403" s="22"/>
      <c r="B403" s="91"/>
      <c r="C403" s="45"/>
      <c r="D403" s="95"/>
      <c r="E403" s="39"/>
      <c r="F403" s="94"/>
      <c r="G403" s="44"/>
      <c r="H403" s="35"/>
      <c r="I403" s="42"/>
      <c r="J403" s="35"/>
      <c r="K403" s="35"/>
      <c r="L403" s="87"/>
      <c r="M403" s="22"/>
      <c r="N403" s="89"/>
      <c r="O403" s="35"/>
      <c r="P403" s="37"/>
      <c r="Q403" s="35"/>
      <c r="R403" s="41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</row>
    <row r="404" spans="1:41" ht="13.8" x14ac:dyDescent="0.25">
      <c r="A404" s="22"/>
      <c r="B404" s="91"/>
      <c r="C404" s="45"/>
      <c r="D404" s="95"/>
      <c r="E404" s="39"/>
      <c r="F404" s="94"/>
      <c r="G404" s="44"/>
      <c r="H404" s="35"/>
      <c r="I404" s="42"/>
      <c r="J404" s="35"/>
      <c r="K404" s="35"/>
      <c r="L404" s="87"/>
      <c r="M404" s="22"/>
      <c r="N404" s="89"/>
      <c r="O404" s="35"/>
      <c r="P404" s="37"/>
      <c r="Q404" s="35"/>
      <c r="R404" s="41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</row>
    <row r="405" spans="1:41" ht="13.8" x14ac:dyDescent="0.25">
      <c r="A405" s="22"/>
      <c r="B405" s="91"/>
      <c r="C405" s="45"/>
      <c r="D405" s="95"/>
      <c r="E405" s="39"/>
      <c r="F405" s="94"/>
      <c r="G405" s="44"/>
      <c r="H405" s="35"/>
      <c r="I405" s="42"/>
      <c r="J405" s="35"/>
      <c r="K405" s="35"/>
      <c r="L405" s="87"/>
      <c r="M405" s="22"/>
      <c r="N405" s="89"/>
      <c r="O405" s="35"/>
      <c r="P405" s="37"/>
      <c r="Q405" s="35"/>
      <c r="R405" s="41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</row>
    <row r="406" spans="1:41" ht="13.8" x14ac:dyDescent="0.25">
      <c r="A406" s="22"/>
      <c r="B406" s="91"/>
      <c r="C406" s="45"/>
      <c r="D406" s="95"/>
      <c r="E406" s="39"/>
      <c r="F406" s="94"/>
      <c r="G406" s="44"/>
      <c r="H406" s="35"/>
      <c r="I406" s="42"/>
      <c r="J406" s="35"/>
      <c r="K406" s="35"/>
      <c r="L406" s="87"/>
      <c r="M406" s="22"/>
      <c r="N406" s="89"/>
      <c r="O406" s="35"/>
      <c r="P406" s="37"/>
      <c r="Q406" s="35"/>
      <c r="R406" s="41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</row>
    <row r="407" spans="1:41" ht="13.8" x14ac:dyDescent="0.25">
      <c r="A407" s="22"/>
      <c r="B407" s="91"/>
      <c r="C407" s="45"/>
      <c r="D407" s="95"/>
      <c r="E407" s="39"/>
      <c r="F407" s="94"/>
      <c r="G407" s="44"/>
      <c r="H407" s="35"/>
      <c r="I407" s="42"/>
      <c r="J407" s="35"/>
      <c r="K407" s="35"/>
      <c r="L407" s="87"/>
      <c r="M407" s="22"/>
      <c r="N407" s="89"/>
      <c r="O407" s="35"/>
      <c r="P407" s="37"/>
      <c r="Q407" s="35"/>
      <c r="R407" s="41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</row>
    <row r="408" spans="1:41" ht="13.8" x14ac:dyDescent="0.25">
      <c r="A408" s="22"/>
      <c r="B408" s="91"/>
      <c r="C408" s="45"/>
      <c r="D408" s="95"/>
      <c r="E408" s="39"/>
      <c r="F408" s="94"/>
      <c r="G408" s="44"/>
      <c r="H408" s="35"/>
      <c r="I408" s="42"/>
      <c r="J408" s="35"/>
      <c r="K408" s="35"/>
      <c r="L408" s="87"/>
      <c r="M408" s="22"/>
      <c r="N408" s="89"/>
      <c r="O408" s="35"/>
      <c r="P408" s="37"/>
      <c r="Q408" s="35"/>
      <c r="R408" s="41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</row>
    <row r="409" spans="1:41" ht="13.8" x14ac:dyDescent="0.25">
      <c r="A409" s="22"/>
      <c r="B409" s="91"/>
      <c r="C409" s="45"/>
      <c r="D409" s="95"/>
      <c r="E409" s="39"/>
      <c r="F409" s="94"/>
      <c r="G409" s="44"/>
      <c r="H409" s="35"/>
      <c r="I409" s="42"/>
      <c r="J409" s="35"/>
      <c r="K409" s="35"/>
      <c r="L409" s="87"/>
      <c r="M409" s="22"/>
      <c r="N409" s="89"/>
      <c r="O409" s="35"/>
      <c r="P409" s="37"/>
      <c r="Q409" s="35"/>
      <c r="R409" s="41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</row>
    <row r="410" spans="1:41" ht="13.8" x14ac:dyDescent="0.25">
      <c r="A410" s="22"/>
      <c r="B410" s="91"/>
      <c r="C410" s="45"/>
      <c r="D410" s="95"/>
      <c r="E410" s="39"/>
      <c r="F410" s="94"/>
      <c r="G410" s="44"/>
      <c r="H410" s="35"/>
      <c r="I410" s="42"/>
      <c r="J410" s="35"/>
      <c r="K410" s="35"/>
      <c r="L410" s="87"/>
      <c r="M410" s="22"/>
      <c r="N410" s="89"/>
      <c r="O410" s="35"/>
      <c r="P410" s="37"/>
      <c r="Q410" s="35"/>
      <c r="R410" s="41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</row>
    <row r="411" spans="1:41" ht="13.8" x14ac:dyDescent="0.25">
      <c r="A411" s="22"/>
      <c r="B411" s="91"/>
      <c r="C411" s="45"/>
      <c r="D411" s="95"/>
      <c r="E411" s="39"/>
      <c r="F411" s="94"/>
      <c r="G411" s="44"/>
      <c r="H411" s="35"/>
      <c r="I411" s="42"/>
      <c r="J411" s="35"/>
      <c r="K411" s="35"/>
      <c r="L411" s="87"/>
      <c r="M411" s="22"/>
      <c r="N411" s="89"/>
      <c r="O411" s="35"/>
      <c r="P411" s="37"/>
      <c r="Q411" s="35"/>
      <c r="R411" s="41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</row>
    <row r="412" spans="1:41" ht="13.8" x14ac:dyDescent="0.25">
      <c r="A412" s="22"/>
      <c r="B412" s="91"/>
      <c r="C412" s="45"/>
      <c r="D412" s="95"/>
      <c r="E412" s="39"/>
      <c r="F412" s="94"/>
      <c r="G412" s="44"/>
      <c r="H412" s="35"/>
      <c r="I412" s="42"/>
      <c r="J412" s="35"/>
      <c r="K412" s="35"/>
      <c r="L412" s="87"/>
      <c r="M412" s="22"/>
      <c r="N412" s="89"/>
      <c r="O412" s="35"/>
      <c r="P412" s="37"/>
      <c r="Q412" s="35"/>
      <c r="R412" s="41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</row>
    <row r="413" spans="1:41" ht="13.8" x14ac:dyDescent="0.25">
      <c r="A413" s="22"/>
      <c r="B413" s="91"/>
      <c r="C413" s="45"/>
      <c r="D413" s="95"/>
      <c r="E413" s="39"/>
      <c r="F413" s="94"/>
      <c r="G413" s="44"/>
      <c r="H413" s="35"/>
      <c r="I413" s="42"/>
      <c r="J413" s="35"/>
      <c r="K413" s="35"/>
      <c r="L413" s="87"/>
      <c r="M413" s="22"/>
      <c r="N413" s="89"/>
      <c r="O413" s="35"/>
      <c r="P413" s="37"/>
      <c r="Q413" s="35"/>
      <c r="R413" s="41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</row>
    <row r="414" spans="1:41" ht="13.8" x14ac:dyDescent="0.25">
      <c r="A414" s="22"/>
      <c r="B414" s="91"/>
      <c r="C414" s="45"/>
      <c r="D414" s="95"/>
      <c r="E414" s="39"/>
      <c r="F414" s="94"/>
      <c r="G414" s="44"/>
      <c r="H414" s="35"/>
      <c r="I414" s="42"/>
      <c r="J414" s="35"/>
      <c r="K414" s="35"/>
      <c r="L414" s="87"/>
      <c r="M414" s="22"/>
      <c r="N414" s="89"/>
      <c r="O414" s="35"/>
      <c r="P414" s="37"/>
      <c r="Q414" s="35"/>
      <c r="R414" s="41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</row>
    <row r="415" spans="1:41" ht="13.8" x14ac:dyDescent="0.25">
      <c r="A415" s="22"/>
      <c r="B415" s="91"/>
      <c r="C415" s="45"/>
      <c r="D415" s="95"/>
      <c r="E415" s="39"/>
      <c r="F415" s="94"/>
      <c r="G415" s="44"/>
      <c r="H415" s="35"/>
      <c r="I415" s="42"/>
      <c r="J415" s="35"/>
      <c r="K415" s="35"/>
      <c r="L415" s="87"/>
      <c r="M415" s="22"/>
      <c r="N415" s="89"/>
      <c r="O415" s="35"/>
      <c r="P415" s="37"/>
      <c r="Q415" s="35"/>
      <c r="R415" s="41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</row>
    <row r="416" spans="1:41" ht="13.8" x14ac:dyDescent="0.25">
      <c r="A416" s="22"/>
      <c r="B416" s="91"/>
      <c r="C416" s="45"/>
      <c r="D416" s="95"/>
      <c r="E416" s="39"/>
      <c r="F416" s="94"/>
      <c r="G416" s="44"/>
      <c r="H416" s="35"/>
      <c r="I416" s="42"/>
      <c r="J416" s="35"/>
      <c r="K416" s="35"/>
      <c r="L416" s="87"/>
      <c r="M416" s="22"/>
      <c r="N416" s="89"/>
      <c r="O416" s="35"/>
      <c r="P416" s="37"/>
      <c r="Q416" s="35"/>
      <c r="R416" s="41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</row>
    <row r="417" spans="1:41" ht="13.8" x14ac:dyDescent="0.25">
      <c r="A417" s="22"/>
      <c r="B417" s="91"/>
      <c r="C417" s="45"/>
      <c r="D417" s="95"/>
      <c r="E417" s="39"/>
      <c r="F417" s="94"/>
      <c r="G417" s="44"/>
      <c r="H417" s="35"/>
      <c r="I417" s="42"/>
      <c r="J417" s="35"/>
      <c r="K417" s="35"/>
      <c r="L417" s="87"/>
      <c r="M417" s="22"/>
      <c r="N417" s="89"/>
      <c r="O417" s="35"/>
      <c r="P417" s="37"/>
      <c r="Q417" s="35"/>
      <c r="R417" s="41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</row>
    <row r="418" spans="1:41" ht="13.8" x14ac:dyDescent="0.25">
      <c r="A418" s="22"/>
      <c r="B418" s="91"/>
      <c r="C418" s="45"/>
      <c r="D418" s="95"/>
      <c r="E418" s="39"/>
      <c r="F418" s="94"/>
      <c r="G418" s="44"/>
      <c r="H418" s="35"/>
      <c r="I418" s="42"/>
      <c r="J418" s="35"/>
      <c r="K418" s="35"/>
      <c r="L418" s="87"/>
      <c r="M418" s="22"/>
      <c r="N418" s="89"/>
      <c r="O418" s="35"/>
      <c r="P418" s="37"/>
      <c r="Q418" s="35"/>
      <c r="R418" s="41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</row>
    <row r="419" spans="1:41" ht="13.8" x14ac:dyDescent="0.25">
      <c r="A419" s="22"/>
      <c r="B419" s="91"/>
      <c r="C419" s="45"/>
      <c r="D419" s="95"/>
      <c r="E419" s="39"/>
      <c r="F419" s="94"/>
      <c r="G419" s="44"/>
      <c r="H419" s="35"/>
      <c r="I419" s="42"/>
      <c r="J419" s="35"/>
      <c r="K419" s="35"/>
      <c r="L419" s="87"/>
      <c r="M419" s="22"/>
      <c r="N419" s="89"/>
      <c r="O419" s="35"/>
      <c r="P419" s="37"/>
      <c r="Q419" s="35"/>
      <c r="R419" s="41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</row>
    <row r="420" spans="1:41" ht="13.8" x14ac:dyDescent="0.25">
      <c r="A420" s="22"/>
      <c r="B420" s="91"/>
      <c r="C420" s="45"/>
      <c r="D420" s="95"/>
      <c r="E420" s="39"/>
      <c r="F420" s="94"/>
      <c r="G420" s="44"/>
      <c r="H420" s="35"/>
      <c r="I420" s="42"/>
      <c r="J420" s="35"/>
      <c r="K420" s="35"/>
      <c r="L420" s="87"/>
      <c r="M420" s="22"/>
      <c r="N420" s="89"/>
      <c r="O420" s="35"/>
      <c r="P420" s="37"/>
      <c r="Q420" s="35"/>
      <c r="R420" s="41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</row>
    <row r="421" spans="1:41" ht="13.8" x14ac:dyDescent="0.25">
      <c r="A421" s="22"/>
      <c r="B421" s="91"/>
      <c r="C421" s="45"/>
      <c r="D421" s="95"/>
      <c r="E421" s="39"/>
      <c r="F421" s="94"/>
      <c r="G421" s="44"/>
      <c r="H421" s="35"/>
      <c r="I421" s="42"/>
      <c r="J421" s="35"/>
      <c r="K421" s="35"/>
      <c r="L421" s="87"/>
      <c r="M421" s="22"/>
      <c r="N421" s="89"/>
      <c r="O421" s="35"/>
      <c r="P421" s="37"/>
      <c r="Q421" s="35"/>
      <c r="R421" s="41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</row>
    <row r="422" spans="1:41" ht="13.8" x14ac:dyDescent="0.25">
      <c r="A422" s="22"/>
      <c r="B422" s="91"/>
      <c r="C422" s="45"/>
      <c r="D422" s="95"/>
      <c r="E422" s="39"/>
      <c r="F422" s="94"/>
      <c r="G422" s="44"/>
      <c r="H422" s="35"/>
      <c r="I422" s="42"/>
      <c r="J422" s="35"/>
      <c r="K422" s="35"/>
      <c r="L422" s="87"/>
      <c r="M422" s="22"/>
      <c r="N422" s="89"/>
      <c r="O422" s="35"/>
      <c r="P422" s="37"/>
      <c r="Q422" s="35"/>
      <c r="R422" s="41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</row>
    <row r="423" spans="1:41" ht="13.8" x14ac:dyDescent="0.25">
      <c r="A423" s="22"/>
      <c r="B423" s="91"/>
      <c r="C423" s="45"/>
      <c r="D423" s="95"/>
      <c r="E423" s="39"/>
      <c r="F423" s="94"/>
      <c r="G423" s="44"/>
      <c r="H423" s="35"/>
      <c r="I423" s="42"/>
      <c r="J423" s="35"/>
      <c r="K423" s="35"/>
      <c r="L423" s="87"/>
      <c r="M423" s="22"/>
      <c r="N423" s="89"/>
      <c r="O423" s="35"/>
      <c r="P423" s="37"/>
      <c r="Q423" s="35"/>
      <c r="R423" s="41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</row>
    <row r="424" spans="1:41" ht="13.8" x14ac:dyDescent="0.25">
      <c r="A424" s="22"/>
      <c r="B424" s="91"/>
      <c r="C424" s="45"/>
      <c r="D424" s="95"/>
      <c r="E424" s="39"/>
      <c r="F424" s="94"/>
      <c r="G424" s="44"/>
      <c r="H424" s="35"/>
      <c r="I424" s="42"/>
      <c r="J424" s="35"/>
      <c r="K424" s="35"/>
      <c r="L424" s="87"/>
      <c r="M424" s="22"/>
      <c r="N424" s="89"/>
      <c r="O424" s="35"/>
      <c r="P424" s="37"/>
      <c r="Q424" s="35"/>
      <c r="R424" s="41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</row>
    <row r="425" spans="1:41" ht="13.8" x14ac:dyDescent="0.25">
      <c r="A425" s="22"/>
      <c r="B425" s="91"/>
      <c r="C425" s="45"/>
      <c r="D425" s="95"/>
      <c r="E425" s="39"/>
      <c r="F425" s="94"/>
      <c r="G425" s="44"/>
      <c r="H425" s="35"/>
      <c r="I425" s="42"/>
      <c r="J425" s="35"/>
      <c r="K425" s="35"/>
      <c r="L425" s="87"/>
      <c r="M425" s="22"/>
      <c r="N425" s="89"/>
      <c r="O425" s="35"/>
      <c r="P425" s="37"/>
      <c r="Q425" s="35"/>
      <c r="R425" s="41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</row>
    <row r="426" spans="1:41" ht="13.8" x14ac:dyDescent="0.25">
      <c r="A426" s="22"/>
      <c r="B426" s="91"/>
      <c r="C426" s="45"/>
      <c r="D426" s="95"/>
      <c r="E426" s="39"/>
      <c r="F426" s="94"/>
      <c r="G426" s="44"/>
      <c r="H426" s="35"/>
      <c r="I426" s="42"/>
      <c r="J426" s="35"/>
      <c r="K426" s="35"/>
      <c r="L426" s="87"/>
      <c r="M426" s="22"/>
      <c r="N426" s="89"/>
      <c r="O426" s="35"/>
      <c r="P426" s="37"/>
      <c r="Q426" s="35"/>
      <c r="R426" s="41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</row>
    <row r="427" spans="1:41" ht="13.8" x14ac:dyDescent="0.25">
      <c r="A427" s="22"/>
      <c r="B427" s="91"/>
      <c r="C427" s="45"/>
      <c r="D427" s="95"/>
      <c r="E427" s="39"/>
      <c r="F427" s="94"/>
      <c r="G427" s="44"/>
      <c r="H427" s="35"/>
      <c r="I427" s="42"/>
      <c r="J427" s="35"/>
      <c r="K427" s="35"/>
      <c r="L427" s="87"/>
      <c r="M427" s="22"/>
      <c r="N427" s="89"/>
      <c r="O427" s="35"/>
      <c r="P427" s="37"/>
      <c r="Q427" s="35"/>
      <c r="R427" s="41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</row>
    <row r="428" spans="1:41" ht="13.8" x14ac:dyDescent="0.25">
      <c r="A428" s="22"/>
      <c r="B428" s="91"/>
      <c r="C428" s="45"/>
      <c r="D428" s="95"/>
      <c r="E428" s="39"/>
      <c r="F428" s="94"/>
      <c r="G428" s="44"/>
      <c r="H428" s="35"/>
      <c r="I428" s="42"/>
      <c r="J428" s="35"/>
      <c r="K428" s="35"/>
      <c r="L428" s="87"/>
      <c r="M428" s="22"/>
      <c r="N428" s="89"/>
      <c r="O428" s="35"/>
      <c r="P428" s="37"/>
      <c r="Q428" s="35"/>
      <c r="R428" s="41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</row>
    <row r="429" spans="1:41" ht="13.8" x14ac:dyDescent="0.25">
      <c r="A429" s="22"/>
      <c r="B429" s="91"/>
      <c r="C429" s="45"/>
      <c r="D429" s="95"/>
      <c r="E429" s="39"/>
      <c r="F429" s="94"/>
      <c r="G429" s="44"/>
      <c r="H429" s="35"/>
      <c r="I429" s="42"/>
      <c r="J429" s="35"/>
      <c r="K429" s="35"/>
      <c r="L429" s="87"/>
      <c r="M429" s="22"/>
      <c r="N429" s="89"/>
      <c r="O429" s="35"/>
      <c r="P429" s="37"/>
      <c r="Q429" s="35"/>
      <c r="R429" s="41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</row>
    <row r="430" spans="1:41" ht="13.8" x14ac:dyDescent="0.25">
      <c r="A430" s="22"/>
      <c r="B430" s="91"/>
      <c r="C430" s="45"/>
      <c r="D430" s="95"/>
      <c r="E430" s="39"/>
      <c r="F430" s="94"/>
      <c r="G430" s="44"/>
      <c r="H430" s="35"/>
      <c r="I430" s="42"/>
      <c r="J430" s="35"/>
      <c r="K430" s="35"/>
      <c r="L430" s="87"/>
      <c r="M430" s="22"/>
      <c r="N430" s="89"/>
      <c r="O430" s="35"/>
      <c r="P430" s="37"/>
      <c r="Q430" s="35"/>
      <c r="R430" s="41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</row>
    <row r="431" spans="1:41" ht="13.8" x14ac:dyDescent="0.25">
      <c r="A431" s="22"/>
      <c r="B431" s="91"/>
      <c r="C431" s="45"/>
      <c r="D431" s="95"/>
      <c r="E431" s="39"/>
      <c r="F431" s="94"/>
      <c r="G431" s="44"/>
      <c r="H431" s="35"/>
      <c r="I431" s="42"/>
      <c r="J431" s="35"/>
      <c r="K431" s="35"/>
      <c r="L431" s="87"/>
      <c r="M431" s="22"/>
      <c r="N431" s="89"/>
      <c r="O431" s="35"/>
      <c r="P431" s="37"/>
      <c r="Q431" s="35"/>
      <c r="R431" s="41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</row>
    <row r="432" spans="1:41" ht="13.8" x14ac:dyDescent="0.25">
      <c r="A432" s="22"/>
      <c r="B432" s="91"/>
      <c r="C432" s="45"/>
      <c r="D432" s="95"/>
      <c r="E432" s="39"/>
      <c r="F432" s="94"/>
      <c r="G432" s="44"/>
      <c r="H432" s="35"/>
      <c r="I432" s="42"/>
      <c r="J432" s="35"/>
      <c r="K432" s="35"/>
      <c r="L432" s="87"/>
      <c r="M432" s="22"/>
      <c r="N432" s="89"/>
      <c r="O432" s="35"/>
      <c r="P432" s="37"/>
      <c r="Q432" s="35"/>
      <c r="R432" s="41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</row>
    <row r="433" spans="1:41" ht="13.8" x14ac:dyDescent="0.25">
      <c r="A433" s="22"/>
      <c r="B433" s="91"/>
      <c r="C433" s="45"/>
      <c r="D433" s="95"/>
      <c r="E433" s="39"/>
      <c r="F433" s="94"/>
      <c r="G433" s="44"/>
      <c r="H433" s="35"/>
      <c r="I433" s="42"/>
      <c r="J433" s="35"/>
      <c r="K433" s="35"/>
      <c r="L433" s="87"/>
      <c r="M433" s="22"/>
      <c r="N433" s="89"/>
      <c r="O433" s="35"/>
      <c r="P433" s="37"/>
      <c r="Q433" s="35"/>
      <c r="R433" s="41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</row>
    <row r="434" spans="1:41" ht="13.8" x14ac:dyDescent="0.25">
      <c r="A434" s="22"/>
      <c r="B434" s="91"/>
      <c r="C434" s="45"/>
      <c r="D434" s="95"/>
      <c r="E434" s="39"/>
      <c r="F434" s="94"/>
      <c r="G434" s="44"/>
      <c r="H434" s="35"/>
      <c r="I434" s="42"/>
      <c r="J434" s="35"/>
      <c r="K434" s="35"/>
      <c r="L434" s="87"/>
      <c r="M434" s="22"/>
      <c r="N434" s="89"/>
      <c r="O434" s="35"/>
      <c r="P434" s="37"/>
      <c r="Q434" s="35"/>
      <c r="R434" s="41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</row>
    <row r="435" spans="1:41" ht="13.8" x14ac:dyDescent="0.25">
      <c r="A435" s="22"/>
      <c r="B435" s="91"/>
      <c r="C435" s="45"/>
      <c r="D435" s="95"/>
      <c r="E435" s="39"/>
      <c r="F435" s="94"/>
      <c r="G435" s="44"/>
      <c r="H435" s="35"/>
      <c r="I435" s="42"/>
      <c r="J435" s="35"/>
      <c r="K435" s="35"/>
      <c r="L435" s="87"/>
      <c r="M435" s="22"/>
      <c r="N435" s="89"/>
      <c r="O435" s="35"/>
      <c r="P435" s="37"/>
      <c r="Q435" s="35"/>
      <c r="R435" s="41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</row>
    <row r="436" spans="1:41" ht="13.8" x14ac:dyDescent="0.25">
      <c r="A436" s="22"/>
      <c r="B436" s="91"/>
      <c r="C436" s="45"/>
      <c r="D436" s="95"/>
      <c r="E436" s="39"/>
      <c r="F436" s="94"/>
      <c r="G436" s="44"/>
      <c r="H436" s="35"/>
      <c r="I436" s="42"/>
      <c r="J436" s="35"/>
      <c r="K436" s="35"/>
      <c r="L436" s="87"/>
      <c r="M436" s="22"/>
      <c r="N436" s="89"/>
      <c r="O436" s="35"/>
      <c r="P436" s="37"/>
      <c r="Q436" s="35"/>
      <c r="R436" s="41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</row>
    <row r="437" spans="1:41" ht="13.8" x14ac:dyDescent="0.25">
      <c r="A437" s="22"/>
      <c r="B437" s="91"/>
      <c r="C437" s="45"/>
      <c r="D437" s="95"/>
      <c r="E437" s="39"/>
      <c r="F437" s="94"/>
      <c r="G437" s="44"/>
      <c r="H437" s="35"/>
      <c r="I437" s="42"/>
      <c r="J437" s="35"/>
      <c r="K437" s="35"/>
      <c r="L437" s="87"/>
      <c r="M437" s="22"/>
      <c r="N437" s="89"/>
      <c r="O437" s="35"/>
      <c r="P437" s="37"/>
      <c r="Q437" s="35"/>
      <c r="R437" s="41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</row>
    <row r="438" spans="1:41" ht="13.8" x14ac:dyDescent="0.25">
      <c r="A438" s="22"/>
      <c r="B438" s="91"/>
      <c r="C438" s="45"/>
      <c r="D438" s="95"/>
      <c r="E438" s="39"/>
      <c r="F438" s="94"/>
      <c r="G438" s="44"/>
      <c r="H438" s="35"/>
      <c r="I438" s="42"/>
      <c r="J438" s="35"/>
      <c r="K438" s="35"/>
      <c r="L438" s="87"/>
      <c r="M438" s="22"/>
      <c r="N438" s="89"/>
      <c r="O438" s="35"/>
      <c r="P438" s="37"/>
      <c r="Q438" s="35"/>
      <c r="R438" s="41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</row>
    <row r="439" spans="1:41" ht="13.8" x14ac:dyDescent="0.25">
      <c r="A439" s="22"/>
      <c r="B439" s="91"/>
      <c r="C439" s="45"/>
      <c r="D439" s="95"/>
      <c r="E439" s="39"/>
      <c r="F439" s="94"/>
      <c r="G439" s="44"/>
      <c r="H439" s="35"/>
      <c r="I439" s="42"/>
      <c r="J439" s="35"/>
      <c r="K439" s="35"/>
      <c r="L439" s="87"/>
      <c r="M439" s="22"/>
      <c r="N439" s="89"/>
      <c r="O439" s="35"/>
      <c r="P439" s="37"/>
      <c r="Q439" s="35"/>
      <c r="R439" s="41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</row>
    <row r="440" spans="1:41" ht="13.8" x14ac:dyDescent="0.25">
      <c r="A440" s="22"/>
      <c r="B440" s="91"/>
      <c r="C440" s="45"/>
      <c r="D440" s="95"/>
      <c r="E440" s="39"/>
      <c r="F440" s="94"/>
      <c r="G440" s="44"/>
      <c r="H440" s="35"/>
      <c r="I440" s="42"/>
      <c r="J440" s="35"/>
      <c r="K440" s="35"/>
      <c r="L440" s="87"/>
      <c r="M440" s="22"/>
      <c r="N440" s="89"/>
      <c r="O440" s="35"/>
      <c r="P440" s="37"/>
      <c r="Q440" s="35"/>
      <c r="R440" s="41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</row>
    <row r="441" spans="1:41" ht="13.8" x14ac:dyDescent="0.25">
      <c r="A441" s="22"/>
      <c r="B441" s="91"/>
      <c r="C441" s="45"/>
      <c r="D441" s="95"/>
      <c r="E441" s="39"/>
      <c r="F441" s="94"/>
      <c r="G441" s="44"/>
      <c r="H441" s="35"/>
      <c r="I441" s="42"/>
      <c r="J441" s="35"/>
      <c r="K441" s="35"/>
      <c r="L441" s="87"/>
      <c r="M441" s="22"/>
      <c r="N441" s="89"/>
      <c r="O441" s="35"/>
      <c r="P441" s="37"/>
      <c r="Q441" s="35"/>
      <c r="R441" s="41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</row>
    <row r="442" spans="1:41" ht="13.8" x14ac:dyDescent="0.25">
      <c r="A442" s="22"/>
      <c r="B442" s="91"/>
      <c r="C442" s="45"/>
      <c r="D442" s="95"/>
      <c r="E442" s="39"/>
      <c r="F442" s="94"/>
      <c r="G442" s="44"/>
      <c r="H442" s="35"/>
      <c r="I442" s="42"/>
      <c r="J442" s="35"/>
      <c r="K442" s="35"/>
      <c r="L442" s="87"/>
      <c r="M442" s="22"/>
      <c r="N442" s="89"/>
      <c r="O442" s="35"/>
      <c r="P442" s="37"/>
      <c r="Q442" s="35"/>
      <c r="R442" s="41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</row>
    <row r="443" spans="1:41" ht="13.8" x14ac:dyDescent="0.25">
      <c r="A443" s="22"/>
      <c r="B443" s="91"/>
      <c r="C443" s="45"/>
      <c r="D443" s="95"/>
      <c r="E443" s="39"/>
      <c r="F443" s="94"/>
      <c r="G443" s="44"/>
      <c r="H443" s="35"/>
      <c r="I443" s="42"/>
      <c r="J443" s="35"/>
      <c r="K443" s="35"/>
      <c r="L443" s="87"/>
      <c r="M443" s="22"/>
      <c r="N443" s="89"/>
      <c r="O443" s="35"/>
      <c r="P443" s="37"/>
      <c r="Q443" s="35"/>
      <c r="R443" s="41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</row>
    <row r="444" spans="1:41" ht="13.8" x14ac:dyDescent="0.25">
      <c r="A444" s="22"/>
      <c r="B444" s="91"/>
      <c r="C444" s="45"/>
      <c r="D444" s="95"/>
      <c r="E444" s="39"/>
      <c r="F444" s="94"/>
      <c r="G444" s="44"/>
      <c r="H444" s="35"/>
      <c r="I444" s="42"/>
      <c r="J444" s="35"/>
      <c r="K444" s="35"/>
      <c r="L444" s="87"/>
      <c r="M444" s="22"/>
      <c r="N444" s="89"/>
      <c r="O444" s="35"/>
      <c r="P444" s="37"/>
      <c r="Q444" s="35"/>
      <c r="R444" s="41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</row>
    <row r="445" spans="1:41" ht="13.8" x14ac:dyDescent="0.25">
      <c r="A445" s="22"/>
      <c r="B445" s="91"/>
      <c r="C445" s="45"/>
      <c r="D445" s="95"/>
      <c r="E445" s="39"/>
      <c r="F445" s="94"/>
      <c r="G445" s="44"/>
      <c r="H445" s="35"/>
      <c r="I445" s="42"/>
      <c r="J445" s="35"/>
      <c r="K445" s="35"/>
      <c r="L445" s="87"/>
      <c r="M445" s="22"/>
      <c r="N445" s="89"/>
      <c r="O445" s="35"/>
      <c r="P445" s="37"/>
      <c r="Q445" s="35"/>
      <c r="R445" s="41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</row>
    <row r="446" spans="1:41" ht="13.8" x14ac:dyDescent="0.25">
      <c r="A446" s="22"/>
      <c r="B446" s="91"/>
      <c r="C446" s="45"/>
      <c r="D446" s="95"/>
      <c r="E446" s="39"/>
      <c r="F446" s="94"/>
      <c r="G446" s="44"/>
      <c r="H446" s="35"/>
      <c r="I446" s="42"/>
      <c r="J446" s="35"/>
      <c r="K446" s="35"/>
      <c r="L446" s="87"/>
      <c r="M446" s="22"/>
      <c r="N446" s="89"/>
      <c r="O446" s="35"/>
      <c r="P446" s="37"/>
      <c r="Q446" s="35"/>
      <c r="R446" s="41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</row>
    <row r="447" spans="1:41" ht="13.8" x14ac:dyDescent="0.25">
      <c r="A447" s="22"/>
      <c r="B447" s="91"/>
      <c r="C447" s="45"/>
      <c r="D447" s="95"/>
      <c r="E447" s="39"/>
      <c r="F447" s="94"/>
      <c r="G447" s="44"/>
      <c r="H447" s="35"/>
      <c r="I447" s="42"/>
      <c r="J447" s="35"/>
      <c r="K447" s="35"/>
      <c r="L447" s="87"/>
      <c r="M447" s="22"/>
      <c r="N447" s="89"/>
      <c r="O447" s="35"/>
      <c r="P447" s="37"/>
      <c r="Q447" s="35"/>
      <c r="R447" s="41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</row>
    <row r="448" spans="1:41" ht="13.8" x14ac:dyDescent="0.25">
      <c r="A448" s="22"/>
      <c r="B448" s="91"/>
      <c r="C448" s="45"/>
      <c r="D448" s="95"/>
      <c r="E448" s="39"/>
      <c r="F448" s="94"/>
      <c r="G448" s="44"/>
      <c r="H448" s="35"/>
      <c r="I448" s="42"/>
      <c r="J448" s="35"/>
      <c r="K448" s="35"/>
      <c r="L448" s="87"/>
      <c r="M448" s="22"/>
      <c r="N448" s="89"/>
      <c r="O448" s="35"/>
      <c r="P448" s="37"/>
      <c r="Q448" s="35"/>
      <c r="R448" s="41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</row>
    <row r="449" spans="1:41" ht="13.8" x14ac:dyDescent="0.25">
      <c r="A449" s="22"/>
      <c r="B449" s="91"/>
      <c r="C449" s="45"/>
      <c r="D449" s="95"/>
      <c r="E449" s="39"/>
      <c r="F449" s="94"/>
      <c r="G449" s="44"/>
      <c r="H449" s="35"/>
      <c r="I449" s="42"/>
      <c r="J449" s="35"/>
      <c r="K449" s="35"/>
      <c r="L449" s="87"/>
      <c r="M449" s="22"/>
      <c r="N449" s="89"/>
      <c r="O449" s="35"/>
      <c r="P449" s="37"/>
      <c r="Q449" s="35"/>
      <c r="R449" s="41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</row>
    <row r="450" spans="1:41" ht="13.8" x14ac:dyDescent="0.25">
      <c r="A450" s="22"/>
      <c r="B450" s="91"/>
      <c r="C450" s="45"/>
      <c r="D450" s="95"/>
      <c r="E450" s="39"/>
      <c r="F450" s="94"/>
      <c r="G450" s="44"/>
      <c r="H450" s="35"/>
      <c r="I450" s="42"/>
      <c r="J450" s="35"/>
      <c r="K450" s="35"/>
      <c r="L450" s="87"/>
      <c r="M450" s="22"/>
      <c r="N450" s="89"/>
      <c r="O450" s="35"/>
      <c r="P450" s="37"/>
      <c r="Q450" s="35"/>
      <c r="R450" s="41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</row>
    <row r="451" spans="1:41" ht="13.8" x14ac:dyDescent="0.25">
      <c r="A451" s="22"/>
      <c r="B451" s="91"/>
      <c r="C451" s="45"/>
      <c r="D451" s="95"/>
      <c r="E451" s="39"/>
      <c r="F451" s="94"/>
      <c r="G451" s="44"/>
      <c r="H451" s="35"/>
      <c r="I451" s="42"/>
      <c r="J451" s="35"/>
      <c r="K451" s="35"/>
      <c r="L451" s="87"/>
      <c r="M451" s="22"/>
      <c r="N451" s="89"/>
      <c r="O451" s="35"/>
      <c r="P451" s="37"/>
      <c r="Q451" s="35"/>
      <c r="R451" s="41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</row>
    <row r="452" spans="1:41" ht="13.8" x14ac:dyDescent="0.25">
      <c r="A452" s="22"/>
      <c r="B452" s="91"/>
      <c r="C452" s="45"/>
      <c r="D452" s="95"/>
      <c r="E452" s="39"/>
      <c r="F452" s="94"/>
      <c r="G452" s="44"/>
      <c r="H452" s="35"/>
      <c r="I452" s="42"/>
      <c r="J452" s="35"/>
      <c r="K452" s="35"/>
      <c r="L452" s="87"/>
      <c r="M452" s="22"/>
      <c r="N452" s="89"/>
      <c r="O452" s="35"/>
      <c r="P452" s="37"/>
      <c r="Q452" s="35"/>
      <c r="R452" s="41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</row>
    <row r="453" spans="1:41" ht="13.8" x14ac:dyDescent="0.25">
      <c r="A453" s="22"/>
      <c r="B453" s="91"/>
      <c r="C453" s="45"/>
      <c r="D453" s="95"/>
      <c r="E453" s="39"/>
      <c r="F453" s="94"/>
      <c r="G453" s="44"/>
      <c r="H453" s="35"/>
      <c r="I453" s="42"/>
      <c r="J453" s="35"/>
      <c r="K453" s="35"/>
      <c r="L453" s="87"/>
      <c r="M453" s="22"/>
      <c r="N453" s="89"/>
      <c r="O453" s="35"/>
      <c r="P453" s="37"/>
      <c r="Q453" s="35"/>
      <c r="R453" s="41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</row>
    <row r="454" spans="1:41" ht="13.8" x14ac:dyDescent="0.25">
      <c r="A454" s="22"/>
      <c r="B454" s="91"/>
      <c r="C454" s="45"/>
      <c r="D454" s="95"/>
      <c r="E454" s="39"/>
      <c r="F454" s="94"/>
      <c r="G454" s="44"/>
      <c r="H454" s="35"/>
      <c r="I454" s="42"/>
      <c r="J454" s="35"/>
      <c r="K454" s="35"/>
      <c r="L454" s="87"/>
      <c r="M454" s="22"/>
      <c r="N454" s="89"/>
      <c r="O454" s="35"/>
      <c r="P454" s="37"/>
      <c r="Q454" s="35"/>
      <c r="R454" s="41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</row>
    <row r="455" spans="1:41" ht="13.8" x14ac:dyDescent="0.25">
      <c r="A455" s="22"/>
      <c r="B455" s="91"/>
      <c r="C455" s="45"/>
      <c r="D455" s="95"/>
      <c r="E455" s="39"/>
      <c r="F455" s="94"/>
      <c r="G455" s="44"/>
      <c r="H455" s="35"/>
      <c r="I455" s="42"/>
      <c r="J455" s="35"/>
      <c r="K455" s="35"/>
      <c r="L455" s="87"/>
      <c r="M455" s="22"/>
      <c r="N455" s="89"/>
      <c r="O455" s="35"/>
      <c r="P455" s="37"/>
      <c r="Q455" s="35"/>
      <c r="R455" s="41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</row>
    <row r="456" spans="1:41" ht="13.8" x14ac:dyDescent="0.25">
      <c r="A456" s="22"/>
      <c r="B456" s="91"/>
      <c r="C456" s="45"/>
      <c r="D456" s="95"/>
      <c r="E456" s="39"/>
      <c r="F456" s="94"/>
      <c r="G456" s="44"/>
      <c r="H456" s="35"/>
      <c r="I456" s="42"/>
      <c r="J456" s="35"/>
      <c r="K456" s="35"/>
      <c r="L456" s="87"/>
      <c r="M456" s="22"/>
      <c r="N456" s="89"/>
      <c r="O456" s="35"/>
      <c r="P456" s="37"/>
      <c r="Q456" s="35"/>
      <c r="R456" s="41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</row>
    <row r="457" spans="1:41" ht="13.8" x14ac:dyDescent="0.25">
      <c r="A457" s="22"/>
      <c r="B457" s="91"/>
      <c r="C457" s="45"/>
      <c r="D457" s="95"/>
      <c r="E457" s="39"/>
      <c r="F457" s="94"/>
      <c r="G457" s="44"/>
      <c r="H457" s="35"/>
      <c r="I457" s="42"/>
      <c r="J457" s="35"/>
      <c r="K457" s="35"/>
      <c r="L457" s="87"/>
      <c r="M457" s="22"/>
      <c r="N457" s="89"/>
      <c r="O457" s="35"/>
      <c r="P457" s="37"/>
      <c r="Q457" s="35"/>
      <c r="R457" s="41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</row>
    <row r="458" spans="1:41" ht="13.8" x14ac:dyDescent="0.25">
      <c r="A458" s="22"/>
      <c r="B458" s="91"/>
      <c r="C458" s="45"/>
      <c r="D458" s="95"/>
      <c r="E458" s="39"/>
      <c r="F458" s="94"/>
      <c r="G458" s="44"/>
      <c r="H458" s="35"/>
      <c r="I458" s="42"/>
      <c r="J458" s="35"/>
      <c r="K458" s="35"/>
      <c r="L458" s="87"/>
      <c r="M458" s="22"/>
      <c r="N458" s="89"/>
      <c r="O458" s="35"/>
      <c r="P458" s="37"/>
      <c r="Q458" s="35"/>
      <c r="R458" s="41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</row>
    <row r="459" spans="1:41" ht="13.8" x14ac:dyDescent="0.25">
      <c r="A459" s="22"/>
      <c r="B459" s="91"/>
      <c r="C459" s="45"/>
      <c r="D459" s="95"/>
      <c r="E459" s="39"/>
      <c r="F459" s="94"/>
      <c r="G459" s="44"/>
      <c r="H459" s="35"/>
      <c r="I459" s="42"/>
      <c r="J459" s="35"/>
      <c r="K459" s="35"/>
      <c r="L459" s="87"/>
      <c r="M459" s="22"/>
      <c r="N459" s="89"/>
      <c r="O459" s="35"/>
      <c r="P459" s="37"/>
      <c r="Q459" s="35"/>
      <c r="R459" s="41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</row>
    <row r="460" spans="1:41" ht="13.8" x14ac:dyDescent="0.25">
      <c r="A460" s="22"/>
      <c r="B460" s="91"/>
      <c r="C460" s="45"/>
      <c r="D460" s="95"/>
      <c r="E460" s="39"/>
      <c r="F460" s="94"/>
      <c r="G460" s="44"/>
      <c r="H460" s="35"/>
      <c r="I460" s="42"/>
      <c r="J460" s="35"/>
      <c r="K460" s="35"/>
      <c r="L460" s="87"/>
      <c r="M460" s="22"/>
      <c r="N460" s="89"/>
      <c r="O460" s="35"/>
      <c r="P460" s="37"/>
      <c r="Q460" s="35"/>
      <c r="R460" s="41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</row>
    <row r="461" spans="1:41" ht="13.8" x14ac:dyDescent="0.25">
      <c r="A461" s="22"/>
      <c r="B461" s="91"/>
      <c r="C461" s="45"/>
      <c r="D461" s="95"/>
      <c r="E461" s="39"/>
      <c r="F461" s="94"/>
      <c r="G461" s="44"/>
      <c r="H461" s="35"/>
      <c r="I461" s="42"/>
      <c r="J461" s="35"/>
      <c r="K461" s="35"/>
      <c r="L461" s="87"/>
      <c r="M461" s="22"/>
      <c r="N461" s="89"/>
      <c r="O461" s="35"/>
      <c r="P461" s="37"/>
      <c r="Q461" s="35"/>
      <c r="R461" s="41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</row>
    <row r="462" spans="1:41" ht="13.8" x14ac:dyDescent="0.25">
      <c r="A462" s="22"/>
      <c r="B462" s="91"/>
      <c r="C462" s="45"/>
      <c r="D462" s="95"/>
      <c r="E462" s="39"/>
      <c r="F462" s="94"/>
      <c r="G462" s="44"/>
      <c r="H462" s="35"/>
      <c r="I462" s="42"/>
      <c r="J462" s="35"/>
      <c r="K462" s="35"/>
      <c r="L462" s="87"/>
      <c r="M462" s="22"/>
      <c r="N462" s="89"/>
      <c r="O462" s="35"/>
      <c r="P462" s="37"/>
      <c r="Q462" s="35"/>
      <c r="R462" s="41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</row>
    <row r="463" spans="1:41" ht="13.8" x14ac:dyDescent="0.25">
      <c r="A463" s="22"/>
      <c r="B463" s="91"/>
      <c r="C463" s="45"/>
      <c r="D463" s="95"/>
      <c r="E463" s="39"/>
      <c r="F463" s="94"/>
      <c r="G463" s="44"/>
      <c r="H463" s="35"/>
      <c r="I463" s="42"/>
      <c r="J463" s="35"/>
      <c r="K463" s="35"/>
      <c r="L463" s="87"/>
      <c r="M463" s="22"/>
      <c r="N463" s="89"/>
      <c r="O463" s="35"/>
      <c r="P463" s="37"/>
      <c r="Q463" s="35"/>
      <c r="R463" s="41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</row>
    <row r="464" spans="1:41" ht="13.8" x14ac:dyDescent="0.25">
      <c r="A464" s="22"/>
      <c r="B464" s="91"/>
      <c r="C464" s="45"/>
      <c r="D464" s="95"/>
      <c r="E464" s="39"/>
      <c r="F464" s="94"/>
      <c r="G464" s="44"/>
      <c r="H464" s="35"/>
      <c r="I464" s="42"/>
      <c r="J464" s="35"/>
      <c r="K464" s="35"/>
      <c r="L464" s="87"/>
      <c r="M464" s="22"/>
      <c r="N464" s="89"/>
      <c r="O464" s="35"/>
      <c r="P464" s="37"/>
      <c r="Q464" s="35"/>
      <c r="R464" s="41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</row>
    <row r="465" spans="1:41" ht="13.8" x14ac:dyDescent="0.25">
      <c r="A465" s="22"/>
      <c r="B465" s="91"/>
      <c r="C465" s="45"/>
      <c r="D465" s="95"/>
      <c r="E465" s="39"/>
      <c r="F465" s="94"/>
      <c r="G465" s="44"/>
      <c r="H465" s="35"/>
      <c r="I465" s="42"/>
      <c r="J465" s="35"/>
      <c r="K465" s="35"/>
      <c r="L465" s="87"/>
      <c r="M465" s="22"/>
      <c r="N465" s="89"/>
      <c r="O465" s="35"/>
      <c r="P465" s="37"/>
      <c r="Q465" s="35"/>
      <c r="R465" s="41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</row>
    <row r="466" spans="1:41" ht="13.8" x14ac:dyDescent="0.25">
      <c r="A466" s="22"/>
      <c r="B466" s="91"/>
      <c r="C466" s="45"/>
      <c r="D466" s="95"/>
      <c r="E466" s="39"/>
      <c r="F466" s="94"/>
      <c r="G466" s="44"/>
      <c r="H466" s="35"/>
      <c r="I466" s="42"/>
      <c r="J466" s="35"/>
      <c r="K466" s="35"/>
      <c r="L466" s="87"/>
      <c r="M466" s="22"/>
      <c r="N466" s="89"/>
      <c r="O466" s="35"/>
      <c r="P466" s="37"/>
      <c r="Q466" s="35"/>
      <c r="R466" s="41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</row>
    <row r="467" spans="1:41" ht="13.8" x14ac:dyDescent="0.25">
      <c r="A467" s="22"/>
      <c r="B467" s="91"/>
      <c r="C467" s="45"/>
      <c r="D467" s="95"/>
      <c r="E467" s="39"/>
      <c r="F467" s="94"/>
      <c r="G467" s="44"/>
      <c r="H467" s="35"/>
      <c r="I467" s="42"/>
      <c r="J467" s="35"/>
      <c r="K467" s="35"/>
      <c r="L467" s="87"/>
      <c r="M467" s="22"/>
      <c r="N467" s="89"/>
      <c r="O467" s="35"/>
      <c r="P467" s="37"/>
      <c r="Q467" s="35"/>
      <c r="R467" s="41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</row>
    <row r="468" spans="1:41" ht="13.8" x14ac:dyDescent="0.25">
      <c r="A468" s="22"/>
      <c r="B468" s="91"/>
      <c r="C468" s="45"/>
      <c r="D468" s="95"/>
      <c r="E468" s="39"/>
      <c r="F468" s="94"/>
      <c r="G468" s="44"/>
      <c r="H468" s="35"/>
      <c r="I468" s="42"/>
      <c r="J468" s="35"/>
      <c r="K468" s="35"/>
      <c r="L468" s="87"/>
      <c r="M468" s="22"/>
      <c r="N468" s="89"/>
      <c r="O468" s="35"/>
      <c r="P468" s="37"/>
      <c r="Q468" s="35"/>
      <c r="R468" s="41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</row>
    <row r="469" spans="1:41" ht="13.8" x14ac:dyDescent="0.25">
      <c r="A469" s="22"/>
      <c r="B469" s="91"/>
      <c r="C469" s="45"/>
      <c r="D469" s="95"/>
      <c r="E469" s="39"/>
      <c r="F469" s="94"/>
      <c r="G469" s="44"/>
      <c r="H469" s="35"/>
      <c r="I469" s="42"/>
      <c r="J469" s="35"/>
      <c r="K469" s="35"/>
      <c r="L469" s="87"/>
      <c r="M469" s="22"/>
      <c r="N469" s="89"/>
      <c r="O469" s="35"/>
      <c r="P469" s="37"/>
      <c r="Q469" s="35"/>
      <c r="R469" s="41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</row>
    <row r="470" spans="1:41" ht="13.8" x14ac:dyDescent="0.25">
      <c r="A470" s="22"/>
      <c r="B470" s="91"/>
      <c r="C470" s="45"/>
      <c r="D470" s="95"/>
      <c r="E470" s="39"/>
      <c r="F470" s="94"/>
      <c r="G470" s="44"/>
      <c r="H470" s="35"/>
      <c r="I470" s="42"/>
      <c r="J470" s="35"/>
      <c r="K470" s="35"/>
      <c r="L470" s="87"/>
      <c r="M470" s="22"/>
      <c r="N470" s="89"/>
      <c r="O470" s="35"/>
      <c r="P470" s="37"/>
      <c r="Q470" s="35"/>
      <c r="R470" s="41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</row>
    <row r="471" spans="1:41" ht="13.8" x14ac:dyDescent="0.25">
      <c r="A471" s="22"/>
      <c r="B471" s="91"/>
      <c r="C471" s="45"/>
      <c r="D471" s="95"/>
      <c r="E471" s="39"/>
      <c r="F471" s="94"/>
      <c r="G471" s="44"/>
      <c r="H471" s="35"/>
      <c r="I471" s="42"/>
      <c r="J471" s="35"/>
      <c r="K471" s="35"/>
      <c r="L471" s="87"/>
      <c r="M471" s="22"/>
      <c r="N471" s="89"/>
      <c r="O471" s="35"/>
      <c r="P471" s="37"/>
      <c r="Q471" s="35"/>
      <c r="R471" s="41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</row>
    <row r="472" spans="1:41" ht="13.8" x14ac:dyDescent="0.25">
      <c r="A472" s="22"/>
      <c r="B472" s="91"/>
      <c r="C472" s="45"/>
      <c r="D472" s="95"/>
      <c r="E472" s="39"/>
      <c r="F472" s="94"/>
      <c r="G472" s="44"/>
      <c r="H472" s="35"/>
      <c r="I472" s="42"/>
      <c r="J472" s="35"/>
      <c r="K472" s="35"/>
      <c r="L472" s="87"/>
      <c r="M472" s="22"/>
      <c r="N472" s="89"/>
      <c r="O472" s="35"/>
      <c r="P472" s="37"/>
      <c r="Q472" s="35"/>
      <c r="R472" s="41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</row>
    <row r="473" spans="1:41" ht="13.8" x14ac:dyDescent="0.25">
      <c r="A473" s="22"/>
      <c r="B473" s="91"/>
      <c r="C473" s="45"/>
      <c r="D473" s="95"/>
      <c r="E473" s="39"/>
      <c r="F473" s="94"/>
      <c r="G473" s="44"/>
      <c r="H473" s="35"/>
      <c r="I473" s="42"/>
      <c r="J473" s="35"/>
      <c r="K473" s="35"/>
      <c r="L473" s="87"/>
      <c r="M473" s="22"/>
      <c r="N473" s="89"/>
      <c r="O473" s="35"/>
      <c r="P473" s="37"/>
      <c r="Q473" s="35"/>
      <c r="R473" s="41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</row>
    <row r="474" spans="1:41" ht="13.8" x14ac:dyDescent="0.25">
      <c r="A474" s="22"/>
      <c r="B474" s="91"/>
      <c r="C474" s="45"/>
      <c r="D474" s="95"/>
      <c r="E474" s="39"/>
      <c r="F474" s="94"/>
      <c r="G474" s="44"/>
      <c r="H474" s="35"/>
      <c r="I474" s="42"/>
      <c r="J474" s="35"/>
      <c r="K474" s="35"/>
      <c r="L474" s="87"/>
      <c r="M474" s="22"/>
      <c r="N474" s="89"/>
      <c r="O474" s="35"/>
      <c r="P474" s="37"/>
      <c r="Q474" s="35"/>
      <c r="R474" s="41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</row>
    <row r="475" spans="1:41" ht="13.8" x14ac:dyDescent="0.25">
      <c r="A475" s="22"/>
      <c r="B475" s="91"/>
      <c r="C475" s="45"/>
      <c r="D475" s="95"/>
      <c r="E475" s="39"/>
      <c r="F475" s="94"/>
      <c r="G475" s="44"/>
      <c r="H475" s="35"/>
      <c r="I475" s="42"/>
      <c r="J475" s="35"/>
      <c r="K475" s="35"/>
      <c r="L475" s="87"/>
      <c r="M475" s="22"/>
      <c r="N475" s="89"/>
      <c r="O475" s="35"/>
      <c r="P475" s="37"/>
      <c r="Q475" s="35"/>
      <c r="R475" s="41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</row>
    <row r="476" spans="1:41" ht="13.8" x14ac:dyDescent="0.25">
      <c r="A476" s="22"/>
      <c r="B476" s="91"/>
      <c r="C476" s="45"/>
      <c r="D476" s="95"/>
      <c r="E476" s="39"/>
      <c r="F476" s="94"/>
      <c r="G476" s="44"/>
      <c r="H476" s="35"/>
      <c r="I476" s="42"/>
      <c r="J476" s="35"/>
      <c r="K476" s="35"/>
      <c r="L476" s="87"/>
      <c r="M476" s="22"/>
      <c r="N476" s="89"/>
      <c r="O476" s="35"/>
      <c r="P476" s="37"/>
      <c r="Q476" s="35"/>
      <c r="R476" s="41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</row>
    <row r="477" spans="1:41" ht="13.8" x14ac:dyDescent="0.25">
      <c r="A477" s="22"/>
      <c r="B477" s="91"/>
      <c r="C477" s="45"/>
      <c r="D477" s="95"/>
      <c r="E477" s="39"/>
      <c r="F477" s="94"/>
      <c r="G477" s="44"/>
      <c r="H477" s="35"/>
      <c r="I477" s="42"/>
      <c r="J477" s="35"/>
      <c r="K477" s="35"/>
      <c r="L477" s="87"/>
      <c r="M477" s="22"/>
      <c r="N477" s="89"/>
      <c r="O477" s="35"/>
      <c r="P477" s="37"/>
      <c r="Q477" s="35"/>
      <c r="R477" s="41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</row>
    <row r="478" spans="1:41" ht="13.8" x14ac:dyDescent="0.25">
      <c r="A478" s="22"/>
      <c r="B478" s="91"/>
      <c r="C478" s="45"/>
      <c r="D478" s="95"/>
      <c r="E478" s="39"/>
      <c r="F478" s="94"/>
      <c r="G478" s="44"/>
      <c r="H478" s="35"/>
      <c r="I478" s="42"/>
      <c r="J478" s="35"/>
      <c r="K478" s="35"/>
      <c r="L478" s="87"/>
      <c r="M478" s="22"/>
      <c r="N478" s="89"/>
      <c r="O478" s="35"/>
      <c r="P478" s="37"/>
      <c r="Q478" s="35"/>
      <c r="R478" s="41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</row>
    <row r="479" spans="1:41" ht="13.8" x14ac:dyDescent="0.25">
      <c r="A479" s="22"/>
      <c r="B479" s="91"/>
      <c r="C479" s="45"/>
      <c r="D479" s="95"/>
      <c r="E479" s="39"/>
      <c r="F479" s="94"/>
      <c r="G479" s="44"/>
      <c r="H479" s="35"/>
      <c r="I479" s="42"/>
      <c r="J479" s="35"/>
      <c r="K479" s="35"/>
      <c r="L479" s="87"/>
      <c r="M479" s="22"/>
      <c r="N479" s="89"/>
      <c r="O479" s="35"/>
      <c r="P479" s="37"/>
      <c r="Q479" s="35"/>
      <c r="R479" s="41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</row>
    <row r="480" spans="1:41" ht="13.8" x14ac:dyDescent="0.25">
      <c r="A480" s="22"/>
      <c r="B480" s="91"/>
      <c r="C480" s="45"/>
      <c r="D480" s="95"/>
      <c r="E480" s="39"/>
      <c r="F480" s="94"/>
      <c r="G480" s="44"/>
      <c r="H480" s="35"/>
      <c r="I480" s="42"/>
      <c r="J480" s="35"/>
      <c r="K480" s="35"/>
      <c r="L480" s="87"/>
      <c r="M480" s="22"/>
      <c r="N480" s="89"/>
      <c r="O480" s="35"/>
      <c r="P480" s="37"/>
      <c r="Q480" s="35"/>
      <c r="R480" s="41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</row>
    <row r="481" spans="1:41" ht="13.8" x14ac:dyDescent="0.25">
      <c r="A481" s="22"/>
      <c r="B481" s="91"/>
      <c r="C481" s="45"/>
      <c r="D481" s="95"/>
      <c r="E481" s="39"/>
      <c r="F481" s="94"/>
      <c r="G481" s="44"/>
      <c r="H481" s="35"/>
      <c r="I481" s="42"/>
      <c r="J481" s="35"/>
      <c r="K481" s="35"/>
      <c r="L481" s="87"/>
      <c r="M481" s="22"/>
      <c r="N481" s="89"/>
      <c r="O481" s="35"/>
      <c r="P481" s="37"/>
      <c r="Q481" s="35"/>
      <c r="R481" s="41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</row>
    <row r="482" spans="1:41" ht="13.8" x14ac:dyDescent="0.25">
      <c r="A482" s="22"/>
      <c r="B482" s="91"/>
      <c r="C482" s="45"/>
      <c r="D482" s="95"/>
      <c r="E482" s="39"/>
      <c r="F482" s="94"/>
      <c r="G482" s="44"/>
      <c r="H482" s="35"/>
      <c r="I482" s="42"/>
      <c r="J482" s="35"/>
      <c r="K482" s="35"/>
      <c r="L482" s="87"/>
      <c r="M482" s="22"/>
      <c r="N482" s="89"/>
      <c r="O482" s="35"/>
      <c r="P482" s="37"/>
      <c r="Q482" s="35"/>
      <c r="R482" s="41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</row>
    <row r="483" spans="1:41" ht="13.8" x14ac:dyDescent="0.25">
      <c r="A483" s="22"/>
      <c r="B483" s="91"/>
      <c r="C483" s="45"/>
      <c r="D483" s="95"/>
      <c r="E483" s="39"/>
      <c r="F483" s="94"/>
      <c r="G483" s="44"/>
      <c r="H483" s="35"/>
      <c r="I483" s="42"/>
      <c r="J483" s="35"/>
      <c r="K483" s="35"/>
      <c r="L483" s="87"/>
      <c r="M483" s="22"/>
      <c r="N483" s="89"/>
      <c r="O483" s="35"/>
      <c r="P483" s="37"/>
      <c r="Q483" s="35"/>
      <c r="R483" s="41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</row>
    <row r="484" spans="1:41" ht="13.8" x14ac:dyDescent="0.25">
      <c r="A484" s="22"/>
      <c r="B484" s="91"/>
      <c r="C484" s="45"/>
      <c r="D484" s="95"/>
      <c r="E484" s="39"/>
      <c r="F484" s="94"/>
      <c r="G484" s="44"/>
      <c r="H484" s="35"/>
      <c r="I484" s="42"/>
      <c r="J484" s="35"/>
      <c r="K484" s="35"/>
      <c r="L484" s="87"/>
      <c r="M484" s="22"/>
      <c r="N484" s="89"/>
      <c r="O484" s="35"/>
      <c r="P484" s="37"/>
      <c r="Q484" s="35"/>
      <c r="R484" s="41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</row>
    <row r="485" spans="1:41" ht="13.8" x14ac:dyDescent="0.25">
      <c r="A485" s="22"/>
      <c r="B485" s="91"/>
      <c r="C485" s="45"/>
      <c r="D485" s="95"/>
      <c r="E485" s="39"/>
      <c r="F485" s="94"/>
      <c r="G485" s="44"/>
      <c r="H485" s="35"/>
      <c r="I485" s="42"/>
      <c r="J485" s="35"/>
      <c r="K485" s="35"/>
      <c r="L485" s="87"/>
      <c r="M485" s="22"/>
      <c r="N485" s="89"/>
      <c r="O485" s="35"/>
      <c r="P485" s="37"/>
      <c r="Q485" s="35"/>
      <c r="R485" s="41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</row>
    <row r="486" spans="1:41" ht="13.8" x14ac:dyDescent="0.25">
      <c r="A486" s="22"/>
      <c r="B486" s="91"/>
      <c r="C486" s="45"/>
      <c r="D486" s="95"/>
      <c r="E486" s="39"/>
      <c r="F486" s="94"/>
      <c r="G486" s="44"/>
      <c r="H486" s="35"/>
      <c r="I486" s="42"/>
      <c r="J486" s="35"/>
      <c r="K486" s="35"/>
      <c r="L486" s="87"/>
      <c r="M486" s="22"/>
      <c r="N486" s="89"/>
      <c r="O486" s="35"/>
      <c r="P486" s="37"/>
      <c r="Q486" s="35"/>
      <c r="R486" s="41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</row>
    <row r="487" spans="1:41" ht="13.8" x14ac:dyDescent="0.25">
      <c r="A487" s="22"/>
      <c r="B487" s="91"/>
      <c r="C487" s="45"/>
      <c r="D487" s="95"/>
      <c r="E487" s="39"/>
      <c r="F487" s="94"/>
      <c r="G487" s="44"/>
      <c r="H487" s="35"/>
      <c r="I487" s="42"/>
      <c r="J487" s="35"/>
      <c r="K487" s="35"/>
      <c r="L487" s="87"/>
      <c r="M487" s="22"/>
      <c r="N487" s="89"/>
      <c r="O487" s="35"/>
      <c r="P487" s="37"/>
      <c r="Q487" s="35"/>
      <c r="R487" s="41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</row>
    <row r="488" spans="1:41" ht="13.8" x14ac:dyDescent="0.25">
      <c r="A488" s="22"/>
      <c r="B488" s="91"/>
      <c r="C488" s="45"/>
      <c r="D488" s="95"/>
      <c r="E488" s="39"/>
      <c r="F488" s="94"/>
      <c r="G488" s="44"/>
      <c r="H488" s="35"/>
      <c r="I488" s="42"/>
      <c r="J488" s="35"/>
      <c r="K488" s="35"/>
      <c r="L488" s="87"/>
      <c r="M488" s="22"/>
      <c r="N488" s="89"/>
      <c r="O488" s="35"/>
      <c r="P488" s="37"/>
      <c r="Q488" s="35"/>
      <c r="R488" s="41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</row>
    <row r="489" spans="1:41" ht="13.8" x14ac:dyDescent="0.25">
      <c r="A489" s="22"/>
      <c r="B489" s="91"/>
      <c r="C489" s="45"/>
      <c r="D489" s="95"/>
      <c r="E489" s="39"/>
      <c r="F489" s="94"/>
      <c r="G489" s="44"/>
      <c r="H489" s="35"/>
      <c r="I489" s="42"/>
      <c r="J489" s="35"/>
      <c r="K489" s="35"/>
      <c r="L489" s="87"/>
      <c r="M489" s="22"/>
      <c r="N489" s="89"/>
      <c r="O489" s="35"/>
      <c r="P489" s="37"/>
      <c r="Q489" s="35"/>
      <c r="R489" s="41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</row>
    <row r="490" spans="1:41" ht="13.8" x14ac:dyDescent="0.25">
      <c r="A490" s="22"/>
      <c r="B490" s="91"/>
      <c r="C490" s="45"/>
      <c r="D490" s="95"/>
      <c r="E490" s="39"/>
      <c r="F490" s="94"/>
      <c r="G490" s="44"/>
      <c r="H490" s="35"/>
      <c r="I490" s="42"/>
      <c r="J490" s="35"/>
      <c r="K490" s="35"/>
      <c r="L490" s="87"/>
      <c r="M490" s="22"/>
      <c r="N490" s="89"/>
      <c r="O490" s="35"/>
      <c r="P490" s="37"/>
      <c r="Q490" s="35"/>
      <c r="R490" s="41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</row>
    <row r="491" spans="1:41" ht="13.8" x14ac:dyDescent="0.25">
      <c r="A491" s="22"/>
      <c r="B491" s="91"/>
      <c r="C491" s="45"/>
      <c r="D491" s="95"/>
      <c r="E491" s="39"/>
      <c r="F491" s="94"/>
      <c r="G491" s="44"/>
      <c r="H491" s="35"/>
      <c r="I491" s="42"/>
      <c r="J491" s="35"/>
      <c r="K491" s="35"/>
      <c r="L491" s="87"/>
      <c r="M491" s="22"/>
      <c r="N491" s="89"/>
      <c r="O491" s="35"/>
      <c r="P491" s="37"/>
      <c r="Q491" s="35"/>
      <c r="R491" s="41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</row>
    <row r="492" spans="1:41" ht="13.8" x14ac:dyDescent="0.25">
      <c r="A492" s="22"/>
      <c r="B492" s="91"/>
      <c r="C492" s="45"/>
      <c r="D492" s="95"/>
      <c r="E492" s="39"/>
      <c r="F492" s="94"/>
      <c r="G492" s="44"/>
      <c r="H492" s="35"/>
      <c r="I492" s="42"/>
      <c r="J492" s="35"/>
      <c r="K492" s="35"/>
      <c r="L492" s="87"/>
      <c r="M492" s="22"/>
      <c r="N492" s="89"/>
      <c r="O492" s="35"/>
      <c r="P492" s="37"/>
      <c r="Q492" s="35"/>
      <c r="R492" s="41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</row>
    <row r="493" spans="1:41" ht="13.8" x14ac:dyDescent="0.25">
      <c r="A493" s="22"/>
      <c r="B493" s="91"/>
      <c r="C493" s="45"/>
      <c r="D493" s="95"/>
      <c r="E493" s="39"/>
      <c r="F493" s="94"/>
      <c r="G493" s="44"/>
      <c r="H493" s="35"/>
      <c r="I493" s="42"/>
      <c r="J493" s="35"/>
      <c r="K493" s="35"/>
      <c r="L493" s="87"/>
      <c r="M493" s="22"/>
      <c r="N493" s="89"/>
      <c r="O493" s="35"/>
      <c r="P493" s="37"/>
      <c r="Q493" s="35"/>
      <c r="R493" s="41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</row>
    <row r="494" spans="1:41" ht="13.8" x14ac:dyDescent="0.25">
      <c r="A494" s="22"/>
      <c r="B494" s="91"/>
      <c r="C494" s="45"/>
      <c r="D494" s="95"/>
      <c r="E494" s="39"/>
      <c r="F494" s="94"/>
      <c r="G494" s="44"/>
      <c r="H494" s="35"/>
      <c r="I494" s="42"/>
      <c r="J494" s="35"/>
      <c r="K494" s="35"/>
      <c r="L494" s="87"/>
      <c r="M494" s="22"/>
      <c r="N494" s="89"/>
      <c r="O494" s="35"/>
      <c r="P494" s="37"/>
      <c r="Q494" s="35"/>
      <c r="R494" s="41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</row>
    <row r="495" spans="1:41" ht="13.8" x14ac:dyDescent="0.25">
      <c r="A495" s="22"/>
      <c r="B495" s="91"/>
      <c r="C495" s="45"/>
      <c r="D495" s="95"/>
      <c r="E495" s="39"/>
      <c r="F495" s="94"/>
      <c r="G495" s="44"/>
      <c r="H495" s="35"/>
      <c r="I495" s="42"/>
      <c r="J495" s="35"/>
      <c r="K495" s="35"/>
      <c r="L495" s="87"/>
      <c r="M495" s="22"/>
      <c r="N495" s="89"/>
      <c r="O495" s="35"/>
      <c r="P495" s="37"/>
      <c r="Q495" s="35"/>
      <c r="R495" s="41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</row>
    <row r="496" spans="1:41" ht="13.8" x14ac:dyDescent="0.25">
      <c r="A496" s="22"/>
      <c r="B496" s="91"/>
      <c r="C496" s="45"/>
      <c r="D496" s="95"/>
      <c r="E496" s="39"/>
      <c r="F496" s="94"/>
      <c r="G496" s="44"/>
      <c r="H496" s="35"/>
      <c r="I496" s="42"/>
      <c r="J496" s="35"/>
      <c r="K496" s="35"/>
      <c r="L496" s="87"/>
      <c r="M496" s="22"/>
      <c r="N496" s="89"/>
      <c r="O496" s="35"/>
      <c r="P496" s="37"/>
      <c r="Q496" s="35"/>
      <c r="R496" s="41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</row>
    <row r="497" spans="1:41" ht="13.8" x14ac:dyDescent="0.25">
      <c r="A497" s="22"/>
      <c r="B497" s="91"/>
      <c r="C497" s="45"/>
      <c r="D497" s="95"/>
      <c r="E497" s="39"/>
      <c r="F497" s="94"/>
      <c r="G497" s="44"/>
      <c r="H497" s="35"/>
      <c r="I497" s="42"/>
      <c r="J497" s="35"/>
      <c r="K497" s="35"/>
      <c r="L497" s="87"/>
      <c r="M497" s="22"/>
      <c r="N497" s="89"/>
      <c r="O497" s="35"/>
      <c r="P497" s="37"/>
      <c r="Q497" s="35"/>
      <c r="R497" s="41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</row>
    <row r="498" spans="1:41" ht="13.8" x14ac:dyDescent="0.25">
      <c r="A498" s="22"/>
      <c r="B498" s="91"/>
      <c r="C498" s="45"/>
      <c r="D498" s="95"/>
      <c r="E498" s="39"/>
      <c r="F498" s="94"/>
      <c r="G498" s="44"/>
      <c r="H498" s="35"/>
      <c r="I498" s="42"/>
      <c r="J498" s="35"/>
      <c r="K498" s="35"/>
      <c r="L498" s="87"/>
      <c r="M498" s="22"/>
      <c r="N498" s="89"/>
      <c r="O498" s="35"/>
      <c r="P498" s="37"/>
      <c r="Q498" s="35"/>
      <c r="R498" s="41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</row>
    <row r="499" spans="1:41" ht="13.8" x14ac:dyDescent="0.25">
      <c r="A499" s="22"/>
      <c r="B499" s="91"/>
      <c r="C499" s="45"/>
      <c r="D499" s="95"/>
      <c r="E499" s="39"/>
      <c r="F499" s="94"/>
      <c r="G499" s="44"/>
      <c r="H499" s="35"/>
      <c r="I499" s="42"/>
      <c r="J499" s="35"/>
      <c r="K499" s="35"/>
      <c r="L499" s="87"/>
      <c r="M499" s="22"/>
      <c r="N499" s="89"/>
      <c r="O499" s="35"/>
      <c r="P499" s="37"/>
      <c r="Q499" s="35"/>
      <c r="R499" s="41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</row>
    <row r="500" spans="1:41" ht="13.8" x14ac:dyDescent="0.25">
      <c r="A500" s="22"/>
      <c r="B500" s="91"/>
      <c r="C500" s="45"/>
      <c r="D500" s="95"/>
      <c r="E500" s="39"/>
      <c r="F500" s="94"/>
      <c r="G500" s="44"/>
      <c r="H500" s="35"/>
      <c r="I500" s="42"/>
      <c r="J500" s="35"/>
      <c r="K500" s="35"/>
      <c r="L500" s="87"/>
      <c r="M500" s="22"/>
      <c r="N500" s="89"/>
      <c r="O500" s="35"/>
      <c r="P500" s="37"/>
      <c r="Q500" s="35"/>
      <c r="R500" s="41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</row>
    <row r="501" spans="1:41" ht="13.8" x14ac:dyDescent="0.25">
      <c r="A501" s="22"/>
      <c r="B501" s="91"/>
      <c r="C501" s="45"/>
      <c r="D501" s="95"/>
      <c r="E501" s="39"/>
      <c r="F501" s="94"/>
      <c r="G501" s="44"/>
      <c r="H501" s="35"/>
      <c r="I501" s="42"/>
      <c r="J501" s="35"/>
      <c r="K501" s="35"/>
      <c r="L501" s="87"/>
      <c r="M501" s="22"/>
      <c r="N501" s="89"/>
      <c r="O501" s="35"/>
      <c r="P501" s="37"/>
      <c r="Q501" s="35"/>
      <c r="R501" s="41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</row>
    <row r="502" spans="1:41" ht="13.8" x14ac:dyDescent="0.25">
      <c r="A502" s="22"/>
      <c r="B502" s="91"/>
      <c r="C502" s="45"/>
      <c r="D502" s="95"/>
      <c r="E502" s="39"/>
      <c r="F502" s="94"/>
      <c r="G502" s="44"/>
      <c r="H502" s="35"/>
      <c r="I502" s="42"/>
      <c r="J502" s="35"/>
      <c r="K502" s="35"/>
      <c r="L502" s="87"/>
      <c r="M502" s="22"/>
      <c r="N502" s="89"/>
      <c r="O502" s="35"/>
      <c r="P502" s="37"/>
      <c r="Q502" s="35"/>
      <c r="R502" s="41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</row>
    <row r="503" spans="1:41" ht="13.8" x14ac:dyDescent="0.25">
      <c r="A503" s="22"/>
      <c r="B503" s="91"/>
      <c r="C503" s="45"/>
      <c r="D503" s="95"/>
      <c r="E503" s="39"/>
      <c r="F503" s="94"/>
      <c r="G503" s="44"/>
      <c r="H503" s="35"/>
      <c r="I503" s="42"/>
      <c r="J503" s="35"/>
      <c r="K503" s="35"/>
      <c r="L503" s="87"/>
      <c r="M503" s="22"/>
      <c r="N503" s="89"/>
      <c r="O503" s="35"/>
      <c r="P503" s="37"/>
      <c r="Q503" s="35"/>
      <c r="R503" s="41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</row>
    <row r="504" spans="1:41" ht="13.8" x14ac:dyDescent="0.25">
      <c r="A504" s="22"/>
      <c r="B504" s="91"/>
      <c r="C504" s="45"/>
      <c r="D504" s="95"/>
      <c r="E504" s="39"/>
      <c r="F504" s="94"/>
      <c r="G504" s="44"/>
      <c r="H504" s="35"/>
      <c r="I504" s="42"/>
      <c r="J504" s="35"/>
      <c r="K504" s="35"/>
      <c r="L504" s="87"/>
      <c r="M504" s="22"/>
      <c r="N504" s="89"/>
      <c r="O504" s="35"/>
      <c r="P504" s="37"/>
      <c r="Q504" s="35"/>
      <c r="R504" s="41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</row>
    <row r="505" spans="1:41" ht="13.8" x14ac:dyDescent="0.25">
      <c r="A505" s="22"/>
      <c r="B505" s="91"/>
      <c r="C505" s="45"/>
      <c r="D505" s="95"/>
      <c r="E505" s="39"/>
      <c r="F505" s="94"/>
      <c r="G505" s="44"/>
      <c r="H505" s="35"/>
      <c r="I505" s="42"/>
      <c r="J505" s="35"/>
      <c r="K505" s="35"/>
      <c r="L505" s="87"/>
      <c r="M505" s="22"/>
      <c r="N505" s="89"/>
      <c r="O505" s="35"/>
      <c r="P505" s="37"/>
      <c r="Q505" s="35"/>
      <c r="R505" s="41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</row>
    <row r="506" spans="1:41" ht="13.8" x14ac:dyDescent="0.25">
      <c r="A506" s="22"/>
      <c r="B506" s="91"/>
      <c r="C506" s="45"/>
      <c r="D506" s="95"/>
      <c r="E506" s="39"/>
      <c r="F506" s="94"/>
      <c r="G506" s="44"/>
      <c r="H506" s="35"/>
      <c r="I506" s="42"/>
      <c r="J506" s="35"/>
      <c r="K506" s="35"/>
      <c r="L506" s="87"/>
      <c r="M506" s="22"/>
      <c r="N506" s="89"/>
      <c r="O506" s="35"/>
      <c r="P506" s="37"/>
      <c r="Q506" s="35"/>
      <c r="R506" s="41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</row>
    <row r="507" spans="1:41" ht="13.8" x14ac:dyDescent="0.25">
      <c r="A507" s="22"/>
      <c r="B507" s="91"/>
      <c r="C507" s="45"/>
      <c r="D507" s="95"/>
      <c r="E507" s="39"/>
      <c r="F507" s="94"/>
      <c r="G507" s="44"/>
      <c r="H507" s="35"/>
      <c r="I507" s="42"/>
      <c r="J507" s="35"/>
      <c r="K507" s="35"/>
      <c r="L507" s="87"/>
      <c r="M507" s="22"/>
      <c r="N507" s="89"/>
      <c r="O507" s="35"/>
      <c r="P507" s="37"/>
      <c r="Q507" s="35"/>
      <c r="R507" s="41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</row>
    <row r="508" spans="1:41" ht="13.8" x14ac:dyDescent="0.25">
      <c r="A508" s="22"/>
      <c r="B508" s="91"/>
      <c r="C508" s="45"/>
      <c r="D508" s="95"/>
      <c r="E508" s="39"/>
      <c r="F508" s="94"/>
      <c r="G508" s="44"/>
      <c r="H508" s="35"/>
      <c r="I508" s="42"/>
      <c r="J508" s="35"/>
      <c r="K508" s="35"/>
      <c r="L508" s="87"/>
      <c r="M508" s="22"/>
      <c r="N508" s="89"/>
      <c r="O508" s="35"/>
      <c r="P508" s="37"/>
      <c r="Q508" s="35"/>
      <c r="R508" s="41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</row>
    <row r="509" spans="1:41" ht="13.8" x14ac:dyDescent="0.25">
      <c r="A509" s="22"/>
      <c r="B509" s="91"/>
      <c r="C509" s="45"/>
      <c r="D509" s="95"/>
      <c r="E509" s="39"/>
      <c r="F509" s="94"/>
      <c r="G509" s="44"/>
      <c r="H509" s="35"/>
      <c r="I509" s="42"/>
      <c r="J509" s="35"/>
      <c r="K509" s="35"/>
      <c r="L509" s="87"/>
      <c r="M509" s="22"/>
      <c r="N509" s="89"/>
      <c r="O509" s="35"/>
      <c r="P509" s="37"/>
      <c r="Q509" s="35"/>
      <c r="R509" s="41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</row>
    <row r="510" spans="1:41" ht="13.8" x14ac:dyDescent="0.25">
      <c r="A510" s="22"/>
      <c r="B510" s="91"/>
      <c r="C510" s="45"/>
      <c r="D510" s="95"/>
      <c r="E510" s="39"/>
      <c r="F510" s="94"/>
      <c r="G510" s="44"/>
      <c r="H510" s="35"/>
      <c r="I510" s="42"/>
      <c r="J510" s="35"/>
      <c r="K510" s="35"/>
      <c r="L510" s="87"/>
      <c r="M510" s="22"/>
      <c r="N510" s="89"/>
      <c r="O510" s="35"/>
      <c r="P510" s="37"/>
      <c r="Q510" s="35"/>
      <c r="R510" s="41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</row>
    <row r="511" spans="1:41" ht="13.8" x14ac:dyDescent="0.25">
      <c r="A511" s="22"/>
      <c r="B511" s="91"/>
      <c r="C511" s="45"/>
      <c r="D511" s="95"/>
      <c r="E511" s="39"/>
      <c r="F511" s="94"/>
      <c r="G511" s="44"/>
      <c r="H511" s="35"/>
      <c r="I511" s="42"/>
      <c r="J511" s="35"/>
      <c r="K511" s="35"/>
      <c r="L511" s="87"/>
      <c r="M511" s="22"/>
      <c r="N511" s="89"/>
      <c r="O511" s="35"/>
      <c r="P511" s="37"/>
      <c r="Q511" s="35"/>
      <c r="R511" s="41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</row>
    <row r="512" spans="1:41" ht="13.8" x14ac:dyDescent="0.25">
      <c r="A512" s="22"/>
      <c r="B512" s="91"/>
      <c r="C512" s="45"/>
      <c r="D512" s="95"/>
      <c r="E512" s="39"/>
      <c r="F512" s="94"/>
      <c r="G512" s="44"/>
      <c r="H512" s="35"/>
      <c r="I512" s="42"/>
      <c r="J512" s="35"/>
      <c r="K512" s="35"/>
      <c r="L512" s="87"/>
      <c r="M512" s="22"/>
      <c r="N512" s="89"/>
      <c r="O512" s="35"/>
      <c r="P512" s="37"/>
      <c r="Q512" s="35"/>
      <c r="R512" s="41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</row>
    <row r="513" spans="1:41" ht="13.8" x14ac:dyDescent="0.25">
      <c r="A513" s="22"/>
      <c r="B513" s="91"/>
      <c r="C513" s="45"/>
      <c r="D513" s="95"/>
      <c r="E513" s="39"/>
      <c r="F513" s="94"/>
      <c r="G513" s="44"/>
      <c r="H513" s="35"/>
      <c r="I513" s="42"/>
      <c r="J513" s="35"/>
      <c r="K513" s="35"/>
      <c r="L513" s="87"/>
      <c r="M513" s="22"/>
      <c r="N513" s="89"/>
      <c r="O513" s="35"/>
      <c r="P513" s="37"/>
      <c r="Q513" s="35"/>
      <c r="R513" s="41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</row>
    <row r="514" spans="1:41" ht="13.8" x14ac:dyDescent="0.25">
      <c r="A514" s="22"/>
      <c r="B514" s="91"/>
      <c r="C514" s="45"/>
      <c r="D514" s="95"/>
      <c r="E514" s="39"/>
      <c r="F514" s="94"/>
      <c r="G514" s="44"/>
      <c r="H514" s="35"/>
      <c r="I514" s="42"/>
      <c r="J514" s="35"/>
      <c r="K514" s="35"/>
      <c r="L514" s="87"/>
      <c r="M514" s="22"/>
      <c r="N514" s="89"/>
      <c r="O514" s="35"/>
      <c r="P514" s="37"/>
      <c r="Q514" s="35"/>
      <c r="R514" s="41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</row>
    <row r="515" spans="1:41" ht="13.8" x14ac:dyDescent="0.25">
      <c r="A515" s="22"/>
      <c r="B515" s="91"/>
      <c r="C515" s="45"/>
      <c r="D515" s="95"/>
      <c r="E515" s="39"/>
      <c r="F515" s="94"/>
      <c r="G515" s="44"/>
      <c r="H515" s="35"/>
      <c r="I515" s="42"/>
      <c r="J515" s="35"/>
      <c r="K515" s="35"/>
      <c r="L515" s="87"/>
      <c r="M515" s="22"/>
      <c r="N515" s="89"/>
      <c r="O515" s="35"/>
      <c r="P515" s="37"/>
      <c r="Q515" s="35"/>
      <c r="R515" s="41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</row>
    <row r="516" spans="1:41" ht="13.8" x14ac:dyDescent="0.25">
      <c r="A516" s="22"/>
      <c r="B516" s="91"/>
      <c r="C516" s="45"/>
      <c r="D516" s="95"/>
      <c r="E516" s="39"/>
      <c r="F516" s="94"/>
      <c r="G516" s="44"/>
      <c r="H516" s="35"/>
      <c r="I516" s="42"/>
      <c r="J516" s="35"/>
      <c r="K516" s="35"/>
      <c r="L516" s="87"/>
      <c r="M516" s="22"/>
      <c r="N516" s="89"/>
      <c r="O516" s="35"/>
      <c r="P516" s="37"/>
      <c r="Q516" s="35"/>
      <c r="R516" s="41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</row>
    <row r="517" spans="1:41" ht="13.8" x14ac:dyDescent="0.25">
      <c r="A517" s="22"/>
      <c r="B517" s="91"/>
      <c r="C517" s="45"/>
      <c r="D517" s="95"/>
      <c r="E517" s="39"/>
      <c r="F517" s="94"/>
      <c r="G517" s="44"/>
      <c r="H517" s="35"/>
      <c r="I517" s="42"/>
      <c r="J517" s="35"/>
      <c r="K517" s="35"/>
      <c r="L517" s="87"/>
      <c r="M517" s="22"/>
      <c r="N517" s="89"/>
      <c r="O517" s="35"/>
      <c r="P517" s="37"/>
      <c r="Q517" s="35"/>
      <c r="R517" s="41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</row>
    <row r="518" spans="1:41" ht="13.8" x14ac:dyDescent="0.25">
      <c r="A518" s="22"/>
      <c r="B518" s="91"/>
      <c r="C518" s="45"/>
      <c r="D518" s="95"/>
      <c r="E518" s="39"/>
      <c r="F518" s="94"/>
      <c r="G518" s="44"/>
      <c r="H518" s="35"/>
      <c r="I518" s="42"/>
      <c r="J518" s="35"/>
      <c r="K518" s="35"/>
      <c r="L518" s="87"/>
      <c r="M518" s="22"/>
      <c r="N518" s="89"/>
      <c r="O518" s="35"/>
      <c r="P518" s="37"/>
      <c r="Q518" s="35"/>
      <c r="R518" s="41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</row>
    <row r="519" spans="1:41" ht="13.8" x14ac:dyDescent="0.25">
      <c r="A519" s="22"/>
      <c r="B519" s="91"/>
      <c r="C519" s="45"/>
      <c r="D519" s="95"/>
      <c r="E519" s="39"/>
      <c r="F519" s="94"/>
      <c r="G519" s="44"/>
      <c r="H519" s="35"/>
      <c r="I519" s="42"/>
      <c r="J519" s="35"/>
      <c r="K519" s="35"/>
      <c r="L519" s="87"/>
      <c r="M519" s="22"/>
      <c r="N519" s="89"/>
      <c r="O519" s="35"/>
      <c r="P519" s="37"/>
      <c r="Q519" s="35"/>
      <c r="R519" s="41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</row>
    <row r="520" spans="1:41" ht="13.8" x14ac:dyDescent="0.25">
      <c r="A520" s="22"/>
      <c r="B520" s="91"/>
      <c r="C520" s="45"/>
      <c r="D520" s="95"/>
      <c r="E520" s="39"/>
      <c r="F520" s="94"/>
      <c r="G520" s="44"/>
      <c r="H520" s="35"/>
      <c r="I520" s="42"/>
      <c r="J520" s="35"/>
      <c r="K520" s="35"/>
      <c r="L520" s="87"/>
      <c r="M520" s="22"/>
      <c r="N520" s="89"/>
      <c r="O520" s="35"/>
      <c r="P520" s="37"/>
      <c r="Q520" s="35"/>
      <c r="R520" s="41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</row>
    <row r="521" spans="1:41" ht="13.8" x14ac:dyDescent="0.25">
      <c r="A521" s="22"/>
      <c r="B521" s="91"/>
      <c r="C521" s="45"/>
      <c r="D521" s="95"/>
      <c r="E521" s="39"/>
      <c r="F521" s="94"/>
      <c r="G521" s="44"/>
      <c r="H521" s="35"/>
      <c r="I521" s="42"/>
      <c r="J521" s="35"/>
      <c r="K521" s="35"/>
      <c r="L521" s="87"/>
      <c r="M521" s="22"/>
      <c r="N521" s="89"/>
      <c r="O521" s="35"/>
      <c r="P521" s="37"/>
      <c r="Q521" s="35"/>
      <c r="R521" s="41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</row>
    <row r="522" spans="1:41" ht="13.8" x14ac:dyDescent="0.25">
      <c r="A522" s="22"/>
      <c r="B522" s="91"/>
      <c r="C522" s="45"/>
      <c r="D522" s="95"/>
      <c r="E522" s="39"/>
      <c r="F522" s="94"/>
      <c r="G522" s="44"/>
      <c r="H522" s="35"/>
      <c r="I522" s="42"/>
      <c r="J522" s="35"/>
      <c r="K522" s="35"/>
      <c r="L522" s="87"/>
      <c r="M522" s="22"/>
      <c r="N522" s="89"/>
      <c r="O522" s="35"/>
      <c r="P522" s="37"/>
      <c r="Q522" s="35"/>
      <c r="R522" s="41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</row>
    <row r="523" spans="1:41" ht="13.8" x14ac:dyDescent="0.25">
      <c r="A523" s="22"/>
      <c r="B523" s="91"/>
      <c r="C523" s="45"/>
      <c r="D523" s="95"/>
      <c r="E523" s="39"/>
      <c r="F523" s="94"/>
      <c r="G523" s="44"/>
      <c r="H523" s="35"/>
      <c r="I523" s="42"/>
      <c r="J523" s="35"/>
      <c r="K523" s="35"/>
      <c r="L523" s="87"/>
      <c r="M523" s="22"/>
      <c r="N523" s="89"/>
      <c r="O523" s="35"/>
      <c r="P523" s="37"/>
      <c r="Q523" s="35"/>
      <c r="R523" s="41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</row>
    <row r="524" spans="1:41" ht="13.8" x14ac:dyDescent="0.25">
      <c r="A524" s="22"/>
      <c r="B524" s="91"/>
      <c r="C524" s="45"/>
      <c r="D524" s="95"/>
      <c r="E524" s="39"/>
      <c r="F524" s="94"/>
      <c r="G524" s="44"/>
      <c r="H524" s="35"/>
      <c r="I524" s="42"/>
      <c r="J524" s="35"/>
      <c r="K524" s="35"/>
      <c r="L524" s="87"/>
      <c r="M524" s="22"/>
      <c r="N524" s="89"/>
      <c r="O524" s="35"/>
      <c r="P524" s="37"/>
      <c r="Q524" s="35"/>
      <c r="R524" s="41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</row>
    <row r="525" spans="1:41" ht="13.8" x14ac:dyDescent="0.25">
      <c r="A525" s="22"/>
      <c r="B525" s="91"/>
      <c r="C525" s="45"/>
      <c r="D525" s="95"/>
      <c r="E525" s="39"/>
      <c r="F525" s="94"/>
      <c r="G525" s="44"/>
      <c r="H525" s="35"/>
      <c r="I525" s="42"/>
      <c r="J525" s="35"/>
      <c r="K525" s="35"/>
      <c r="L525" s="87"/>
      <c r="M525" s="22"/>
      <c r="N525" s="89"/>
      <c r="O525" s="35"/>
      <c r="P525" s="37"/>
      <c r="Q525" s="35"/>
      <c r="R525" s="41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</row>
    <row r="526" spans="1:41" ht="13.8" x14ac:dyDescent="0.25">
      <c r="A526" s="22"/>
      <c r="B526" s="91"/>
      <c r="C526" s="45"/>
      <c r="D526" s="95"/>
      <c r="E526" s="39"/>
      <c r="F526" s="94"/>
      <c r="G526" s="44"/>
      <c r="H526" s="35"/>
      <c r="I526" s="42"/>
      <c r="J526" s="35"/>
      <c r="K526" s="35"/>
      <c r="L526" s="87"/>
      <c r="M526" s="22"/>
      <c r="N526" s="89"/>
      <c r="O526" s="35"/>
      <c r="P526" s="37"/>
      <c r="Q526" s="35"/>
      <c r="R526" s="41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</row>
    <row r="527" spans="1:41" ht="13.8" x14ac:dyDescent="0.25">
      <c r="A527" s="22"/>
      <c r="B527" s="91"/>
      <c r="C527" s="45"/>
      <c r="D527" s="95"/>
      <c r="E527" s="39"/>
      <c r="F527" s="94"/>
      <c r="G527" s="44"/>
      <c r="H527" s="35"/>
      <c r="I527" s="42"/>
      <c r="J527" s="35"/>
      <c r="K527" s="35"/>
      <c r="L527" s="87"/>
      <c r="M527" s="22"/>
      <c r="N527" s="89"/>
      <c r="O527" s="35"/>
      <c r="P527" s="37"/>
      <c r="Q527" s="35"/>
      <c r="R527" s="41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</row>
    <row r="528" spans="1:41" ht="13.8" x14ac:dyDescent="0.25">
      <c r="A528" s="22"/>
      <c r="B528" s="91"/>
      <c r="C528" s="45"/>
      <c r="D528" s="95"/>
      <c r="E528" s="39"/>
      <c r="F528" s="94"/>
      <c r="G528" s="44"/>
      <c r="H528" s="35"/>
      <c r="I528" s="42"/>
      <c r="J528" s="35"/>
      <c r="K528" s="35"/>
      <c r="L528" s="87"/>
      <c r="M528" s="22"/>
      <c r="N528" s="89"/>
      <c r="O528" s="35"/>
      <c r="P528" s="37"/>
      <c r="Q528" s="35"/>
      <c r="R528" s="41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</row>
    <row r="529" spans="1:41" ht="13.8" x14ac:dyDescent="0.25">
      <c r="A529" s="22"/>
      <c r="B529" s="91"/>
      <c r="C529" s="45"/>
      <c r="D529" s="95"/>
      <c r="E529" s="39"/>
      <c r="F529" s="94"/>
      <c r="G529" s="44"/>
      <c r="H529" s="35"/>
      <c r="I529" s="42"/>
      <c r="J529" s="35"/>
      <c r="K529" s="35"/>
      <c r="L529" s="87"/>
      <c r="M529" s="22"/>
      <c r="N529" s="89"/>
      <c r="O529" s="35"/>
      <c r="P529" s="37"/>
      <c r="Q529" s="35"/>
      <c r="R529" s="41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</row>
    <row r="530" spans="1:41" ht="13.8" x14ac:dyDescent="0.25">
      <c r="A530" s="22"/>
      <c r="B530" s="91"/>
      <c r="C530" s="45"/>
      <c r="D530" s="95"/>
      <c r="E530" s="39"/>
      <c r="F530" s="94"/>
      <c r="G530" s="44"/>
      <c r="H530" s="35"/>
      <c r="I530" s="42"/>
      <c r="J530" s="35"/>
      <c r="K530" s="35"/>
      <c r="L530" s="87"/>
      <c r="M530" s="22"/>
      <c r="N530" s="89"/>
      <c r="O530" s="35"/>
      <c r="P530" s="37"/>
      <c r="Q530" s="35"/>
      <c r="R530" s="41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</row>
    <row r="531" spans="1:41" ht="13.8" x14ac:dyDescent="0.25">
      <c r="A531" s="22"/>
      <c r="B531" s="91"/>
      <c r="C531" s="45"/>
      <c r="D531" s="95"/>
      <c r="E531" s="39"/>
      <c r="F531" s="94"/>
      <c r="G531" s="44"/>
      <c r="H531" s="35"/>
      <c r="I531" s="42"/>
      <c r="J531" s="35"/>
      <c r="K531" s="35"/>
      <c r="L531" s="87"/>
      <c r="M531" s="22"/>
      <c r="N531" s="89"/>
      <c r="O531" s="35"/>
      <c r="P531" s="37"/>
      <c r="Q531" s="35"/>
      <c r="R531" s="41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</row>
    <row r="532" spans="1:41" ht="13.8" x14ac:dyDescent="0.25">
      <c r="A532" s="22"/>
      <c r="B532" s="91"/>
      <c r="C532" s="45"/>
      <c r="D532" s="95"/>
      <c r="E532" s="39"/>
      <c r="F532" s="94"/>
      <c r="G532" s="44"/>
      <c r="H532" s="35"/>
      <c r="I532" s="42"/>
      <c r="J532" s="35"/>
      <c r="K532" s="35"/>
      <c r="L532" s="87"/>
      <c r="M532" s="22"/>
      <c r="N532" s="89"/>
      <c r="O532" s="35"/>
      <c r="P532" s="37"/>
      <c r="Q532" s="35"/>
      <c r="R532" s="41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</row>
    <row r="533" spans="1:41" ht="13.8" x14ac:dyDescent="0.25">
      <c r="A533" s="22"/>
      <c r="B533" s="91"/>
      <c r="C533" s="45"/>
      <c r="D533" s="95"/>
      <c r="E533" s="39"/>
      <c r="F533" s="94"/>
      <c r="G533" s="44"/>
      <c r="H533" s="35"/>
      <c r="I533" s="42"/>
      <c r="J533" s="35"/>
      <c r="K533" s="35"/>
      <c r="L533" s="87"/>
      <c r="M533" s="22"/>
      <c r="N533" s="89"/>
      <c r="O533" s="35"/>
      <c r="P533" s="37"/>
      <c r="Q533" s="35"/>
      <c r="R533" s="41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</row>
    <row r="534" spans="1:41" ht="13.8" x14ac:dyDescent="0.25">
      <c r="A534" s="22"/>
      <c r="B534" s="91"/>
      <c r="C534" s="45"/>
      <c r="D534" s="95"/>
      <c r="E534" s="39"/>
      <c r="F534" s="94"/>
      <c r="G534" s="44"/>
      <c r="H534" s="35"/>
      <c r="I534" s="42"/>
      <c r="J534" s="35"/>
      <c r="K534" s="35"/>
      <c r="L534" s="87"/>
      <c r="M534" s="22"/>
      <c r="N534" s="89"/>
      <c r="O534" s="35"/>
      <c r="P534" s="37"/>
      <c r="Q534" s="35"/>
      <c r="R534" s="41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</row>
    <row r="535" spans="1:41" ht="13.8" x14ac:dyDescent="0.25">
      <c r="A535" s="22"/>
      <c r="B535" s="91"/>
      <c r="C535" s="45"/>
      <c r="D535" s="95"/>
      <c r="E535" s="39"/>
      <c r="F535" s="94"/>
      <c r="G535" s="44"/>
      <c r="H535" s="35"/>
      <c r="I535" s="42"/>
      <c r="J535" s="35"/>
      <c r="K535" s="35"/>
      <c r="L535" s="87"/>
      <c r="M535" s="22"/>
      <c r="N535" s="89"/>
      <c r="O535" s="35"/>
      <c r="P535" s="37"/>
      <c r="Q535" s="35"/>
      <c r="R535" s="41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</row>
    <row r="536" spans="1:41" ht="13.8" x14ac:dyDescent="0.25">
      <c r="A536" s="22"/>
      <c r="B536" s="91"/>
      <c r="C536" s="45"/>
      <c r="D536" s="95"/>
      <c r="E536" s="39"/>
      <c r="F536" s="94"/>
      <c r="G536" s="44"/>
      <c r="H536" s="35"/>
      <c r="I536" s="42"/>
      <c r="J536" s="35"/>
      <c r="K536" s="35"/>
      <c r="L536" s="87"/>
      <c r="M536" s="22"/>
      <c r="N536" s="89"/>
      <c r="O536" s="35"/>
      <c r="P536" s="37"/>
      <c r="Q536" s="35"/>
      <c r="R536" s="41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</row>
    <row r="537" spans="1:41" ht="13.8" x14ac:dyDescent="0.25">
      <c r="A537" s="22"/>
      <c r="B537" s="91"/>
      <c r="C537" s="45"/>
      <c r="D537" s="95"/>
      <c r="E537" s="39"/>
      <c r="F537" s="94"/>
      <c r="G537" s="44"/>
      <c r="H537" s="35"/>
      <c r="I537" s="42"/>
      <c r="J537" s="35"/>
      <c r="K537" s="35"/>
      <c r="L537" s="87"/>
      <c r="M537" s="22"/>
      <c r="N537" s="89"/>
      <c r="O537" s="35"/>
      <c r="P537" s="37"/>
      <c r="Q537" s="35"/>
      <c r="R537" s="41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</row>
    <row r="538" spans="1:41" ht="13.8" x14ac:dyDescent="0.25">
      <c r="A538" s="22"/>
      <c r="B538" s="91"/>
      <c r="C538" s="45"/>
      <c r="D538" s="95"/>
      <c r="E538" s="39"/>
      <c r="F538" s="94"/>
      <c r="G538" s="44"/>
      <c r="H538" s="35"/>
      <c r="I538" s="42"/>
      <c r="J538" s="35"/>
      <c r="K538" s="35"/>
      <c r="L538" s="87"/>
      <c r="M538" s="22"/>
      <c r="N538" s="89"/>
      <c r="O538" s="35"/>
      <c r="P538" s="37"/>
      <c r="Q538" s="35"/>
      <c r="R538" s="41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</row>
    <row r="539" spans="1:41" ht="13.8" x14ac:dyDescent="0.25">
      <c r="A539" s="22"/>
      <c r="B539" s="91"/>
      <c r="C539" s="45"/>
      <c r="D539" s="95"/>
      <c r="E539" s="39"/>
      <c r="F539" s="94"/>
      <c r="G539" s="44"/>
      <c r="H539" s="35"/>
      <c r="I539" s="42"/>
      <c r="J539" s="35"/>
      <c r="K539" s="35"/>
      <c r="L539" s="87"/>
      <c r="M539" s="22"/>
      <c r="N539" s="89"/>
      <c r="O539" s="35"/>
      <c r="P539" s="37"/>
      <c r="Q539" s="35"/>
      <c r="R539" s="41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</row>
    <row r="540" spans="1:41" ht="13.8" x14ac:dyDescent="0.25">
      <c r="A540" s="22"/>
      <c r="B540" s="91"/>
      <c r="C540" s="45"/>
      <c r="D540" s="95"/>
      <c r="E540" s="39"/>
      <c r="F540" s="94"/>
      <c r="G540" s="44"/>
      <c r="H540" s="35"/>
      <c r="I540" s="42"/>
      <c r="J540" s="35"/>
      <c r="K540" s="35"/>
      <c r="L540" s="87"/>
      <c r="M540" s="22"/>
      <c r="N540" s="89"/>
      <c r="O540" s="35"/>
      <c r="P540" s="37"/>
      <c r="Q540" s="35"/>
      <c r="R540" s="41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</row>
    <row r="541" spans="1:41" ht="13.8" x14ac:dyDescent="0.25">
      <c r="A541" s="22"/>
      <c r="B541" s="91"/>
      <c r="C541" s="45"/>
      <c r="D541" s="95"/>
      <c r="E541" s="39"/>
      <c r="F541" s="94"/>
      <c r="G541" s="44"/>
      <c r="H541" s="35"/>
      <c r="I541" s="42"/>
      <c r="J541" s="35"/>
      <c r="K541" s="35"/>
      <c r="L541" s="87"/>
      <c r="M541" s="22"/>
      <c r="N541" s="89"/>
      <c r="O541" s="35"/>
      <c r="P541" s="37"/>
      <c r="Q541" s="35"/>
      <c r="R541" s="41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</row>
    <row r="542" spans="1:41" ht="13.8" x14ac:dyDescent="0.25">
      <c r="A542" s="22"/>
      <c r="B542" s="91"/>
      <c r="C542" s="45"/>
      <c r="D542" s="95"/>
      <c r="E542" s="39"/>
      <c r="F542" s="94"/>
      <c r="G542" s="44"/>
      <c r="H542" s="35"/>
      <c r="I542" s="42"/>
      <c r="J542" s="35"/>
      <c r="K542" s="35"/>
      <c r="L542" s="87"/>
      <c r="M542" s="22"/>
      <c r="N542" s="89"/>
      <c r="O542" s="35"/>
      <c r="P542" s="37"/>
      <c r="Q542" s="35"/>
      <c r="R542" s="41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</row>
    <row r="543" spans="1:41" ht="13.8" x14ac:dyDescent="0.25">
      <c r="A543" s="22"/>
      <c r="B543" s="91"/>
      <c r="C543" s="45"/>
      <c r="D543" s="95"/>
      <c r="E543" s="39"/>
      <c r="F543" s="94"/>
      <c r="G543" s="44"/>
      <c r="H543" s="35"/>
      <c r="I543" s="42"/>
      <c r="J543" s="35"/>
      <c r="K543" s="35"/>
      <c r="L543" s="87"/>
      <c r="M543" s="22"/>
      <c r="N543" s="89"/>
      <c r="O543" s="35"/>
      <c r="P543" s="37"/>
      <c r="Q543" s="35"/>
      <c r="R543" s="41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</row>
    <row r="544" spans="1:41" ht="13.8" x14ac:dyDescent="0.25">
      <c r="A544" s="22"/>
      <c r="B544" s="91"/>
      <c r="C544" s="45"/>
      <c r="D544" s="95"/>
      <c r="E544" s="39"/>
      <c r="F544" s="94"/>
      <c r="G544" s="44"/>
      <c r="H544" s="35"/>
      <c r="I544" s="42"/>
      <c r="J544" s="35"/>
      <c r="K544" s="35"/>
      <c r="L544" s="87"/>
      <c r="M544" s="22"/>
      <c r="N544" s="89"/>
      <c r="O544" s="35"/>
      <c r="P544" s="37"/>
      <c r="Q544" s="35"/>
      <c r="R544" s="41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</row>
    <row r="545" spans="1:41" ht="13.8" x14ac:dyDescent="0.25">
      <c r="A545" s="22"/>
      <c r="B545" s="91"/>
      <c r="C545" s="45"/>
      <c r="D545" s="95"/>
      <c r="E545" s="39"/>
      <c r="F545" s="94"/>
      <c r="G545" s="44"/>
      <c r="H545" s="35"/>
      <c r="I545" s="42"/>
      <c r="J545" s="35"/>
      <c r="K545" s="35"/>
      <c r="L545" s="87"/>
      <c r="M545" s="22"/>
      <c r="N545" s="89"/>
      <c r="O545" s="35"/>
      <c r="P545" s="37"/>
      <c r="Q545" s="35"/>
      <c r="R545" s="41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</row>
    <row r="546" spans="1:41" ht="13.8" x14ac:dyDescent="0.25">
      <c r="A546" s="22"/>
      <c r="B546" s="91"/>
      <c r="C546" s="45"/>
      <c r="D546" s="95"/>
      <c r="E546" s="39"/>
      <c r="F546" s="94"/>
      <c r="G546" s="44"/>
      <c r="H546" s="35"/>
      <c r="I546" s="42"/>
      <c r="J546" s="35"/>
      <c r="K546" s="35"/>
      <c r="L546" s="87"/>
      <c r="M546" s="22"/>
      <c r="N546" s="89"/>
      <c r="O546" s="35"/>
      <c r="P546" s="37"/>
      <c r="Q546" s="35"/>
      <c r="R546" s="41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</row>
    <row r="547" spans="1:41" ht="13.8" x14ac:dyDescent="0.25">
      <c r="A547" s="22"/>
      <c r="B547" s="91"/>
      <c r="C547" s="45"/>
      <c r="D547" s="95"/>
      <c r="E547" s="39"/>
      <c r="F547" s="94"/>
      <c r="G547" s="44"/>
      <c r="H547" s="35"/>
      <c r="I547" s="42"/>
      <c r="J547" s="35"/>
      <c r="K547" s="35"/>
      <c r="L547" s="87"/>
      <c r="M547" s="22"/>
      <c r="N547" s="89"/>
      <c r="O547" s="35"/>
      <c r="P547" s="37"/>
      <c r="Q547" s="35"/>
      <c r="R547" s="41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</row>
    <row r="548" spans="1:41" ht="13.8" x14ac:dyDescent="0.25">
      <c r="A548" s="22"/>
      <c r="B548" s="91"/>
      <c r="C548" s="45"/>
      <c r="D548" s="95"/>
      <c r="E548" s="39"/>
      <c r="F548" s="94"/>
      <c r="G548" s="44"/>
      <c r="H548" s="35"/>
      <c r="I548" s="42"/>
      <c r="J548" s="35"/>
      <c r="K548" s="35"/>
      <c r="L548" s="87"/>
      <c r="M548" s="22"/>
      <c r="N548" s="89"/>
      <c r="O548" s="35"/>
      <c r="P548" s="37"/>
      <c r="Q548" s="35"/>
      <c r="R548" s="41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</row>
    <row r="549" spans="1:41" ht="13.8" x14ac:dyDescent="0.25">
      <c r="A549" s="22"/>
      <c r="B549" s="91"/>
      <c r="C549" s="45"/>
      <c r="D549" s="95"/>
      <c r="E549" s="39"/>
      <c r="F549" s="94"/>
      <c r="G549" s="44"/>
      <c r="H549" s="35"/>
      <c r="I549" s="42"/>
      <c r="J549" s="35"/>
      <c r="K549" s="35"/>
      <c r="L549" s="87"/>
      <c r="M549" s="22"/>
      <c r="N549" s="89"/>
      <c r="O549" s="35"/>
      <c r="P549" s="37"/>
      <c r="Q549" s="35"/>
      <c r="R549" s="41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</row>
    <row r="550" spans="1:41" ht="13.8" x14ac:dyDescent="0.25">
      <c r="A550" s="22"/>
      <c r="B550" s="91"/>
      <c r="C550" s="45"/>
      <c r="D550" s="95"/>
      <c r="E550" s="39"/>
      <c r="F550" s="94"/>
      <c r="G550" s="44"/>
      <c r="H550" s="35"/>
      <c r="I550" s="42"/>
      <c r="J550" s="35"/>
      <c r="K550" s="35"/>
      <c r="L550" s="87"/>
      <c r="M550" s="22"/>
      <c r="N550" s="89"/>
      <c r="O550" s="35"/>
      <c r="P550" s="37"/>
      <c r="Q550" s="35"/>
      <c r="R550" s="41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</row>
    <row r="551" spans="1:41" ht="13.8" x14ac:dyDescent="0.25">
      <c r="A551" s="22"/>
      <c r="B551" s="91"/>
      <c r="C551" s="45"/>
      <c r="D551" s="95"/>
      <c r="E551" s="39"/>
      <c r="F551" s="94"/>
      <c r="G551" s="44"/>
      <c r="H551" s="35"/>
      <c r="I551" s="42"/>
      <c r="J551" s="35"/>
      <c r="K551" s="35"/>
      <c r="L551" s="87"/>
      <c r="M551" s="22"/>
      <c r="N551" s="89"/>
      <c r="O551" s="35"/>
      <c r="P551" s="37"/>
      <c r="Q551" s="35"/>
      <c r="R551" s="41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</row>
    <row r="552" spans="1:41" ht="13.8" x14ac:dyDescent="0.25">
      <c r="A552" s="22"/>
      <c r="B552" s="91"/>
      <c r="C552" s="45"/>
      <c r="D552" s="95"/>
      <c r="E552" s="39"/>
      <c r="F552" s="94"/>
      <c r="G552" s="44"/>
      <c r="H552" s="35"/>
      <c r="I552" s="42"/>
      <c r="J552" s="35"/>
      <c r="K552" s="35"/>
      <c r="L552" s="87"/>
      <c r="M552" s="22"/>
      <c r="N552" s="89"/>
      <c r="O552" s="35"/>
      <c r="P552" s="37"/>
      <c r="Q552" s="35"/>
      <c r="R552" s="41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</row>
    <row r="553" spans="1:41" ht="13.8" x14ac:dyDescent="0.25">
      <c r="A553" s="22"/>
      <c r="B553" s="91"/>
      <c r="C553" s="45"/>
      <c r="D553" s="95"/>
      <c r="E553" s="39"/>
      <c r="F553" s="94"/>
      <c r="G553" s="44"/>
      <c r="H553" s="35"/>
      <c r="I553" s="42"/>
      <c r="J553" s="35"/>
      <c r="K553" s="35"/>
      <c r="L553" s="87"/>
      <c r="M553" s="22"/>
      <c r="N553" s="89"/>
      <c r="O553" s="35"/>
      <c r="P553" s="37"/>
      <c r="Q553" s="35"/>
      <c r="R553" s="41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</row>
    <row r="554" spans="1:41" ht="13.8" x14ac:dyDescent="0.25">
      <c r="A554" s="22"/>
      <c r="B554" s="91"/>
      <c r="C554" s="45"/>
      <c r="D554" s="95"/>
      <c r="E554" s="39"/>
      <c r="F554" s="94"/>
      <c r="G554" s="44"/>
      <c r="H554" s="35"/>
      <c r="I554" s="42"/>
      <c r="J554" s="35"/>
      <c r="K554" s="35"/>
      <c r="L554" s="87"/>
      <c r="M554" s="22"/>
      <c r="N554" s="89"/>
      <c r="O554" s="35"/>
      <c r="P554" s="37"/>
      <c r="Q554" s="35"/>
      <c r="R554" s="41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</row>
    <row r="555" spans="1:41" ht="13.8" x14ac:dyDescent="0.25">
      <c r="A555" s="22"/>
      <c r="B555" s="91"/>
      <c r="C555" s="45"/>
      <c r="D555" s="95"/>
      <c r="E555" s="39"/>
      <c r="F555" s="94"/>
      <c r="G555" s="44"/>
      <c r="H555" s="35"/>
      <c r="I555" s="42"/>
      <c r="J555" s="35"/>
      <c r="K555" s="35"/>
      <c r="L555" s="87"/>
      <c r="M555" s="22"/>
      <c r="N555" s="89"/>
      <c r="O555" s="35"/>
      <c r="P555" s="37"/>
      <c r="Q555" s="35"/>
      <c r="R555" s="41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</row>
    <row r="556" spans="1:41" ht="13.8" x14ac:dyDescent="0.25">
      <c r="A556" s="22"/>
      <c r="B556" s="91"/>
      <c r="C556" s="45"/>
      <c r="D556" s="95"/>
      <c r="E556" s="39"/>
      <c r="F556" s="94"/>
      <c r="G556" s="44"/>
      <c r="H556" s="35"/>
      <c r="I556" s="42"/>
      <c r="J556" s="35"/>
      <c r="K556" s="35"/>
      <c r="L556" s="87"/>
      <c r="M556" s="22"/>
      <c r="N556" s="89"/>
      <c r="O556" s="35"/>
      <c r="P556" s="37"/>
      <c r="Q556" s="35"/>
      <c r="R556" s="41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</row>
    <row r="557" spans="1:41" ht="13.8" x14ac:dyDescent="0.25">
      <c r="A557" s="22"/>
      <c r="B557" s="91"/>
      <c r="C557" s="45"/>
      <c r="D557" s="95"/>
      <c r="E557" s="39"/>
      <c r="F557" s="94"/>
      <c r="G557" s="44"/>
      <c r="H557" s="35"/>
      <c r="I557" s="42"/>
      <c r="J557" s="35"/>
      <c r="K557" s="35"/>
      <c r="L557" s="87"/>
      <c r="M557" s="22"/>
      <c r="N557" s="89"/>
      <c r="O557" s="35"/>
      <c r="P557" s="37"/>
      <c r="Q557" s="35"/>
      <c r="R557" s="41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</row>
    <row r="558" spans="1:41" ht="13.8" x14ac:dyDescent="0.25">
      <c r="A558" s="22"/>
      <c r="B558" s="91"/>
      <c r="C558" s="45"/>
      <c r="D558" s="95"/>
      <c r="E558" s="39"/>
      <c r="F558" s="94"/>
      <c r="G558" s="44"/>
      <c r="H558" s="35"/>
      <c r="I558" s="42"/>
      <c r="J558" s="35"/>
      <c r="K558" s="35"/>
      <c r="L558" s="87"/>
      <c r="M558" s="22"/>
      <c r="N558" s="89"/>
      <c r="O558" s="35"/>
      <c r="P558" s="37"/>
      <c r="Q558" s="35"/>
      <c r="R558" s="41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</row>
    <row r="559" spans="1:41" ht="13.8" x14ac:dyDescent="0.25">
      <c r="A559" s="22"/>
      <c r="B559" s="91"/>
      <c r="C559" s="45"/>
      <c r="D559" s="95"/>
      <c r="E559" s="39"/>
      <c r="F559" s="94"/>
      <c r="G559" s="44"/>
      <c r="H559" s="35"/>
      <c r="I559" s="42"/>
      <c r="J559" s="35"/>
      <c r="K559" s="35"/>
      <c r="L559" s="87"/>
      <c r="M559" s="22"/>
      <c r="N559" s="89"/>
      <c r="O559" s="35"/>
      <c r="P559" s="37"/>
      <c r="Q559" s="35"/>
      <c r="R559" s="41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</row>
    <row r="560" spans="1:41" ht="13.8" x14ac:dyDescent="0.25">
      <c r="A560" s="22"/>
      <c r="B560" s="91"/>
      <c r="C560" s="45"/>
      <c r="D560" s="95"/>
      <c r="E560" s="39"/>
      <c r="F560" s="94"/>
      <c r="G560" s="44"/>
      <c r="H560" s="35"/>
      <c r="I560" s="42"/>
      <c r="J560" s="35"/>
      <c r="K560" s="35"/>
      <c r="L560" s="87"/>
      <c r="M560" s="22"/>
      <c r="N560" s="89"/>
      <c r="O560" s="35"/>
      <c r="P560" s="37"/>
      <c r="Q560" s="35"/>
      <c r="R560" s="41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</row>
    <row r="561" spans="1:41" ht="13.8" x14ac:dyDescent="0.25">
      <c r="A561" s="22"/>
      <c r="B561" s="91"/>
      <c r="C561" s="45"/>
      <c r="D561" s="95"/>
      <c r="E561" s="39"/>
      <c r="F561" s="94"/>
      <c r="G561" s="44"/>
      <c r="H561" s="35"/>
      <c r="I561" s="42"/>
      <c r="J561" s="35"/>
      <c r="K561" s="35"/>
      <c r="L561" s="87"/>
      <c r="M561" s="22"/>
      <c r="N561" s="89"/>
      <c r="O561" s="35"/>
      <c r="P561" s="37"/>
      <c r="Q561" s="35"/>
      <c r="R561" s="41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</row>
    <row r="562" spans="1:41" ht="13.8" x14ac:dyDescent="0.25">
      <c r="A562" s="22"/>
      <c r="B562" s="91"/>
      <c r="C562" s="45"/>
      <c r="D562" s="95"/>
      <c r="E562" s="39"/>
      <c r="F562" s="94"/>
      <c r="G562" s="44"/>
      <c r="H562" s="35"/>
      <c r="I562" s="42"/>
      <c r="J562" s="35"/>
      <c r="K562" s="35"/>
      <c r="L562" s="87"/>
      <c r="M562" s="22"/>
      <c r="N562" s="89"/>
      <c r="O562" s="35"/>
      <c r="P562" s="37"/>
      <c r="Q562" s="35"/>
      <c r="R562" s="41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</row>
    <row r="563" spans="1:41" ht="13.8" x14ac:dyDescent="0.25">
      <c r="A563" s="22"/>
      <c r="B563" s="91"/>
      <c r="C563" s="45"/>
      <c r="D563" s="95"/>
      <c r="E563" s="39"/>
      <c r="F563" s="94"/>
      <c r="G563" s="44"/>
      <c r="H563" s="35"/>
      <c r="I563" s="42"/>
      <c r="J563" s="35"/>
      <c r="K563" s="35"/>
      <c r="L563" s="87"/>
      <c r="M563" s="22"/>
      <c r="N563" s="89"/>
      <c r="O563" s="35"/>
      <c r="P563" s="37"/>
      <c r="Q563" s="35"/>
      <c r="R563" s="41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</row>
    <row r="564" spans="1:41" ht="13.8" x14ac:dyDescent="0.25">
      <c r="A564" s="22"/>
      <c r="B564" s="91"/>
      <c r="C564" s="45"/>
      <c r="D564" s="95"/>
      <c r="E564" s="39"/>
      <c r="F564" s="94"/>
      <c r="G564" s="44"/>
      <c r="H564" s="35"/>
      <c r="I564" s="42"/>
      <c r="J564" s="35"/>
      <c r="K564" s="35"/>
      <c r="L564" s="87"/>
      <c r="M564" s="22"/>
      <c r="N564" s="89"/>
      <c r="O564" s="35"/>
      <c r="P564" s="37"/>
      <c r="Q564" s="35"/>
      <c r="R564" s="41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</row>
    <row r="565" spans="1:41" ht="13.8" x14ac:dyDescent="0.25">
      <c r="A565" s="22"/>
      <c r="B565" s="91"/>
      <c r="C565" s="45"/>
      <c r="D565" s="95"/>
      <c r="E565" s="39"/>
      <c r="F565" s="94"/>
      <c r="G565" s="44"/>
      <c r="H565" s="35"/>
      <c r="I565" s="42"/>
      <c r="J565" s="35"/>
      <c r="K565" s="35"/>
      <c r="L565" s="87"/>
      <c r="M565" s="22"/>
      <c r="N565" s="89"/>
      <c r="O565" s="35"/>
      <c r="P565" s="37"/>
      <c r="Q565" s="35"/>
      <c r="R565" s="41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</row>
    <row r="566" spans="1:41" ht="13.8" x14ac:dyDescent="0.25">
      <c r="A566" s="22"/>
      <c r="B566" s="91"/>
      <c r="C566" s="45"/>
      <c r="D566" s="95"/>
      <c r="E566" s="39"/>
      <c r="F566" s="94"/>
      <c r="G566" s="44"/>
      <c r="H566" s="35"/>
      <c r="I566" s="42"/>
      <c r="J566" s="35"/>
      <c r="K566" s="35"/>
      <c r="L566" s="87"/>
      <c r="M566" s="22"/>
      <c r="N566" s="89"/>
      <c r="O566" s="35"/>
      <c r="P566" s="37"/>
      <c r="Q566" s="35"/>
      <c r="R566" s="41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</row>
    <row r="567" spans="1:41" ht="13.8" x14ac:dyDescent="0.25">
      <c r="A567" s="22"/>
      <c r="B567" s="91"/>
      <c r="C567" s="45"/>
      <c r="D567" s="95"/>
      <c r="E567" s="39"/>
      <c r="F567" s="94"/>
      <c r="G567" s="44"/>
      <c r="H567" s="35"/>
      <c r="I567" s="42"/>
      <c r="J567" s="35"/>
      <c r="K567" s="35"/>
      <c r="L567" s="87"/>
      <c r="M567" s="22"/>
      <c r="N567" s="89"/>
      <c r="O567" s="35"/>
      <c r="P567" s="37"/>
      <c r="Q567" s="35"/>
      <c r="R567" s="41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</row>
    <row r="568" spans="1:41" ht="13.8" x14ac:dyDescent="0.25">
      <c r="A568" s="22"/>
      <c r="B568" s="91"/>
      <c r="C568" s="45"/>
      <c r="D568" s="95"/>
      <c r="E568" s="39"/>
      <c r="F568" s="94"/>
      <c r="G568" s="44"/>
      <c r="H568" s="35"/>
      <c r="I568" s="42"/>
      <c r="J568" s="35"/>
      <c r="K568" s="35"/>
      <c r="L568" s="87"/>
      <c r="M568" s="22"/>
      <c r="N568" s="89"/>
      <c r="O568" s="35"/>
      <c r="P568" s="37"/>
      <c r="Q568" s="35"/>
      <c r="R568" s="41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</row>
    <row r="569" spans="1:41" ht="13.8" x14ac:dyDescent="0.25">
      <c r="A569" s="22"/>
      <c r="B569" s="91"/>
      <c r="C569" s="45"/>
      <c r="D569" s="95"/>
      <c r="E569" s="39"/>
      <c r="F569" s="94"/>
      <c r="G569" s="44"/>
      <c r="H569" s="35"/>
      <c r="I569" s="42"/>
      <c r="J569" s="35"/>
      <c r="K569" s="35"/>
      <c r="L569" s="87"/>
      <c r="M569" s="22"/>
      <c r="N569" s="89"/>
      <c r="O569" s="35"/>
      <c r="P569" s="37"/>
      <c r="Q569" s="35"/>
      <c r="R569" s="41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</row>
    <row r="570" spans="1:41" ht="13.8" x14ac:dyDescent="0.25">
      <c r="A570" s="22"/>
      <c r="B570" s="91"/>
      <c r="C570" s="45"/>
      <c r="D570" s="95"/>
      <c r="E570" s="39"/>
      <c r="F570" s="94"/>
      <c r="G570" s="44"/>
      <c r="H570" s="35"/>
      <c r="I570" s="42"/>
      <c r="J570" s="35"/>
      <c r="K570" s="35"/>
      <c r="L570" s="87"/>
      <c r="M570" s="22"/>
      <c r="N570" s="89"/>
      <c r="O570" s="35"/>
      <c r="P570" s="37"/>
      <c r="Q570" s="35"/>
      <c r="R570" s="41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</row>
    <row r="571" spans="1:41" ht="13.8" x14ac:dyDescent="0.25">
      <c r="A571" s="22"/>
      <c r="B571" s="91"/>
      <c r="C571" s="45"/>
      <c r="D571" s="95"/>
      <c r="E571" s="39"/>
      <c r="F571" s="94"/>
      <c r="G571" s="44"/>
      <c r="H571" s="35"/>
      <c r="I571" s="42"/>
      <c r="J571" s="35"/>
      <c r="K571" s="35"/>
      <c r="L571" s="87"/>
      <c r="M571" s="22"/>
      <c r="N571" s="89"/>
      <c r="O571" s="35"/>
      <c r="P571" s="37"/>
      <c r="Q571" s="35"/>
      <c r="R571" s="41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</row>
    <row r="572" spans="1:41" ht="13.8" x14ac:dyDescent="0.25">
      <c r="A572" s="22"/>
      <c r="B572" s="91"/>
      <c r="C572" s="45"/>
      <c r="D572" s="95"/>
      <c r="E572" s="39"/>
      <c r="F572" s="94"/>
      <c r="G572" s="44"/>
      <c r="H572" s="35"/>
      <c r="I572" s="42"/>
      <c r="J572" s="35"/>
      <c r="K572" s="35"/>
      <c r="L572" s="87"/>
      <c r="M572" s="22"/>
      <c r="N572" s="89"/>
      <c r="O572" s="35"/>
      <c r="P572" s="37"/>
      <c r="Q572" s="35"/>
      <c r="R572" s="41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</row>
    <row r="573" spans="1:41" ht="13.8" x14ac:dyDescent="0.25">
      <c r="A573" s="22"/>
      <c r="B573" s="91"/>
      <c r="C573" s="45"/>
      <c r="D573" s="95"/>
      <c r="E573" s="39"/>
      <c r="F573" s="94"/>
      <c r="G573" s="44"/>
      <c r="H573" s="35"/>
      <c r="I573" s="42"/>
      <c r="J573" s="35"/>
      <c r="K573" s="35"/>
      <c r="L573" s="87"/>
      <c r="M573" s="22"/>
      <c r="N573" s="89"/>
      <c r="O573" s="35"/>
      <c r="P573" s="37"/>
      <c r="Q573" s="35"/>
      <c r="R573" s="41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</row>
    <row r="574" spans="1:41" ht="13.8" x14ac:dyDescent="0.25">
      <c r="A574" s="22"/>
      <c r="B574" s="91"/>
      <c r="C574" s="45"/>
      <c r="D574" s="95"/>
      <c r="E574" s="39"/>
      <c r="F574" s="94"/>
      <c r="G574" s="44"/>
      <c r="H574" s="35"/>
      <c r="I574" s="42"/>
      <c r="J574" s="35"/>
      <c r="K574" s="35"/>
      <c r="L574" s="87"/>
      <c r="M574" s="22"/>
      <c r="N574" s="89"/>
      <c r="O574" s="35"/>
      <c r="P574" s="37"/>
      <c r="Q574" s="35"/>
      <c r="R574" s="41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</row>
    <row r="575" spans="1:41" ht="13.8" x14ac:dyDescent="0.25">
      <c r="A575" s="22"/>
      <c r="B575" s="91"/>
      <c r="C575" s="45"/>
      <c r="D575" s="95"/>
      <c r="E575" s="39"/>
      <c r="F575" s="94"/>
      <c r="G575" s="44"/>
      <c r="H575" s="35"/>
      <c r="I575" s="42"/>
      <c r="J575" s="35"/>
      <c r="K575" s="35"/>
      <c r="L575" s="87"/>
      <c r="M575" s="22"/>
      <c r="N575" s="89"/>
      <c r="O575" s="35"/>
      <c r="P575" s="37"/>
      <c r="Q575" s="35"/>
      <c r="R575" s="41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</row>
    <row r="576" spans="1:41" ht="13.8" x14ac:dyDescent="0.25">
      <c r="A576" s="22"/>
      <c r="B576" s="91"/>
      <c r="C576" s="45"/>
      <c r="D576" s="95"/>
      <c r="E576" s="39"/>
      <c r="F576" s="94"/>
      <c r="G576" s="44"/>
      <c r="H576" s="35"/>
      <c r="I576" s="42"/>
      <c r="J576" s="35"/>
      <c r="K576" s="35"/>
      <c r="L576" s="87"/>
      <c r="M576" s="22"/>
      <c r="N576" s="89"/>
      <c r="O576" s="35"/>
      <c r="P576" s="37"/>
      <c r="Q576" s="35"/>
      <c r="R576" s="41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</row>
    <row r="577" spans="1:41" ht="13.8" x14ac:dyDescent="0.25">
      <c r="A577" s="22"/>
      <c r="B577" s="91"/>
      <c r="C577" s="45"/>
      <c r="D577" s="95"/>
      <c r="E577" s="39"/>
      <c r="F577" s="94"/>
      <c r="G577" s="44"/>
      <c r="H577" s="35"/>
      <c r="I577" s="42"/>
      <c r="J577" s="35"/>
      <c r="K577" s="35"/>
      <c r="L577" s="87"/>
      <c r="M577" s="22"/>
      <c r="N577" s="89"/>
      <c r="O577" s="35"/>
      <c r="P577" s="37"/>
      <c r="Q577" s="35"/>
      <c r="R577" s="41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</row>
    <row r="578" spans="1:41" ht="13.8" x14ac:dyDescent="0.25">
      <c r="A578" s="22"/>
      <c r="B578" s="91"/>
      <c r="C578" s="45"/>
      <c r="D578" s="95"/>
      <c r="E578" s="39"/>
      <c r="F578" s="94"/>
      <c r="G578" s="44"/>
      <c r="H578" s="35"/>
      <c r="I578" s="42"/>
      <c r="J578" s="35"/>
      <c r="K578" s="35"/>
      <c r="L578" s="87"/>
      <c r="M578" s="22"/>
      <c r="N578" s="89"/>
      <c r="O578" s="35"/>
      <c r="P578" s="37"/>
      <c r="Q578" s="35"/>
      <c r="R578" s="41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</row>
    <row r="579" spans="1:41" ht="13.8" x14ac:dyDescent="0.25">
      <c r="A579" s="22"/>
      <c r="B579" s="91"/>
      <c r="C579" s="45"/>
      <c r="D579" s="95"/>
      <c r="E579" s="39"/>
      <c r="F579" s="94"/>
      <c r="G579" s="44"/>
      <c r="H579" s="35"/>
      <c r="I579" s="42"/>
      <c r="J579" s="35"/>
      <c r="K579" s="35"/>
      <c r="L579" s="87"/>
      <c r="M579" s="22"/>
      <c r="N579" s="89"/>
      <c r="O579" s="35"/>
      <c r="P579" s="37"/>
      <c r="Q579" s="35"/>
      <c r="R579" s="41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</row>
    <row r="580" spans="1:41" ht="13.8" x14ac:dyDescent="0.25">
      <c r="A580" s="22"/>
      <c r="B580" s="91"/>
      <c r="C580" s="45"/>
      <c r="D580" s="95"/>
      <c r="E580" s="39"/>
      <c r="F580" s="94"/>
      <c r="G580" s="44"/>
      <c r="H580" s="35"/>
      <c r="I580" s="42"/>
      <c r="J580" s="35"/>
      <c r="K580" s="35"/>
      <c r="L580" s="87"/>
      <c r="M580" s="22"/>
      <c r="N580" s="89"/>
      <c r="O580" s="35"/>
      <c r="P580" s="37"/>
      <c r="Q580" s="35"/>
      <c r="R580" s="41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</row>
    <row r="581" spans="1:41" ht="13.8" x14ac:dyDescent="0.25">
      <c r="A581" s="22"/>
      <c r="B581" s="91"/>
      <c r="C581" s="45"/>
      <c r="D581" s="95"/>
      <c r="E581" s="39"/>
      <c r="F581" s="94"/>
      <c r="G581" s="44"/>
      <c r="H581" s="35"/>
      <c r="I581" s="42"/>
      <c r="J581" s="35"/>
      <c r="K581" s="35"/>
      <c r="L581" s="87"/>
      <c r="M581" s="22"/>
      <c r="N581" s="89"/>
      <c r="O581" s="35"/>
      <c r="P581" s="37"/>
      <c r="Q581" s="35"/>
      <c r="R581" s="41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</row>
    <row r="582" spans="1:41" ht="13.8" x14ac:dyDescent="0.25">
      <c r="A582" s="22"/>
      <c r="B582" s="91"/>
      <c r="C582" s="45"/>
      <c r="D582" s="95"/>
      <c r="E582" s="39"/>
      <c r="F582" s="94"/>
      <c r="G582" s="44"/>
      <c r="H582" s="35"/>
      <c r="I582" s="42"/>
      <c r="J582" s="35"/>
      <c r="K582" s="35"/>
      <c r="L582" s="87"/>
      <c r="M582" s="22"/>
      <c r="N582" s="89"/>
      <c r="O582" s="35"/>
      <c r="P582" s="37"/>
      <c r="Q582" s="35"/>
      <c r="R582" s="41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</row>
    <row r="583" spans="1:41" ht="13.8" x14ac:dyDescent="0.25">
      <c r="A583" s="22"/>
      <c r="B583" s="91"/>
      <c r="C583" s="45"/>
      <c r="D583" s="95"/>
      <c r="E583" s="39"/>
      <c r="F583" s="94"/>
      <c r="G583" s="44"/>
      <c r="H583" s="35"/>
      <c r="I583" s="42"/>
      <c r="J583" s="35"/>
      <c r="K583" s="35"/>
      <c r="L583" s="87"/>
      <c r="M583" s="22"/>
      <c r="N583" s="89"/>
      <c r="O583" s="35"/>
      <c r="P583" s="37"/>
      <c r="Q583" s="35"/>
      <c r="R583" s="41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</row>
    <row r="584" spans="1:41" ht="13.8" x14ac:dyDescent="0.25">
      <c r="A584" s="22"/>
      <c r="B584" s="91"/>
      <c r="C584" s="45"/>
      <c r="D584" s="95"/>
      <c r="E584" s="39"/>
      <c r="F584" s="94"/>
      <c r="G584" s="44"/>
      <c r="H584" s="35"/>
      <c r="I584" s="42"/>
      <c r="J584" s="35"/>
      <c r="K584" s="35"/>
      <c r="L584" s="87"/>
      <c r="M584" s="22"/>
      <c r="N584" s="89"/>
      <c r="O584" s="35"/>
      <c r="P584" s="37"/>
      <c r="Q584" s="35"/>
      <c r="R584" s="41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</row>
    <row r="585" spans="1:41" ht="13.8" x14ac:dyDescent="0.25">
      <c r="A585" s="22"/>
      <c r="B585" s="91"/>
      <c r="C585" s="45"/>
      <c r="D585" s="95"/>
      <c r="E585" s="39"/>
      <c r="F585" s="94"/>
      <c r="G585" s="44"/>
      <c r="H585" s="35"/>
      <c r="I585" s="42"/>
      <c r="J585" s="35"/>
      <c r="K585" s="35"/>
      <c r="L585" s="87"/>
      <c r="M585" s="22"/>
      <c r="N585" s="89"/>
      <c r="O585" s="35"/>
      <c r="P585" s="37"/>
      <c r="Q585" s="35"/>
      <c r="R585" s="41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</row>
    <row r="586" spans="1:41" ht="13.8" x14ac:dyDescent="0.25">
      <c r="A586" s="22"/>
      <c r="B586" s="91"/>
      <c r="C586" s="45"/>
      <c r="D586" s="95"/>
      <c r="E586" s="39"/>
      <c r="F586" s="94"/>
      <c r="G586" s="44"/>
      <c r="H586" s="35"/>
      <c r="I586" s="42"/>
      <c r="J586" s="35"/>
      <c r="K586" s="35"/>
      <c r="L586" s="87"/>
      <c r="M586" s="22"/>
      <c r="N586" s="89"/>
      <c r="O586" s="35"/>
      <c r="P586" s="37"/>
      <c r="Q586" s="35"/>
      <c r="R586" s="41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</row>
    <row r="587" spans="1:41" ht="13.8" x14ac:dyDescent="0.25">
      <c r="A587" s="22"/>
      <c r="B587" s="91"/>
      <c r="C587" s="45"/>
      <c r="D587" s="95"/>
      <c r="E587" s="39"/>
      <c r="F587" s="94"/>
      <c r="G587" s="44"/>
      <c r="H587" s="35"/>
      <c r="I587" s="42"/>
      <c r="J587" s="35"/>
      <c r="K587" s="35"/>
      <c r="L587" s="87"/>
      <c r="M587" s="22"/>
      <c r="N587" s="89"/>
      <c r="O587" s="35"/>
      <c r="P587" s="37"/>
      <c r="Q587" s="35"/>
      <c r="R587" s="41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</row>
    <row r="588" spans="1:41" ht="13.8" x14ac:dyDescent="0.25">
      <c r="A588" s="22"/>
      <c r="B588" s="91"/>
      <c r="C588" s="45"/>
      <c r="D588" s="95"/>
      <c r="E588" s="39"/>
      <c r="F588" s="94"/>
      <c r="G588" s="44"/>
      <c r="H588" s="35"/>
      <c r="I588" s="42"/>
      <c r="J588" s="35"/>
      <c r="K588" s="35"/>
      <c r="L588" s="87"/>
      <c r="M588" s="22"/>
      <c r="N588" s="89"/>
      <c r="O588" s="35"/>
      <c r="P588" s="37"/>
      <c r="Q588" s="35"/>
      <c r="R588" s="41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</row>
    <row r="589" spans="1:41" ht="13.8" x14ac:dyDescent="0.25">
      <c r="A589" s="22"/>
      <c r="B589" s="91"/>
      <c r="C589" s="45"/>
      <c r="D589" s="95"/>
      <c r="E589" s="39"/>
      <c r="F589" s="94"/>
      <c r="G589" s="44"/>
      <c r="H589" s="35"/>
      <c r="I589" s="42"/>
      <c r="J589" s="35"/>
      <c r="K589" s="35"/>
      <c r="L589" s="87"/>
      <c r="M589" s="22"/>
      <c r="N589" s="89"/>
      <c r="O589" s="35"/>
      <c r="P589" s="37"/>
      <c r="Q589" s="35"/>
      <c r="R589" s="41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</row>
    <row r="590" spans="1:41" ht="13.8" x14ac:dyDescent="0.25">
      <c r="A590" s="22"/>
      <c r="B590" s="91"/>
      <c r="C590" s="45"/>
      <c r="D590" s="95"/>
      <c r="E590" s="39"/>
      <c r="F590" s="94"/>
      <c r="G590" s="44"/>
      <c r="H590" s="35"/>
      <c r="I590" s="42"/>
      <c r="J590" s="35"/>
      <c r="K590" s="35"/>
      <c r="L590" s="87"/>
      <c r="M590" s="22"/>
      <c r="N590" s="89"/>
      <c r="O590" s="35"/>
      <c r="P590" s="37"/>
      <c r="Q590" s="35"/>
      <c r="R590" s="41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</row>
    <row r="591" spans="1:41" ht="13.8" x14ac:dyDescent="0.25">
      <c r="A591" s="22"/>
      <c r="B591" s="91"/>
      <c r="C591" s="45"/>
      <c r="D591" s="95"/>
      <c r="E591" s="39"/>
      <c r="F591" s="94"/>
      <c r="G591" s="44"/>
      <c r="H591" s="35"/>
      <c r="I591" s="42"/>
      <c r="J591" s="35"/>
      <c r="K591" s="35"/>
      <c r="L591" s="87"/>
      <c r="M591" s="22"/>
      <c r="N591" s="89"/>
      <c r="O591" s="35"/>
      <c r="P591" s="37"/>
      <c r="Q591" s="35"/>
      <c r="R591" s="41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</row>
    <row r="592" spans="1:41" ht="13.8" x14ac:dyDescent="0.25">
      <c r="A592" s="22"/>
      <c r="B592" s="91"/>
      <c r="C592" s="45"/>
      <c r="D592" s="95"/>
      <c r="E592" s="39"/>
      <c r="F592" s="94"/>
      <c r="G592" s="44"/>
      <c r="H592" s="35"/>
      <c r="I592" s="42"/>
      <c r="J592" s="35"/>
      <c r="K592" s="35"/>
      <c r="L592" s="87"/>
      <c r="M592" s="22"/>
      <c r="N592" s="89"/>
      <c r="O592" s="35"/>
      <c r="P592" s="37"/>
      <c r="Q592" s="35"/>
      <c r="R592" s="41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</row>
    <row r="593" spans="1:41" ht="13.8" x14ac:dyDescent="0.25">
      <c r="A593" s="22"/>
      <c r="B593" s="91"/>
      <c r="C593" s="45"/>
      <c r="D593" s="95"/>
      <c r="E593" s="39"/>
      <c r="F593" s="94"/>
      <c r="G593" s="44"/>
      <c r="H593" s="35"/>
      <c r="I593" s="42"/>
      <c r="J593" s="35"/>
      <c r="K593" s="35"/>
      <c r="L593" s="87"/>
      <c r="M593" s="22"/>
      <c r="N593" s="89"/>
      <c r="O593" s="35"/>
      <c r="P593" s="37"/>
      <c r="Q593" s="35"/>
      <c r="R593" s="41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</row>
    <row r="594" spans="1:41" ht="13.8" x14ac:dyDescent="0.25">
      <c r="A594" s="22"/>
      <c r="B594" s="91"/>
      <c r="C594" s="45"/>
      <c r="D594" s="95"/>
      <c r="E594" s="39"/>
      <c r="F594" s="94"/>
      <c r="G594" s="44"/>
      <c r="H594" s="35"/>
      <c r="I594" s="42"/>
      <c r="J594" s="35"/>
      <c r="K594" s="35"/>
      <c r="L594" s="87"/>
      <c r="M594" s="22"/>
      <c r="N594" s="89"/>
      <c r="O594" s="35"/>
      <c r="P594" s="37"/>
      <c r="Q594" s="35"/>
      <c r="R594" s="41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</row>
    <row r="595" spans="1:41" ht="13.8" x14ac:dyDescent="0.25">
      <c r="A595" s="22"/>
      <c r="B595" s="91"/>
      <c r="C595" s="45"/>
      <c r="D595" s="95"/>
      <c r="E595" s="39"/>
      <c r="F595" s="94"/>
      <c r="G595" s="44"/>
      <c r="H595" s="35"/>
      <c r="I595" s="42"/>
      <c r="J595" s="35"/>
      <c r="K595" s="35"/>
      <c r="L595" s="87"/>
      <c r="M595" s="22"/>
      <c r="N595" s="89"/>
      <c r="O595" s="35"/>
      <c r="P595" s="37"/>
      <c r="Q595" s="35"/>
      <c r="R595" s="41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</row>
    <row r="596" spans="1:41" ht="13.8" x14ac:dyDescent="0.25">
      <c r="A596" s="22"/>
      <c r="B596" s="91"/>
      <c r="C596" s="45"/>
      <c r="D596" s="95"/>
      <c r="E596" s="39"/>
      <c r="F596" s="94"/>
      <c r="G596" s="44"/>
      <c r="H596" s="35"/>
      <c r="I596" s="42"/>
      <c r="J596" s="35"/>
      <c r="K596" s="35"/>
      <c r="L596" s="87"/>
      <c r="M596" s="22"/>
      <c r="N596" s="89"/>
      <c r="O596" s="35"/>
      <c r="P596" s="37"/>
      <c r="Q596" s="35"/>
      <c r="R596" s="41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</row>
    <row r="597" spans="1:41" ht="13.8" x14ac:dyDescent="0.25">
      <c r="A597" s="22"/>
      <c r="B597" s="91"/>
      <c r="C597" s="45"/>
      <c r="D597" s="95"/>
      <c r="E597" s="39"/>
      <c r="F597" s="94"/>
      <c r="G597" s="44"/>
      <c r="H597" s="35"/>
      <c r="I597" s="42"/>
      <c r="J597" s="35"/>
      <c r="K597" s="35"/>
      <c r="L597" s="87"/>
      <c r="M597" s="22"/>
      <c r="N597" s="89"/>
      <c r="O597" s="35"/>
      <c r="P597" s="37"/>
      <c r="Q597" s="35"/>
      <c r="R597" s="41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</row>
    <row r="598" spans="1:41" ht="13.8" x14ac:dyDescent="0.25">
      <c r="A598" s="22"/>
      <c r="B598" s="91"/>
      <c r="C598" s="45"/>
      <c r="D598" s="95"/>
      <c r="E598" s="39"/>
      <c r="F598" s="94"/>
      <c r="G598" s="44"/>
      <c r="H598" s="35"/>
      <c r="I598" s="42"/>
      <c r="J598" s="35"/>
      <c r="K598" s="35"/>
      <c r="L598" s="87"/>
      <c r="M598" s="22"/>
      <c r="N598" s="89"/>
      <c r="O598" s="35"/>
      <c r="P598" s="37"/>
      <c r="Q598" s="35"/>
      <c r="R598" s="41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</row>
    <row r="599" spans="1:41" ht="13.8" x14ac:dyDescent="0.25">
      <c r="A599" s="22"/>
      <c r="B599" s="91"/>
      <c r="C599" s="45"/>
      <c r="D599" s="95"/>
      <c r="E599" s="39"/>
      <c r="F599" s="94"/>
      <c r="G599" s="44"/>
      <c r="H599" s="35"/>
      <c r="I599" s="42"/>
      <c r="J599" s="35"/>
      <c r="K599" s="35"/>
      <c r="L599" s="87"/>
      <c r="M599" s="22"/>
      <c r="N599" s="89"/>
      <c r="O599" s="35"/>
      <c r="P599" s="37"/>
      <c r="Q599" s="35"/>
      <c r="R599" s="41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</row>
    <row r="600" spans="1:41" ht="13.8" x14ac:dyDescent="0.25">
      <c r="A600" s="22"/>
      <c r="B600" s="91"/>
      <c r="C600" s="45"/>
      <c r="D600" s="95"/>
      <c r="E600" s="39"/>
      <c r="F600" s="94"/>
      <c r="G600" s="44"/>
      <c r="H600" s="35"/>
      <c r="I600" s="42"/>
      <c r="J600" s="35"/>
      <c r="K600" s="35"/>
      <c r="L600" s="87"/>
      <c r="M600" s="22"/>
      <c r="N600" s="89"/>
      <c r="O600" s="35"/>
      <c r="P600" s="37"/>
      <c r="Q600" s="35"/>
      <c r="R600" s="41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</row>
    <row r="601" spans="1:41" ht="13.8" x14ac:dyDescent="0.25">
      <c r="A601" s="22"/>
      <c r="B601" s="91"/>
      <c r="C601" s="45"/>
      <c r="D601" s="95"/>
      <c r="E601" s="39"/>
      <c r="F601" s="94"/>
      <c r="G601" s="44"/>
      <c r="H601" s="35"/>
      <c r="I601" s="42"/>
      <c r="J601" s="35"/>
      <c r="K601" s="35"/>
      <c r="L601" s="87"/>
      <c r="M601" s="22"/>
      <c r="N601" s="89"/>
      <c r="O601" s="35"/>
      <c r="P601" s="37"/>
      <c r="Q601" s="35"/>
      <c r="R601" s="41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</row>
    <row r="602" spans="1:41" ht="13.8" x14ac:dyDescent="0.25">
      <c r="A602" s="22"/>
      <c r="B602" s="91"/>
      <c r="C602" s="45"/>
      <c r="D602" s="95"/>
      <c r="E602" s="39"/>
      <c r="F602" s="94"/>
      <c r="G602" s="44"/>
      <c r="H602" s="35"/>
      <c r="I602" s="42"/>
      <c r="J602" s="35"/>
      <c r="K602" s="35"/>
      <c r="L602" s="87"/>
      <c r="M602" s="22"/>
      <c r="N602" s="89"/>
      <c r="O602" s="35"/>
      <c r="P602" s="37"/>
      <c r="Q602" s="35"/>
      <c r="R602" s="41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</row>
    <row r="603" spans="1:41" ht="13.8" x14ac:dyDescent="0.25">
      <c r="A603" s="22"/>
      <c r="B603" s="91"/>
      <c r="C603" s="45"/>
      <c r="D603" s="95"/>
      <c r="E603" s="39"/>
      <c r="F603" s="94"/>
      <c r="G603" s="44"/>
      <c r="H603" s="35"/>
      <c r="I603" s="42"/>
      <c r="J603" s="35"/>
      <c r="K603" s="35"/>
      <c r="L603" s="87"/>
      <c r="M603" s="22"/>
      <c r="N603" s="89"/>
      <c r="O603" s="35"/>
      <c r="P603" s="37"/>
      <c r="Q603" s="35"/>
      <c r="R603" s="41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</row>
    <row r="604" spans="1:41" ht="13.8" x14ac:dyDescent="0.25">
      <c r="A604" s="22"/>
      <c r="B604" s="91"/>
      <c r="C604" s="45"/>
      <c r="D604" s="95"/>
      <c r="E604" s="39"/>
      <c r="F604" s="94"/>
      <c r="G604" s="44"/>
      <c r="H604" s="35"/>
      <c r="I604" s="42"/>
      <c r="J604" s="35"/>
      <c r="K604" s="35"/>
      <c r="L604" s="87"/>
      <c r="M604" s="22"/>
      <c r="N604" s="89"/>
      <c r="O604" s="35"/>
      <c r="P604" s="37"/>
      <c r="Q604" s="35"/>
      <c r="R604" s="41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</row>
    <row r="605" spans="1:41" ht="13.8" x14ac:dyDescent="0.25">
      <c r="A605" s="22"/>
      <c r="B605" s="91"/>
      <c r="C605" s="45"/>
      <c r="D605" s="95"/>
      <c r="E605" s="39"/>
      <c r="F605" s="94"/>
      <c r="G605" s="44"/>
      <c r="H605" s="35"/>
      <c r="I605" s="42"/>
      <c r="J605" s="35"/>
      <c r="K605" s="35"/>
      <c r="L605" s="87"/>
      <c r="M605" s="22"/>
      <c r="N605" s="89"/>
      <c r="O605" s="35"/>
      <c r="P605" s="37"/>
      <c r="Q605" s="35"/>
      <c r="R605" s="41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</row>
    <row r="606" spans="1:41" ht="13.8" x14ac:dyDescent="0.25">
      <c r="A606" s="22"/>
      <c r="B606" s="91"/>
      <c r="C606" s="45"/>
      <c r="D606" s="95"/>
      <c r="E606" s="39"/>
      <c r="F606" s="94"/>
      <c r="G606" s="44"/>
      <c r="H606" s="35"/>
      <c r="I606" s="42"/>
      <c r="J606" s="35"/>
      <c r="K606" s="35"/>
      <c r="L606" s="87"/>
      <c r="M606" s="22"/>
      <c r="N606" s="89"/>
      <c r="O606" s="35"/>
      <c r="P606" s="37"/>
      <c r="Q606" s="35"/>
      <c r="R606" s="41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</row>
    <row r="607" spans="1:41" ht="13.8" x14ac:dyDescent="0.25">
      <c r="A607" s="22"/>
      <c r="B607" s="91"/>
      <c r="C607" s="45"/>
      <c r="D607" s="95"/>
      <c r="E607" s="39"/>
      <c r="F607" s="94"/>
      <c r="G607" s="44"/>
      <c r="H607" s="35"/>
      <c r="I607" s="42"/>
      <c r="J607" s="35"/>
      <c r="K607" s="35"/>
      <c r="L607" s="87"/>
      <c r="M607" s="22"/>
      <c r="N607" s="89"/>
      <c r="O607" s="35"/>
      <c r="P607" s="37"/>
      <c r="Q607" s="35"/>
      <c r="R607" s="41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</row>
    <row r="608" spans="1:41" ht="13.8" x14ac:dyDescent="0.25">
      <c r="A608" s="22"/>
      <c r="B608" s="91"/>
      <c r="C608" s="45"/>
      <c r="D608" s="95"/>
      <c r="E608" s="39"/>
      <c r="F608" s="94"/>
      <c r="G608" s="44"/>
      <c r="H608" s="35"/>
      <c r="I608" s="42"/>
      <c r="J608" s="35"/>
      <c r="K608" s="35"/>
      <c r="L608" s="87"/>
      <c r="M608" s="22"/>
      <c r="N608" s="89"/>
      <c r="O608" s="35"/>
      <c r="P608" s="37"/>
      <c r="Q608" s="35"/>
      <c r="R608" s="41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</row>
    <row r="609" spans="1:41" ht="13.8" x14ac:dyDescent="0.25">
      <c r="A609" s="22"/>
      <c r="B609" s="91"/>
      <c r="C609" s="45"/>
      <c r="D609" s="95"/>
      <c r="E609" s="39"/>
      <c r="F609" s="94"/>
      <c r="G609" s="44"/>
      <c r="H609" s="35"/>
      <c r="I609" s="42"/>
      <c r="J609" s="35"/>
      <c r="K609" s="35"/>
      <c r="L609" s="87"/>
      <c r="M609" s="22"/>
      <c r="N609" s="89"/>
      <c r="O609" s="35"/>
      <c r="P609" s="37"/>
      <c r="Q609" s="35"/>
      <c r="R609" s="41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</row>
    <row r="610" spans="1:41" ht="13.8" x14ac:dyDescent="0.25">
      <c r="A610" s="22"/>
      <c r="B610" s="91"/>
      <c r="C610" s="45"/>
      <c r="D610" s="95"/>
      <c r="E610" s="39"/>
      <c r="F610" s="94"/>
      <c r="G610" s="44"/>
      <c r="H610" s="35"/>
      <c r="I610" s="42"/>
      <c r="J610" s="35"/>
      <c r="K610" s="35"/>
      <c r="L610" s="87"/>
      <c r="M610" s="22"/>
      <c r="N610" s="89"/>
      <c r="O610" s="35"/>
      <c r="P610" s="37"/>
      <c r="Q610" s="35"/>
      <c r="R610" s="41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</row>
    <row r="611" spans="1:41" ht="13.8" x14ac:dyDescent="0.25">
      <c r="A611" s="22"/>
      <c r="B611" s="91"/>
      <c r="C611" s="45"/>
      <c r="D611" s="95"/>
      <c r="E611" s="39"/>
      <c r="F611" s="94"/>
      <c r="G611" s="44"/>
      <c r="H611" s="35"/>
      <c r="I611" s="42"/>
      <c r="J611" s="35"/>
      <c r="K611" s="35"/>
      <c r="L611" s="87"/>
      <c r="M611" s="22"/>
      <c r="N611" s="89"/>
      <c r="O611" s="35"/>
      <c r="P611" s="37"/>
      <c r="Q611" s="35"/>
      <c r="R611" s="41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</row>
    <row r="612" spans="1:41" ht="13.8" x14ac:dyDescent="0.25">
      <c r="A612" s="22"/>
      <c r="B612" s="91"/>
      <c r="C612" s="45"/>
      <c r="D612" s="95"/>
      <c r="E612" s="39"/>
      <c r="F612" s="94"/>
      <c r="G612" s="44"/>
      <c r="H612" s="35"/>
      <c r="I612" s="42"/>
      <c r="J612" s="35"/>
      <c r="K612" s="35"/>
      <c r="L612" s="87"/>
      <c r="M612" s="22"/>
      <c r="N612" s="89"/>
      <c r="O612" s="35"/>
      <c r="P612" s="37"/>
      <c r="Q612" s="35"/>
      <c r="R612" s="41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</row>
    <row r="613" spans="1:41" ht="13.8" x14ac:dyDescent="0.25">
      <c r="A613" s="22"/>
      <c r="B613" s="91"/>
      <c r="C613" s="45"/>
      <c r="D613" s="95"/>
      <c r="E613" s="39"/>
      <c r="F613" s="94"/>
      <c r="G613" s="44"/>
      <c r="H613" s="35"/>
      <c r="I613" s="42"/>
      <c r="J613" s="35"/>
      <c r="K613" s="35"/>
      <c r="L613" s="87"/>
      <c r="M613" s="22"/>
      <c r="N613" s="89"/>
      <c r="O613" s="35"/>
      <c r="P613" s="37"/>
      <c r="Q613" s="35"/>
      <c r="R613" s="41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</row>
    <row r="614" spans="1:41" ht="13.8" x14ac:dyDescent="0.25">
      <c r="A614" s="22"/>
      <c r="B614" s="91"/>
      <c r="C614" s="45"/>
      <c r="D614" s="95"/>
      <c r="E614" s="39"/>
      <c r="F614" s="94"/>
      <c r="G614" s="44"/>
      <c r="H614" s="35"/>
      <c r="I614" s="42"/>
      <c r="J614" s="35"/>
      <c r="K614" s="35"/>
      <c r="L614" s="87"/>
      <c r="M614" s="22"/>
      <c r="N614" s="89"/>
      <c r="O614" s="35"/>
      <c r="P614" s="37"/>
      <c r="Q614" s="35"/>
      <c r="R614" s="41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</row>
    <row r="615" spans="1:41" ht="13.8" x14ac:dyDescent="0.25">
      <c r="A615" s="22"/>
      <c r="B615" s="91"/>
      <c r="C615" s="45"/>
      <c r="D615" s="95"/>
      <c r="E615" s="39"/>
      <c r="F615" s="94"/>
      <c r="G615" s="44"/>
      <c r="H615" s="35"/>
      <c r="I615" s="42"/>
      <c r="J615" s="35"/>
      <c r="K615" s="35"/>
      <c r="L615" s="87"/>
      <c r="M615" s="22"/>
      <c r="N615" s="89"/>
      <c r="O615" s="35"/>
      <c r="P615" s="37"/>
      <c r="Q615" s="35"/>
      <c r="R615" s="41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</row>
    <row r="616" spans="1:41" ht="13.8" x14ac:dyDescent="0.25">
      <c r="A616" s="22"/>
      <c r="B616" s="91"/>
      <c r="C616" s="45"/>
      <c r="D616" s="95"/>
      <c r="E616" s="39"/>
      <c r="F616" s="94"/>
      <c r="G616" s="44"/>
      <c r="H616" s="35"/>
      <c r="I616" s="42"/>
      <c r="J616" s="35"/>
      <c r="K616" s="35"/>
      <c r="L616" s="87"/>
      <c r="M616" s="22"/>
      <c r="N616" s="89"/>
      <c r="O616" s="35"/>
      <c r="P616" s="37"/>
      <c r="Q616" s="35"/>
      <c r="R616" s="41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</row>
    <row r="617" spans="1:41" ht="13.8" x14ac:dyDescent="0.25">
      <c r="A617" s="22"/>
      <c r="B617" s="91"/>
      <c r="C617" s="45"/>
      <c r="D617" s="95"/>
      <c r="E617" s="39"/>
      <c r="F617" s="94"/>
      <c r="G617" s="44"/>
      <c r="H617" s="35"/>
      <c r="I617" s="42"/>
      <c r="J617" s="35"/>
      <c r="K617" s="35"/>
      <c r="L617" s="87"/>
      <c r="M617" s="22"/>
      <c r="N617" s="89"/>
      <c r="O617" s="35"/>
      <c r="P617" s="37"/>
      <c r="Q617" s="35"/>
      <c r="R617" s="41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</row>
    <row r="618" spans="1:41" ht="13.8" x14ac:dyDescent="0.25">
      <c r="A618" s="22"/>
      <c r="B618" s="91"/>
      <c r="C618" s="45"/>
      <c r="D618" s="95"/>
      <c r="E618" s="39"/>
      <c r="F618" s="94"/>
      <c r="G618" s="44"/>
      <c r="H618" s="35"/>
      <c r="I618" s="42"/>
      <c r="J618" s="35"/>
      <c r="K618" s="35"/>
      <c r="L618" s="87"/>
      <c r="M618" s="22"/>
      <c r="N618" s="89"/>
      <c r="O618" s="35"/>
      <c r="P618" s="37"/>
      <c r="Q618" s="35"/>
      <c r="R618" s="41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</row>
    <row r="619" spans="1:41" ht="13.8" x14ac:dyDescent="0.25">
      <c r="A619" s="22"/>
      <c r="B619" s="91"/>
      <c r="C619" s="45"/>
      <c r="D619" s="95"/>
      <c r="E619" s="39"/>
      <c r="F619" s="94"/>
      <c r="G619" s="44"/>
      <c r="H619" s="35"/>
      <c r="I619" s="42"/>
      <c r="J619" s="35"/>
      <c r="K619" s="35"/>
      <c r="L619" s="87"/>
      <c r="M619" s="22"/>
      <c r="N619" s="89"/>
      <c r="O619" s="35"/>
      <c r="P619" s="37"/>
      <c r="Q619" s="35"/>
      <c r="R619" s="41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</row>
    <row r="620" spans="1:41" ht="13.8" x14ac:dyDescent="0.25">
      <c r="A620" s="22"/>
      <c r="B620" s="91"/>
      <c r="C620" s="45"/>
      <c r="D620" s="95"/>
      <c r="E620" s="39"/>
      <c r="F620" s="94"/>
      <c r="G620" s="44"/>
      <c r="H620" s="35"/>
      <c r="I620" s="42"/>
      <c r="J620" s="35"/>
      <c r="K620" s="35"/>
      <c r="L620" s="87"/>
      <c r="M620" s="22"/>
      <c r="N620" s="89"/>
      <c r="O620" s="35"/>
      <c r="P620" s="37"/>
      <c r="Q620" s="35"/>
      <c r="R620" s="41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</row>
    <row r="621" spans="1:41" ht="13.8" x14ac:dyDescent="0.25">
      <c r="A621" s="22"/>
      <c r="B621" s="91"/>
      <c r="C621" s="45"/>
      <c r="D621" s="95"/>
      <c r="E621" s="39"/>
      <c r="F621" s="94"/>
      <c r="G621" s="44"/>
      <c r="H621" s="35"/>
      <c r="I621" s="42"/>
      <c r="J621" s="35"/>
      <c r="K621" s="35"/>
      <c r="L621" s="87"/>
      <c r="M621" s="22"/>
      <c r="N621" s="89"/>
      <c r="O621" s="35"/>
      <c r="P621" s="37"/>
      <c r="Q621" s="35"/>
      <c r="R621" s="41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</row>
    <row r="622" spans="1:41" ht="13.8" x14ac:dyDescent="0.25">
      <c r="A622" s="22"/>
      <c r="B622" s="91"/>
      <c r="C622" s="45"/>
      <c r="D622" s="95"/>
      <c r="E622" s="39"/>
      <c r="F622" s="94"/>
      <c r="G622" s="44"/>
      <c r="H622" s="35"/>
      <c r="I622" s="42"/>
      <c r="J622" s="35"/>
      <c r="K622" s="35"/>
      <c r="L622" s="87"/>
      <c r="M622" s="22"/>
      <c r="N622" s="89"/>
      <c r="O622" s="35"/>
      <c r="P622" s="37"/>
      <c r="Q622" s="35"/>
      <c r="R622" s="41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</row>
    <row r="623" spans="1:41" ht="13.8" x14ac:dyDescent="0.25">
      <c r="A623" s="22"/>
      <c r="B623" s="91"/>
      <c r="C623" s="45"/>
      <c r="D623" s="95"/>
      <c r="E623" s="39"/>
      <c r="F623" s="94"/>
      <c r="G623" s="44"/>
      <c r="H623" s="35"/>
      <c r="I623" s="42"/>
      <c r="J623" s="35"/>
      <c r="K623" s="35"/>
      <c r="L623" s="87"/>
      <c r="M623" s="22"/>
      <c r="N623" s="89"/>
      <c r="O623" s="35"/>
      <c r="P623" s="37"/>
      <c r="Q623" s="35"/>
      <c r="R623" s="41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</row>
    <row r="624" spans="1:41" ht="13.8" x14ac:dyDescent="0.25">
      <c r="A624" s="22"/>
      <c r="B624" s="91"/>
      <c r="C624" s="45"/>
      <c r="D624" s="95"/>
      <c r="E624" s="39"/>
      <c r="F624" s="94"/>
      <c r="G624" s="44"/>
      <c r="H624" s="35"/>
      <c r="I624" s="42"/>
      <c r="J624" s="35"/>
      <c r="K624" s="35"/>
      <c r="L624" s="87"/>
      <c r="M624" s="22"/>
      <c r="N624" s="89"/>
      <c r="O624" s="35"/>
      <c r="P624" s="37"/>
      <c r="Q624" s="35"/>
      <c r="R624" s="41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</row>
    <row r="625" spans="1:41" ht="13.8" x14ac:dyDescent="0.25">
      <c r="A625" s="22"/>
      <c r="B625" s="91"/>
      <c r="C625" s="45"/>
      <c r="D625" s="95"/>
      <c r="E625" s="39"/>
      <c r="F625" s="94"/>
      <c r="G625" s="44"/>
      <c r="H625" s="35"/>
      <c r="I625" s="42"/>
      <c r="J625" s="35"/>
      <c r="K625" s="35"/>
      <c r="L625" s="87"/>
      <c r="M625" s="22"/>
      <c r="N625" s="89"/>
      <c r="O625" s="35"/>
      <c r="P625" s="37"/>
      <c r="Q625" s="35"/>
      <c r="R625" s="41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</row>
    <row r="626" spans="1:41" ht="13.8" x14ac:dyDescent="0.25">
      <c r="A626" s="22"/>
      <c r="B626" s="91"/>
      <c r="C626" s="45"/>
      <c r="D626" s="95"/>
      <c r="E626" s="39"/>
      <c r="F626" s="94"/>
      <c r="G626" s="44"/>
      <c r="H626" s="35"/>
      <c r="I626" s="42"/>
      <c r="J626" s="35"/>
      <c r="K626" s="35"/>
      <c r="L626" s="87"/>
      <c r="M626" s="22"/>
      <c r="N626" s="89"/>
      <c r="O626" s="35"/>
      <c r="P626" s="37"/>
      <c r="Q626" s="35"/>
      <c r="R626" s="41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</row>
    <row r="627" spans="1:41" ht="13.8" x14ac:dyDescent="0.25">
      <c r="A627" s="22"/>
      <c r="B627" s="91"/>
      <c r="C627" s="45"/>
      <c r="D627" s="95"/>
      <c r="E627" s="39"/>
      <c r="F627" s="94"/>
      <c r="G627" s="44"/>
      <c r="H627" s="35"/>
      <c r="I627" s="42"/>
      <c r="J627" s="35"/>
      <c r="K627" s="35"/>
      <c r="L627" s="87"/>
      <c r="M627" s="22"/>
      <c r="N627" s="89"/>
      <c r="O627" s="35"/>
      <c r="P627" s="37"/>
      <c r="Q627" s="35"/>
      <c r="R627" s="41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</row>
    <row r="628" spans="1:41" ht="13.8" x14ac:dyDescent="0.25">
      <c r="A628" s="22"/>
      <c r="B628" s="91"/>
      <c r="C628" s="45"/>
      <c r="D628" s="95"/>
      <c r="E628" s="39"/>
      <c r="F628" s="94"/>
      <c r="G628" s="44"/>
      <c r="H628" s="35"/>
      <c r="I628" s="42"/>
      <c r="J628" s="35"/>
      <c r="K628" s="35"/>
      <c r="L628" s="87"/>
      <c r="M628" s="22"/>
      <c r="N628" s="89"/>
      <c r="O628" s="35"/>
      <c r="P628" s="37"/>
      <c r="Q628" s="35"/>
      <c r="R628" s="41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</row>
    <row r="629" spans="1:41" ht="13.8" x14ac:dyDescent="0.25">
      <c r="A629" s="22"/>
      <c r="B629" s="91"/>
      <c r="C629" s="45"/>
      <c r="D629" s="95"/>
      <c r="E629" s="39"/>
      <c r="F629" s="94"/>
      <c r="G629" s="44"/>
      <c r="H629" s="35"/>
      <c r="I629" s="42"/>
      <c r="J629" s="35"/>
      <c r="K629" s="35"/>
      <c r="L629" s="87"/>
      <c r="M629" s="22"/>
      <c r="N629" s="89"/>
      <c r="O629" s="35"/>
      <c r="P629" s="37"/>
      <c r="Q629" s="35"/>
      <c r="R629" s="41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</row>
    <row r="630" spans="1:41" ht="13.8" x14ac:dyDescent="0.25">
      <c r="A630" s="22"/>
      <c r="B630" s="91"/>
      <c r="C630" s="45"/>
      <c r="D630" s="95"/>
      <c r="E630" s="39"/>
      <c r="F630" s="94"/>
      <c r="G630" s="44"/>
      <c r="H630" s="35"/>
      <c r="I630" s="42"/>
      <c r="J630" s="35"/>
      <c r="K630" s="35"/>
      <c r="L630" s="87"/>
      <c r="M630" s="22"/>
      <c r="N630" s="89"/>
      <c r="O630" s="35"/>
      <c r="P630" s="37"/>
      <c r="Q630" s="35"/>
      <c r="R630" s="41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</row>
    <row r="631" spans="1:41" ht="13.8" x14ac:dyDescent="0.25">
      <c r="A631" s="22"/>
      <c r="B631" s="91"/>
      <c r="C631" s="45"/>
      <c r="D631" s="95"/>
      <c r="E631" s="39"/>
      <c r="F631" s="94"/>
      <c r="G631" s="44"/>
      <c r="H631" s="35"/>
      <c r="I631" s="42"/>
      <c r="J631" s="35"/>
      <c r="K631" s="35"/>
      <c r="L631" s="87"/>
      <c r="M631" s="22"/>
      <c r="N631" s="89"/>
      <c r="O631" s="35"/>
      <c r="P631" s="37"/>
      <c r="Q631" s="35"/>
      <c r="R631" s="41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</row>
    <row r="632" spans="1:41" ht="13.8" x14ac:dyDescent="0.25">
      <c r="A632" s="22"/>
      <c r="B632" s="91"/>
      <c r="C632" s="45"/>
      <c r="D632" s="95"/>
      <c r="E632" s="39"/>
      <c r="F632" s="94"/>
      <c r="G632" s="44"/>
      <c r="H632" s="35"/>
      <c r="I632" s="42"/>
      <c r="J632" s="35"/>
      <c r="K632" s="35"/>
      <c r="L632" s="87"/>
      <c r="M632" s="22"/>
      <c r="N632" s="89"/>
      <c r="O632" s="35"/>
      <c r="P632" s="37"/>
      <c r="Q632" s="35"/>
      <c r="R632" s="41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</row>
    <row r="633" spans="1:41" ht="13.8" x14ac:dyDescent="0.25">
      <c r="A633" s="22"/>
      <c r="B633" s="91"/>
      <c r="C633" s="45"/>
      <c r="D633" s="95"/>
      <c r="E633" s="39"/>
      <c r="F633" s="94"/>
      <c r="G633" s="44"/>
      <c r="H633" s="35"/>
      <c r="I633" s="42"/>
      <c r="J633" s="35"/>
      <c r="K633" s="35"/>
      <c r="L633" s="87"/>
      <c r="M633" s="22"/>
      <c r="N633" s="89"/>
      <c r="O633" s="35"/>
      <c r="P633" s="37"/>
      <c r="Q633" s="35"/>
      <c r="R633" s="41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</row>
    <row r="634" spans="1:41" ht="13.8" x14ac:dyDescent="0.25">
      <c r="A634" s="22"/>
      <c r="B634" s="91"/>
      <c r="C634" s="45"/>
      <c r="D634" s="95"/>
      <c r="E634" s="39"/>
      <c r="F634" s="94"/>
      <c r="G634" s="44"/>
      <c r="H634" s="35"/>
      <c r="I634" s="42"/>
      <c r="J634" s="35"/>
      <c r="K634" s="35"/>
      <c r="L634" s="87"/>
      <c r="M634" s="22"/>
      <c r="N634" s="89"/>
      <c r="O634" s="35"/>
      <c r="P634" s="37"/>
      <c r="Q634" s="35"/>
      <c r="R634" s="41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</row>
    <row r="635" spans="1:41" ht="13.8" x14ac:dyDescent="0.25">
      <c r="A635" s="22"/>
      <c r="B635" s="91"/>
      <c r="C635" s="45"/>
      <c r="D635" s="95"/>
      <c r="E635" s="39"/>
      <c r="F635" s="94"/>
      <c r="G635" s="44"/>
      <c r="H635" s="35"/>
      <c r="I635" s="42"/>
      <c r="J635" s="35"/>
      <c r="K635" s="35"/>
      <c r="L635" s="87"/>
      <c r="M635" s="22"/>
      <c r="N635" s="89"/>
      <c r="O635" s="35"/>
      <c r="P635" s="37"/>
      <c r="Q635" s="35"/>
      <c r="R635" s="41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</row>
    <row r="636" spans="1:41" ht="13.8" x14ac:dyDescent="0.25">
      <c r="A636" s="22"/>
      <c r="B636" s="91"/>
      <c r="C636" s="45"/>
      <c r="D636" s="95"/>
      <c r="E636" s="39"/>
      <c r="F636" s="94"/>
      <c r="G636" s="44"/>
      <c r="H636" s="35"/>
      <c r="I636" s="42"/>
      <c r="J636" s="35"/>
      <c r="K636" s="35"/>
      <c r="L636" s="87"/>
      <c r="M636" s="22"/>
      <c r="N636" s="89"/>
      <c r="O636" s="35"/>
      <c r="P636" s="37"/>
      <c r="Q636" s="35"/>
      <c r="R636" s="41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</row>
    <row r="637" spans="1:41" ht="13.8" x14ac:dyDescent="0.25">
      <c r="A637" s="22"/>
      <c r="B637" s="91"/>
      <c r="C637" s="45"/>
      <c r="D637" s="95"/>
      <c r="E637" s="39"/>
      <c r="F637" s="94"/>
      <c r="G637" s="44"/>
      <c r="H637" s="35"/>
      <c r="I637" s="42"/>
      <c r="J637" s="35"/>
      <c r="K637" s="35"/>
      <c r="L637" s="87"/>
      <c r="M637" s="22"/>
      <c r="N637" s="89"/>
      <c r="O637" s="35"/>
      <c r="P637" s="37"/>
      <c r="Q637" s="35"/>
      <c r="R637" s="41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</row>
    <row r="638" spans="1:41" ht="13.8" x14ac:dyDescent="0.25">
      <c r="A638" s="22"/>
      <c r="B638" s="91"/>
      <c r="C638" s="45"/>
      <c r="D638" s="95"/>
      <c r="E638" s="39"/>
      <c r="F638" s="94"/>
      <c r="G638" s="44"/>
      <c r="H638" s="35"/>
      <c r="I638" s="42"/>
      <c r="J638" s="35"/>
      <c r="K638" s="35"/>
      <c r="L638" s="87"/>
      <c r="M638" s="22"/>
      <c r="N638" s="89"/>
      <c r="O638" s="35"/>
      <c r="P638" s="37"/>
      <c r="Q638" s="35"/>
      <c r="R638" s="41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</row>
    <row r="639" spans="1:41" ht="13.8" x14ac:dyDescent="0.25">
      <c r="A639" s="22"/>
      <c r="B639" s="91"/>
      <c r="C639" s="45"/>
      <c r="D639" s="95"/>
      <c r="E639" s="39"/>
      <c r="F639" s="94"/>
      <c r="G639" s="44"/>
      <c r="H639" s="35"/>
      <c r="I639" s="42"/>
      <c r="J639" s="35"/>
      <c r="K639" s="35"/>
      <c r="L639" s="87"/>
      <c r="M639" s="22"/>
      <c r="N639" s="89"/>
      <c r="O639" s="35"/>
      <c r="P639" s="37"/>
      <c r="Q639" s="35"/>
      <c r="R639" s="41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</row>
    <row r="640" spans="1:41" ht="13.8" x14ac:dyDescent="0.25">
      <c r="A640" s="22"/>
      <c r="B640" s="91"/>
      <c r="C640" s="45"/>
      <c r="D640" s="95"/>
      <c r="E640" s="39"/>
      <c r="F640" s="94"/>
      <c r="G640" s="44"/>
      <c r="H640" s="35"/>
      <c r="I640" s="42"/>
      <c r="J640" s="35"/>
      <c r="K640" s="35"/>
      <c r="L640" s="87"/>
      <c r="M640" s="22"/>
      <c r="N640" s="89"/>
      <c r="O640" s="35"/>
      <c r="P640" s="37"/>
      <c r="Q640" s="35"/>
      <c r="R640" s="41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</row>
    <row r="641" spans="1:41" ht="13.8" x14ac:dyDescent="0.25">
      <c r="A641" s="22"/>
      <c r="B641" s="91"/>
      <c r="C641" s="45"/>
      <c r="D641" s="95"/>
      <c r="E641" s="39"/>
      <c r="F641" s="94"/>
      <c r="G641" s="44"/>
      <c r="H641" s="35"/>
      <c r="I641" s="42"/>
      <c r="J641" s="35"/>
      <c r="K641" s="35"/>
      <c r="L641" s="87"/>
      <c r="M641" s="22"/>
      <c r="N641" s="89"/>
      <c r="O641" s="35"/>
      <c r="P641" s="37"/>
      <c r="Q641" s="35"/>
      <c r="R641" s="41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</row>
    <row r="642" spans="1:41" ht="13.8" x14ac:dyDescent="0.25">
      <c r="A642" s="22"/>
      <c r="B642" s="91"/>
      <c r="C642" s="45"/>
      <c r="D642" s="95"/>
      <c r="E642" s="39"/>
      <c r="F642" s="94"/>
      <c r="G642" s="44"/>
      <c r="H642" s="35"/>
      <c r="I642" s="42"/>
      <c r="J642" s="35"/>
      <c r="K642" s="35"/>
      <c r="L642" s="87"/>
      <c r="M642" s="22"/>
      <c r="N642" s="89"/>
      <c r="O642" s="35"/>
      <c r="P642" s="37"/>
      <c r="Q642" s="35"/>
      <c r="R642" s="41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</row>
    <row r="643" spans="1:41" ht="13.8" x14ac:dyDescent="0.25">
      <c r="A643" s="22"/>
      <c r="B643" s="91"/>
      <c r="C643" s="45"/>
      <c r="D643" s="95"/>
      <c r="E643" s="39"/>
      <c r="F643" s="94"/>
      <c r="G643" s="44"/>
      <c r="H643" s="35"/>
      <c r="I643" s="42"/>
      <c r="J643" s="35"/>
      <c r="K643" s="35"/>
      <c r="L643" s="87"/>
      <c r="M643" s="22"/>
      <c r="N643" s="89"/>
      <c r="O643" s="35"/>
      <c r="P643" s="37"/>
      <c r="Q643" s="35"/>
      <c r="R643" s="41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</row>
    <row r="644" spans="1:41" ht="13.8" x14ac:dyDescent="0.25">
      <c r="A644" s="22"/>
      <c r="B644" s="91"/>
      <c r="C644" s="45"/>
      <c r="D644" s="95"/>
      <c r="E644" s="39"/>
      <c r="F644" s="94"/>
      <c r="G644" s="44"/>
      <c r="H644" s="35"/>
      <c r="I644" s="42"/>
      <c r="J644" s="35"/>
      <c r="K644" s="35"/>
      <c r="L644" s="87"/>
      <c r="M644" s="22"/>
      <c r="N644" s="89"/>
      <c r="O644" s="35"/>
      <c r="P644" s="37"/>
      <c r="Q644" s="35"/>
      <c r="R644" s="41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</row>
    <row r="645" spans="1:41" ht="13.8" x14ac:dyDescent="0.25">
      <c r="A645" s="22"/>
      <c r="B645" s="91"/>
      <c r="C645" s="45"/>
      <c r="D645" s="95"/>
      <c r="E645" s="39"/>
      <c r="F645" s="94"/>
      <c r="G645" s="44"/>
      <c r="H645" s="35"/>
      <c r="I645" s="42"/>
      <c r="J645" s="35"/>
      <c r="K645" s="35"/>
      <c r="L645" s="87"/>
      <c r="M645" s="22"/>
      <c r="N645" s="89"/>
      <c r="O645" s="35"/>
      <c r="P645" s="37"/>
      <c r="Q645" s="35"/>
      <c r="R645" s="41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</row>
    <row r="646" spans="1:41" ht="13.8" x14ac:dyDescent="0.25">
      <c r="A646" s="22"/>
      <c r="B646" s="91"/>
      <c r="C646" s="45"/>
      <c r="D646" s="95"/>
      <c r="E646" s="39"/>
      <c r="F646" s="94"/>
      <c r="G646" s="44"/>
      <c r="H646" s="35"/>
      <c r="I646" s="42"/>
      <c r="J646" s="35"/>
      <c r="K646" s="35"/>
      <c r="L646" s="87"/>
      <c r="M646" s="22"/>
      <c r="N646" s="89"/>
      <c r="O646" s="35"/>
      <c r="P646" s="37"/>
      <c r="Q646" s="35"/>
      <c r="R646" s="41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</row>
    <row r="647" spans="1:41" ht="13.8" x14ac:dyDescent="0.25">
      <c r="A647" s="22"/>
      <c r="B647" s="91"/>
      <c r="C647" s="45"/>
      <c r="D647" s="95"/>
      <c r="E647" s="39"/>
      <c r="F647" s="94"/>
      <c r="G647" s="44"/>
      <c r="H647" s="35"/>
      <c r="I647" s="42"/>
      <c r="J647" s="35"/>
      <c r="K647" s="35"/>
      <c r="L647" s="87"/>
      <c r="M647" s="22"/>
      <c r="N647" s="89"/>
      <c r="O647" s="35"/>
      <c r="P647" s="37"/>
      <c r="Q647" s="35"/>
      <c r="R647" s="41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</row>
    <row r="648" spans="1:41" ht="13.8" x14ac:dyDescent="0.25">
      <c r="A648" s="22"/>
      <c r="B648" s="91"/>
      <c r="C648" s="45"/>
      <c r="D648" s="95"/>
      <c r="E648" s="39"/>
      <c r="F648" s="94"/>
      <c r="G648" s="44"/>
      <c r="H648" s="35"/>
      <c r="I648" s="42"/>
      <c r="J648" s="35"/>
      <c r="K648" s="35"/>
      <c r="L648" s="87"/>
      <c r="M648" s="22"/>
      <c r="N648" s="89"/>
      <c r="O648" s="35"/>
      <c r="P648" s="37"/>
      <c r="Q648" s="35"/>
      <c r="R648" s="41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</row>
    <row r="649" spans="1:41" ht="13.8" x14ac:dyDescent="0.25">
      <c r="A649" s="22"/>
      <c r="B649" s="91"/>
      <c r="C649" s="45"/>
      <c r="D649" s="95"/>
      <c r="E649" s="39"/>
      <c r="F649" s="94"/>
      <c r="G649" s="44"/>
      <c r="H649" s="35"/>
      <c r="I649" s="42"/>
      <c r="J649" s="35"/>
      <c r="K649" s="35"/>
      <c r="L649" s="87"/>
      <c r="M649" s="22"/>
      <c r="N649" s="89"/>
      <c r="O649" s="35"/>
      <c r="P649" s="37"/>
      <c r="Q649" s="35"/>
      <c r="R649" s="41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</row>
    <row r="650" spans="1:41" ht="13.8" x14ac:dyDescent="0.25">
      <c r="A650" s="22"/>
      <c r="B650" s="91"/>
      <c r="C650" s="45"/>
      <c r="D650" s="95"/>
      <c r="E650" s="39"/>
      <c r="F650" s="94"/>
      <c r="G650" s="44"/>
      <c r="H650" s="35"/>
      <c r="I650" s="42"/>
      <c r="J650" s="35"/>
      <c r="K650" s="35"/>
      <c r="L650" s="87"/>
      <c r="M650" s="22"/>
      <c r="N650" s="89"/>
      <c r="O650" s="35"/>
      <c r="P650" s="37"/>
      <c r="Q650" s="35"/>
      <c r="R650" s="41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</row>
    <row r="651" spans="1:41" ht="13.8" x14ac:dyDescent="0.25">
      <c r="A651" s="22"/>
      <c r="B651" s="91"/>
      <c r="C651" s="45"/>
      <c r="D651" s="95"/>
      <c r="E651" s="39"/>
      <c r="F651" s="94"/>
      <c r="G651" s="44"/>
      <c r="H651" s="35"/>
      <c r="I651" s="42"/>
      <c r="J651" s="35"/>
      <c r="K651" s="35"/>
      <c r="L651" s="87"/>
      <c r="M651" s="22"/>
      <c r="N651" s="89"/>
      <c r="O651" s="35"/>
      <c r="P651" s="37"/>
      <c r="Q651" s="35"/>
      <c r="R651" s="41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</row>
    <row r="652" spans="1:41" ht="13.8" x14ac:dyDescent="0.25">
      <c r="A652" s="22"/>
      <c r="B652" s="91"/>
      <c r="C652" s="45"/>
      <c r="D652" s="95"/>
      <c r="E652" s="39"/>
      <c r="F652" s="94"/>
      <c r="G652" s="44"/>
      <c r="H652" s="35"/>
      <c r="I652" s="42"/>
      <c r="J652" s="35"/>
      <c r="K652" s="35"/>
      <c r="L652" s="87"/>
      <c r="M652" s="22"/>
      <c r="N652" s="89"/>
      <c r="O652" s="35"/>
      <c r="P652" s="37"/>
      <c r="Q652" s="35"/>
      <c r="R652" s="41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</row>
    <row r="653" spans="1:41" ht="13.8" x14ac:dyDescent="0.25">
      <c r="A653" s="22"/>
      <c r="B653" s="91"/>
      <c r="C653" s="45"/>
      <c r="D653" s="95"/>
      <c r="E653" s="39"/>
      <c r="F653" s="94"/>
      <c r="G653" s="44"/>
      <c r="H653" s="35"/>
      <c r="I653" s="42"/>
      <c r="J653" s="35"/>
      <c r="K653" s="35"/>
      <c r="L653" s="87"/>
      <c r="M653" s="22"/>
      <c r="N653" s="89"/>
      <c r="O653" s="35"/>
      <c r="P653" s="37"/>
      <c r="Q653" s="35"/>
      <c r="R653" s="41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</row>
    <row r="654" spans="1:41" ht="13.8" x14ac:dyDescent="0.25">
      <c r="A654" s="22"/>
      <c r="B654" s="91"/>
      <c r="C654" s="45"/>
      <c r="D654" s="95"/>
      <c r="E654" s="39"/>
      <c r="F654" s="94"/>
      <c r="G654" s="44"/>
      <c r="H654" s="35"/>
      <c r="I654" s="42"/>
      <c r="J654" s="35"/>
      <c r="K654" s="35"/>
      <c r="L654" s="87"/>
      <c r="M654" s="22"/>
      <c r="N654" s="89"/>
      <c r="O654" s="35"/>
      <c r="P654" s="37"/>
      <c r="Q654" s="35"/>
      <c r="R654" s="41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</row>
    <row r="655" spans="1:41" ht="13.8" x14ac:dyDescent="0.25">
      <c r="A655" s="22"/>
      <c r="B655" s="91"/>
      <c r="C655" s="45"/>
      <c r="D655" s="95"/>
      <c r="E655" s="39"/>
      <c r="F655" s="94"/>
      <c r="G655" s="44"/>
      <c r="H655" s="35"/>
      <c r="I655" s="42"/>
      <c r="J655" s="35"/>
      <c r="K655" s="35"/>
      <c r="L655" s="87"/>
      <c r="M655" s="22"/>
      <c r="N655" s="89"/>
      <c r="O655" s="35"/>
      <c r="P655" s="37"/>
      <c r="Q655" s="35"/>
      <c r="R655" s="41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</row>
    <row r="656" spans="1:41" ht="13.8" x14ac:dyDescent="0.25">
      <c r="A656" s="22"/>
      <c r="B656" s="91"/>
      <c r="C656" s="45"/>
      <c r="D656" s="95"/>
      <c r="E656" s="39"/>
      <c r="F656" s="94"/>
      <c r="G656" s="44"/>
      <c r="H656" s="35"/>
      <c r="I656" s="42"/>
      <c r="J656" s="35"/>
      <c r="K656" s="35"/>
      <c r="L656" s="87"/>
      <c r="M656" s="22"/>
      <c r="N656" s="89"/>
      <c r="O656" s="35"/>
      <c r="P656" s="37"/>
      <c r="Q656" s="35"/>
      <c r="R656" s="41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</row>
    <row r="657" spans="1:41" ht="13.8" x14ac:dyDescent="0.25">
      <c r="A657" s="22"/>
      <c r="B657" s="91"/>
      <c r="C657" s="45"/>
      <c r="D657" s="95"/>
      <c r="E657" s="39"/>
      <c r="F657" s="94"/>
      <c r="G657" s="44"/>
      <c r="H657" s="35"/>
      <c r="I657" s="42"/>
      <c r="J657" s="35"/>
      <c r="K657" s="35"/>
      <c r="L657" s="87"/>
      <c r="M657" s="22"/>
      <c r="N657" s="89"/>
      <c r="O657" s="35"/>
      <c r="P657" s="37"/>
      <c r="Q657" s="35"/>
      <c r="R657" s="41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</row>
    <row r="658" spans="1:41" ht="13.8" x14ac:dyDescent="0.25">
      <c r="A658" s="22"/>
      <c r="B658" s="91"/>
      <c r="C658" s="45"/>
      <c r="D658" s="95"/>
      <c r="E658" s="39"/>
      <c r="F658" s="94"/>
      <c r="G658" s="44"/>
      <c r="H658" s="35"/>
      <c r="I658" s="42"/>
      <c r="J658" s="35"/>
      <c r="K658" s="35"/>
      <c r="L658" s="87"/>
      <c r="M658" s="22"/>
      <c r="N658" s="89"/>
      <c r="O658" s="35"/>
      <c r="P658" s="37"/>
      <c r="Q658" s="35"/>
      <c r="R658" s="41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</row>
    <row r="659" spans="1:41" ht="13.8" x14ac:dyDescent="0.25">
      <c r="A659" s="22"/>
      <c r="B659" s="91"/>
      <c r="C659" s="45"/>
      <c r="D659" s="95"/>
      <c r="E659" s="39"/>
      <c r="F659" s="94"/>
      <c r="G659" s="44"/>
      <c r="H659" s="35"/>
      <c r="I659" s="42"/>
      <c r="J659" s="35"/>
      <c r="K659" s="35"/>
      <c r="L659" s="87"/>
      <c r="M659" s="22"/>
      <c r="N659" s="89"/>
      <c r="O659" s="35"/>
      <c r="P659" s="37"/>
      <c r="Q659" s="35"/>
      <c r="R659" s="41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</row>
    <row r="660" spans="1:41" ht="13.8" x14ac:dyDescent="0.25">
      <c r="A660" s="22"/>
      <c r="B660" s="91"/>
      <c r="C660" s="45"/>
      <c r="D660" s="95"/>
      <c r="E660" s="39"/>
      <c r="F660" s="94"/>
      <c r="G660" s="44"/>
      <c r="H660" s="35"/>
      <c r="I660" s="42"/>
      <c r="J660" s="35"/>
      <c r="K660" s="35"/>
      <c r="L660" s="87"/>
      <c r="M660" s="22"/>
      <c r="N660" s="89"/>
      <c r="O660" s="35"/>
      <c r="P660" s="37"/>
      <c r="Q660" s="35"/>
      <c r="R660" s="41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</row>
    <row r="661" spans="1:41" ht="13.8" x14ac:dyDescent="0.25">
      <c r="A661" s="22"/>
      <c r="B661" s="91"/>
      <c r="C661" s="45"/>
      <c r="D661" s="95"/>
      <c r="E661" s="39"/>
      <c r="F661" s="94"/>
      <c r="G661" s="44"/>
      <c r="H661" s="35"/>
      <c r="I661" s="42"/>
      <c r="J661" s="35"/>
      <c r="K661" s="35"/>
      <c r="L661" s="87"/>
      <c r="M661" s="22"/>
      <c r="N661" s="89"/>
      <c r="O661" s="35"/>
      <c r="P661" s="37"/>
      <c r="Q661" s="35"/>
      <c r="R661" s="41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</row>
    <row r="662" spans="1:41" ht="13.8" x14ac:dyDescent="0.25">
      <c r="A662" s="22"/>
      <c r="B662" s="91"/>
      <c r="C662" s="45"/>
      <c r="D662" s="95"/>
      <c r="E662" s="39"/>
      <c r="F662" s="94"/>
      <c r="G662" s="44"/>
      <c r="H662" s="35"/>
      <c r="I662" s="42"/>
      <c r="J662" s="35"/>
      <c r="K662" s="35"/>
      <c r="L662" s="87"/>
      <c r="M662" s="22"/>
      <c r="N662" s="89"/>
      <c r="O662" s="35"/>
      <c r="P662" s="37"/>
      <c r="Q662" s="35"/>
      <c r="R662" s="41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</row>
    <row r="663" spans="1:41" ht="13.8" x14ac:dyDescent="0.25">
      <c r="A663" s="22"/>
      <c r="B663" s="91"/>
      <c r="C663" s="45"/>
      <c r="D663" s="95"/>
      <c r="E663" s="39"/>
      <c r="F663" s="94"/>
      <c r="G663" s="44"/>
      <c r="H663" s="35"/>
      <c r="I663" s="42"/>
      <c r="J663" s="35"/>
      <c r="K663" s="35"/>
      <c r="L663" s="87"/>
      <c r="M663" s="22"/>
      <c r="N663" s="89"/>
      <c r="O663" s="35"/>
      <c r="P663" s="37"/>
      <c r="Q663" s="35"/>
      <c r="R663" s="41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</row>
    <row r="664" spans="1:41" ht="13.8" x14ac:dyDescent="0.25">
      <c r="A664" s="22"/>
      <c r="B664" s="91"/>
      <c r="C664" s="45"/>
      <c r="D664" s="95"/>
      <c r="E664" s="39"/>
      <c r="F664" s="94"/>
      <c r="G664" s="44"/>
      <c r="H664" s="35"/>
      <c r="I664" s="42"/>
      <c r="J664" s="35"/>
      <c r="K664" s="35"/>
      <c r="L664" s="87"/>
      <c r="M664" s="22"/>
      <c r="N664" s="89"/>
      <c r="O664" s="35"/>
      <c r="P664" s="37"/>
      <c r="Q664" s="35"/>
      <c r="R664" s="41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</row>
    <row r="665" spans="1:41" ht="13.8" x14ac:dyDescent="0.25">
      <c r="A665" s="22"/>
      <c r="B665" s="91"/>
      <c r="C665" s="45"/>
      <c r="D665" s="95"/>
      <c r="E665" s="39"/>
      <c r="F665" s="94"/>
      <c r="G665" s="44"/>
      <c r="H665" s="35"/>
      <c r="I665" s="42"/>
      <c r="J665" s="35"/>
      <c r="K665" s="35"/>
      <c r="L665" s="87"/>
      <c r="M665" s="22"/>
      <c r="N665" s="89"/>
      <c r="O665" s="35"/>
      <c r="P665" s="37"/>
      <c r="Q665" s="35"/>
      <c r="R665" s="41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</row>
    <row r="666" spans="1:41" ht="13.8" x14ac:dyDescent="0.25">
      <c r="A666" s="22"/>
      <c r="B666" s="91"/>
      <c r="C666" s="45"/>
      <c r="D666" s="95"/>
      <c r="E666" s="39"/>
      <c r="F666" s="94"/>
      <c r="G666" s="44"/>
      <c r="H666" s="35"/>
      <c r="I666" s="42"/>
      <c r="J666" s="35"/>
      <c r="K666" s="35"/>
      <c r="L666" s="87"/>
      <c r="M666" s="22"/>
      <c r="N666" s="89"/>
      <c r="O666" s="35"/>
      <c r="P666" s="37"/>
      <c r="Q666" s="35"/>
      <c r="R666" s="41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</row>
    <row r="667" spans="1:41" ht="13.8" x14ac:dyDescent="0.25">
      <c r="A667" s="22"/>
      <c r="B667" s="91"/>
      <c r="C667" s="45"/>
      <c r="D667" s="95"/>
      <c r="E667" s="39"/>
      <c r="F667" s="94"/>
      <c r="G667" s="44"/>
      <c r="H667" s="35"/>
      <c r="I667" s="42"/>
      <c r="J667" s="35"/>
      <c r="K667" s="35"/>
      <c r="L667" s="87"/>
      <c r="M667" s="22"/>
      <c r="N667" s="89"/>
      <c r="O667" s="35"/>
      <c r="P667" s="37"/>
      <c r="Q667" s="35"/>
      <c r="R667" s="41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</row>
    <row r="668" spans="1:41" ht="13.8" x14ac:dyDescent="0.25">
      <c r="A668" s="22"/>
      <c r="B668" s="91"/>
      <c r="C668" s="45"/>
      <c r="D668" s="95"/>
      <c r="E668" s="39"/>
      <c r="F668" s="94"/>
      <c r="G668" s="44"/>
      <c r="H668" s="35"/>
      <c r="I668" s="42"/>
      <c r="J668" s="35"/>
      <c r="K668" s="35"/>
      <c r="L668" s="87"/>
      <c r="M668" s="22"/>
      <c r="N668" s="89"/>
      <c r="O668" s="35"/>
      <c r="P668" s="37"/>
      <c r="Q668" s="35"/>
      <c r="R668" s="41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</row>
    <row r="669" spans="1:41" ht="13.8" x14ac:dyDescent="0.25">
      <c r="A669" s="22"/>
      <c r="B669" s="91"/>
      <c r="C669" s="45"/>
      <c r="D669" s="95"/>
      <c r="E669" s="39"/>
      <c r="F669" s="94"/>
      <c r="G669" s="44"/>
      <c r="H669" s="35"/>
      <c r="I669" s="42"/>
      <c r="J669" s="35"/>
      <c r="K669" s="35"/>
      <c r="L669" s="87"/>
      <c r="M669" s="22"/>
      <c r="N669" s="89"/>
      <c r="O669" s="35"/>
      <c r="P669" s="37"/>
      <c r="Q669" s="35"/>
      <c r="R669" s="41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</row>
    <row r="670" spans="1:41" ht="13.8" x14ac:dyDescent="0.25">
      <c r="A670" s="22"/>
      <c r="B670" s="91"/>
      <c r="C670" s="45"/>
      <c r="D670" s="95"/>
      <c r="E670" s="39"/>
      <c r="F670" s="94"/>
      <c r="G670" s="44"/>
      <c r="H670" s="35"/>
      <c r="I670" s="42"/>
      <c r="J670" s="35"/>
      <c r="K670" s="35"/>
      <c r="L670" s="87"/>
      <c r="M670" s="22"/>
      <c r="N670" s="89"/>
      <c r="O670" s="35"/>
      <c r="P670" s="37"/>
      <c r="Q670" s="35"/>
      <c r="R670" s="41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</row>
    <row r="671" spans="1:41" ht="13.8" x14ac:dyDescent="0.25">
      <c r="A671" s="22"/>
      <c r="B671" s="91"/>
      <c r="C671" s="45"/>
      <c r="D671" s="95"/>
      <c r="E671" s="39"/>
      <c r="F671" s="94"/>
      <c r="G671" s="44"/>
      <c r="H671" s="35"/>
      <c r="I671" s="42"/>
      <c r="J671" s="35"/>
      <c r="K671" s="35"/>
      <c r="L671" s="87"/>
      <c r="M671" s="22"/>
      <c r="N671" s="89"/>
      <c r="O671" s="35"/>
      <c r="P671" s="37"/>
      <c r="Q671" s="35"/>
      <c r="R671" s="41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</row>
    <row r="672" spans="1:41" ht="13.8" x14ac:dyDescent="0.25">
      <c r="A672" s="22"/>
      <c r="B672" s="91"/>
      <c r="C672" s="45"/>
      <c r="D672" s="95"/>
      <c r="E672" s="39"/>
      <c r="F672" s="94"/>
      <c r="G672" s="44"/>
      <c r="H672" s="35"/>
      <c r="I672" s="42"/>
      <c r="J672" s="35"/>
      <c r="K672" s="35"/>
      <c r="L672" s="87"/>
      <c r="M672" s="22"/>
      <c r="N672" s="89"/>
      <c r="O672" s="35"/>
      <c r="P672" s="37"/>
      <c r="Q672" s="35"/>
      <c r="R672" s="41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</row>
    <row r="673" spans="1:41" ht="13.8" x14ac:dyDescent="0.25">
      <c r="A673" s="22"/>
      <c r="B673" s="91"/>
      <c r="C673" s="45"/>
      <c r="D673" s="95"/>
      <c r="E673" s="39"/>
      <c r="F673" s="94"/>
      <c r="G673" s="44"/>
      <c r="H673" s="35"/>
      <c r="I673" s="42"/>
      <c r="J673" s="35"/>
      <c r="K673" s="35"/>
      <c r="L673" s="87"/>
      <c r="M673" s="22"/>
      <c r="N673" s="89"/>
      <c r="O673" s="35"/>
      <c r="P673" s="37"/>
      <c r="Q673" s="35"/>
      <c r="R673" s="41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</row>
    <row r="674" spans="1:41" ht="13.8" x14ac:dyDescent="0.25">
      <c r="A674" s="22"/>
      <c r="B674" s="91"/>
      <c r="C674" s="45"/>
      <c r="D674" s="95"/>
      <c r="E674" s="39"/>
      <c r="F674" s="94"/>
      <c r="G674" s="44"/>
      <c r="H674" s="35"/>
      <c r="I674" s="42"/>
      <c r="J674" s="35"/>
      <c r="K674" s="35"/>
      <c r="L674" s="87"/>
      <c r="M674" s="22"/>
      <c r="N674" s="89"/>
      <c r="O674" s="35"/>
      <c r="P674" s="37"/>
      <c r="Q674" s="35"/>
      <c r="R674" s="41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</row>
    <row r="675" spans="1:41" ht="13.8" x14ac:dyDescent="0.25">
      <c r="A675" s="22"/>
      <c r="B675" s="91"/>
      <c r="C675" s="45"/>
      <c r="D675" s="95"/>
      <c r="E675" s="39"/>
      <c r="F675" s="94"/>
      <c r="G675" s="44"/>
      <c r="H675" s="35"/>
      <c r="I675" s="42"/>
      <c r="J675" s="35"/>
      <c r="K675" s="35"/>
      <c r="L675" s="87"/>
      <c r="M675" s="22"/>
      <c r="N675" s="89"/>
      <c r="O675" s="35"/>
      <c r="P675" s="37"/>
      <c r="Q675" s="35"/>
      <c r="R675" s="41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</row>
    <row r="676" spans="1:41" ht="13.8" x14ac:dyDescent="0.25">
      <c r="A676" s="22"/>
      <c r="B676" s="91"/>
      <c r="C676" s="45"/>
      <c r="D676" s="95"/>
      <c r="E676" s="39"/>
      <c r="F676" s="94"/>
      <c r="G676" s="44"/>
      <c r="H676" s="35"/>
      <c r="I676" s="42"/>
      <c r="J676" s="35"/>
      <c r="K676" s="35"/>
      <c r="L676" s="87"/>
      <c r="M676" s="22"/>
      <c r="N676" s="89"/>
      <c r="O676" s="35"/>
      <c r="P676" s="37"/>
      <c r="Q676" s="35"/>
      <c r="R676" s="41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</row>
    <row r="677" spans="1:41" ht="13.8" x14ac:dyDescent="0.25">
      <c r="A677" s="22"/>
      <c r="B677" s="91"/>
      <c r="C677" s="45"/>
      <c r="D677" s="95"/>
      <c r="E677" s="39"/>
      <c r="F677" s="94"/>
      <c r="G677" s="44"/>
      <c r="H677" s="35"/>
      <c r="I677" s="42"/>
      <c r="J677" s="35"/>
      <c r="K677" s="35"/>
      <c r="L677" s="87"/>
      <c r="M677" s="22"/>
      <c r="N677" s="89"/>
      <c r="O677" s="35"/>
      <c r="P677" s="37"/>
      <c r="Q677" s="35"/>
      <c r="R677" s="41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</row>
    <row r="678" spans="1:41" ht="13.8" x14ac:dyDescent="0.25">
      <c r="A678" s="22"/>
      <c r="B678" s="91"/>
      <c r="C678" s="45"/>
      <c r="D678" s="95"/>
      <c r="E678" s="39"/>
      <c r="F678" s="94"/>
      <c r="G678" s="44"/>
      <c r="H678" s="35"/>
      <c r="I678" s="42"/>
      <c r="J678" s="35"/>
      <c r="K678" s="35"/>
      <c r="L678" s="87"/>
      <c r="M678" s="22"/>
      <c r="N678" s="89"/>
      <c r="O678" s="35"/>
      <c r="P678" s="37"/>
      <c r="Q678" s="35"/>
      <c r="R678" s="41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</row>
    <row r="679" spans="1:41" ht="13.8" x14ac:dyDescent="0.25">
      <c r="A679" s="22"/>
      <c r="B679" s="91"/>
      <c r="C679" s="45"/>
      <c r="D679" s="95"/>
      <c r="E679" s="39"/>
      <c r="F679" s="94"/>
      <c r="G679" s="44"/>
      <c r="H679" s="35"/>
      <c r="I679" s="42"/>
      <c r="J679" s="35"/>
      <c r="K679" s="35"/>
      <c r="L679" s="87"/>
      <c r="M679" s="22"/>
      <c r="N679" s="89"/>
      <c r="O679" s="35"/>
      <c r="P679" s="37"/>
      <c r="Q679" s="35"/>
      <c r="R679" s="41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</row>
    <row r="680" spans="1:41" ht="13.8" x14ac:dyDescent="0.25">
      <c r="A680" s="22"/>
      <c r="B680" s="91"/>
      <c r="C680" s="45"/>
      <c r="D680" s="95"/>
      <c r="E680" s="39"/>
      <c r="F680" s="94"/>
      <c r="G680" s="44"/>
      <c r="H680" s="35"/>
      <c r="I680" s="42"/>
      <c r="J680" s="35"/>
      <c r="K680" s="35"/>
      <c r="L680" s="87"/>
      <c r="M680" s="22"/>
      <c r="N680" s="89"/>
      <c r="O680" s="35"/>
      <c r="P680" s="37"/>
      <c r="Q680" s="35"/>
      <c r="R680" s="41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</row>
    <row r="681" spans="1:41" ht="13.8" x14ac:dyDescent="0.25">
      <c r="A681" s="22"/>
      <c r="B681" s="91"/>
      <c r="C681" s="45"/>
      <c r="D681" s="95"/>
      <c r="E681" s="39"/>
      <c r="F681" s="94"/>
      <c r="G681" s="44"/>
      <c r="H681" s="35"/>
      <c r="I681" s="42"/>
      <c r="J681" s="35"/>
      <c r="K681" s="35"/>
      <c r="L681" s="87"/>
      <c r="M681" s="22"/>
      <c r="N681" s="89"/>
      <c r="O681" s="35"/>
      <c r="P681" s="37"/>
      <c r="Q681" s="35"/>
      <c r="R681" s="41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</row>
    <row r="682" spans="1:41" ht="13.8" x14ac:dyDescent="0.25">
      <c r="A682" s="22"/>
      <c r="B682" s="91"/>
      <c r="C682" s="45"/>
      <c r="D682" s="95"/>
      <c r="E682" s="39"/>
      <c r="F682" s="94"/>
      <c r="G682" s="44"/>
      <c r="H682" s="35"/>
      <c r="I682" s="42"/>
      <c r="J682" s="35"/>
      <c r="K682" s="35"/>
      <c r="L682" s="87"/>
      <c r="M682" s="22"/>
      <c r="N682" s="89"/>
      <c r="O682" s="35"/>
      <c r="P682" s="37"/>
      <c r="Q682" s="35"/>
      <c r="R682" s="41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</row>
    <row r="683" spans="1:41" ht="13.8" x14ac:dyDescent="0.25">
      <c r="A683" s="22"/>
      <c r="B683" s="91"/>
      <c r="C683" s="45"/>
      <c r="D683" s="95"/>
      <c r="E683" s="39"/>
      <c r="F683" s="94"/>
      <c r="G683" s="44"/>
      <c r="H683" s="35"/>
      <c r="I683" s="42"/>
      <c r="J683" s="35"/>
      <c r="K683" s="35"/>
      <c r="L683" s="87"/>
      <c r="M683" s="22"/>
      <c r="N683" s="89"/>
      <c r="O683" s="35"/>
      <c r="P683" s="37"/>
      <c r="Q683" s="35"/>
      <c r="R683" s="41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</row>
    <row r="684" spans="1:41" ht="13.8" x14ac:dyDescent="0.25">
      <c r="A684" s="22"/>
      <c r="B684" s="91"/>
      <c r="C684" s="45"/>
      <c r="D684" s="95"/>
      <c r="E684" s="39"/>
      <c r="F684" s="94"/>
      <c r="G684" s="44"/>
      <c r="H684" s="35"/>
      <c r="I684" s="42"/>
      <c r="J684" s="35"/>
      <c r="K684" s="35"/>
      <c r="L684" s="87"/>
      <c r="M684" s="22"/>
      <c r="N684" s="89"/>
      <c r="O684" s="35"/>
      <c r="P684" s="37"/>
      <c r="Q684" s="35"/>
      <c r="R684" s="41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</row>
    <row r="685" spans="1:41" ht="13.8" x14ac:dyDescent="0.25">
      <c r="A685" s="22"/>
      <c r="B685" s="91"/>
      <c r="C685" s="45"/>
      <c r="D685" s="95"/>
      <c r="E685" s="39"/>
      <c r="F685" s="94"/>
      <c r="G685" s="44"/>
      <c r="H685" s="35"/>
      <c r="I685" s="42"/>
      <c r="J685" s="35"/>
      <c r="K685" s="35"/>
      <c r="L685" s="87"/>
      <c r="M685" s="22"/>
      <c r="N685" s="89"/>
      <c r="O685" s="35"/>
      <c r="P685" s="37"/>
      <c r="Q685" s="35"/>
      <c r="R685" s="41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</row>
    <row r="686" spans="1:41" ht="13.8" x14ac:dyDescent="0.25">
      <c r="A686" s="22"/>
      <c r="B686" s="91"/>
      <c r="C686" s="45"/>
      <c r="D686" s="95"/>
      <c r="E686" s="39"/>
      <c r="F686" s="94"/>
      <c r="G686" s="44"/>
      <c r="H686" s="35"/>
      <c r="I686" s="42"/>
      <c r="J686" s="35"/>
      <c r="K686" s="35"/>
      <c r="L686" s="87"/>
      <c r="M686" s="22"/>
      <c r="N686" s="89"/>
      <c r="O686" s="35"/>
      <c r="P686" s="37"/>
      <c r="Q686" s="35"/>
      <c r="R686" s="41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</row>
    <row r="687" spans="1:41" ht="13.8" x14ac:dyDescent="0.25">
      <c r="A687" s="22"/>
      <c r="B687" s="91"/>
      <c r="C687" s="45"/>
      <c r="D687" s="95"/>
      <c r="E687" s="39"/>
      <c r="F687" s="94"/>
      <c r="G687" s="44"/>
      <c r="H687" s="35"/>
      <c r="I687" s="42"/>
      <c r="J687" s="35"/>
      <c r="K687" s="35"/>
      <c r="L687" s="87"/>
      <c r="M687" s="22"/>
      <c r="N687" s="89"/>
      <c r="O687" s="35"/>
      <c r="P687" s="37"/>
      <c r="Q687" s="35"/>
      <c r="R687" s="41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</row>
    <row r="688" spans="1:41" ht="13.8" x14ac:dyDescent="0.25">
      <c r="A688" s="22"/>
      <c r="B688" s="91"/>
      <c r="C688" s="45"/>
      <c r="D688" s="95"/>
      <c r="E688" s="39"/>
      <c r="F688" s="94"/>
      <c r="G688" s="44"/>
      <c r="H688" s="35"/>
      <c r="I688" s="42"/>
      <c r="J688" s="35"/>
      <c r="K688" s="35"/>
      <c r="L688" s="87"/>
      <c r="M688" s="22"/>
      <c r="N688" s="89"/>
      <c r="O688" s="35"/>
      <c r="P688" s="37"/>
      <c r="Q688" s="35"/>
      <c r="R688" s="41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</row>
    <row r="689" spans="1:41" ht="13.8" x14ac:dyDescent="0.25">
      <c r="A689" s="22"/>
      <c r="B689" s="91"/>
      <c r="C689" s="45"/>
      <c r="D689" s="95"/>
      <c r="E689" s="39"/>
      <c r="F689" s="94"/>
      <c r="G689" s="44"/>
      <c r="H689" s="35"/>
      <c r="I689" s="42"/>
      <c r="J689" s="35"/>
      <c r="K689" s="35"/>
      <c r="L689" s="87"/>
      <c r="M689" s="22"/>
      <c r="N689" s="89"/>
      <c r="O689" s="35"/>
      <c r="P689" s="37"/>
      <c r="Q689" s="35"/>
      <c r="R689" s="41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</row>
    <row r="690" spans="1:41" ht="13.8" x14ac:dyDescent="0.25">
      <c r="A690" s="22"/>
      <c r="B690" s="91"/>
      <c r="C690" s="45"/>
      <c r="D690" s="95"/>
      <c r="E690" s="39"/>
      <c r="F690" s="94"/>
      <c r="G690" s="44"/>
      <c r="H690" s="35"/>
      <c r="I690" s="42"/>
      <c r="J690" s="35"/>
      <c r="K690" s="35"/>
      <c r="L690" s="87"/>
      <c r="M690" s="22"/>
      <c r="N690" s="89"/>
      <c r="O690" s="35"/>
      <c r="P690" s="37"/>
      <c r="Q690" s="35"/>
      <c r="R690" s="41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</row>
    <row r="691" spans="1:41" ht="13.8" x14ac:dyDescent="0.25">
      <c r="A691" s="22"/>
      <c r="B691" s="91"/>
      <c r="C691" s="45"/>
      <c r="D691" s="95"/>
      <c r="E691" s="39"/>
      <c r="F691" s="94"/>
      <c r="G691" s="44"/>
      <c r="H691" s="35"/>
      <c r="I691" s="42"/>
      <c r="J691" s="35"/>
      <c r="K691" s="35"/>
      <c r="L691" s="87"/>
      <c r="M691" s="22"/>
      <c r="N691" s="89"/>
      <c r="O691" s="35"/>
      <c r="P691" s="37"/>
      <c r="Q691" s="35"/>
      <c r="R691" s="41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</row>
    <row r="692" spans="1:41" ht="13.8" x14ac:dyDescent="0.25">
      <c r="A692" s="22"/>
      <c r="B692" s="91"/>
      <c r="C692" s="45"/>
      <c r="D692" s="95"/>
      <c r="E692" s="39"/>
      <c r="F692" s="94"/>
      <c r="G692" s="44"/>
      <c r="H692" s="35"/>
      <c r="I692" s="42"/>
      <c r="J692" s="35"/>
      <c r="K692" s="35"/>
      <c r="L692" s="87"/>
      <c r="M692" s="22"/>
      <c r="N692" s="89"/>
      <c r="O692" s="35"/>
      <c r="P692" s="37"/>
      <c r="Q692" s="35"/>
      <c r="R692" s="41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</row>
    <row r="693" spans="1:41" ht="13.8" x14ac:dyDescent="0.25">
      <c r="A693" s="22"/>
      <c r="B693" s="91"/>
      <c r="C693" s="45"/>
      <c r="D693" s="95"/>
      <c r="E693" s="39"/>
      <c r="F693" s="94"/>
      <c r="G693" s="44"/>
      <c r="H693" s="35"/>
      <c r="I693" s="42"/>
      <c r="J693" s="35"/>
      <c r="K693" s="35"/>
      <c r="L693" s="87"/>
      <c r="M693" s="22"/>
      <c r="N693" s="89"/>
      <c r="O693" s="35"/>
      <c r="P693" s="37"/>
      <c r="Q693" s="35"/>
      <c r="R693" s="41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</row>
    <row r="694" spans="1:41" ht="13.8" x14ac:dyDescent="0.25">
      <c r="A694" s="22"/>
      <c r="B694" s="91"/>
      <c r="C694" s="45"/>
      <c r="D694" s="95"/>
      <c r="E694" s="39"/>
      <c r="F694" s="94"/>
      <c r="G694" s="44"/>
      <c r="H694" s="35"/>
      <c r="I694" s="42"/>
      <c r="J694" s="35"/>
      <c r="K694" s="35"/>
      <c r="L694" s="87"/>
      <c r="M694" s="22"/>
      <c r="N694" s="89"/>
      <c r="O694" s="35"/>
      <c r="P694" s="37"/>
      <c r="Q694" s="35"/>
      <c r="R694" s="41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</row>
    <row r="695" spans="1:41" ht="13.8" x14ac:dyDescent="0.25">
      <c r="A695" s="22"/>
      <c r="B695" s="91"/>
      <c r="C695" s="45"/>
      <c r="D695" s="95"/>
      <c r="E695" s="39"/>
      <c r="F695" s="94"/>
      <c r="G695" s="44"/>
      <c r="H695" s="35"/>
      <c r="I695" s="42"/>
      <c r="J695" s="35"/>
      <c r="K695" s="35"/>
      <c r="L695" s="87"/>
      <c r="M695" s="22"/>
      <c r="N695" s="89"/>
      <c r="O695" s="35"/>
      <c r="P695" s="37"/>
      <c r="Q695" s="35"/>
      <c r="R695" s="41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</row>
  </sheetData>
  <autoFilter ref="A3:AO7">
    <filterColumn colId="1">
      <filters>
        <filter val="2CE"/>
        <filter val="2CE - CN1"/>
        <filter val="2HITACHI"/>
        <filter val="3F LAB"/>
        <filter val="ADE"/>
        <filter val="AIRZ EXPRESS"/>
        <filter val="AN AN PHAT"/>
        <filter val="AN PHU"/>
        <filter val="Anh Thành"/>
        <filter val="ANT"/>
        <filter val="BA SAO"/>
        <filter val="BAO HUNG - CN1"/>
        <filter val="BRANDHOUSE"/>
        <filter val="BUTTERFLY"/>
        <filter val="DADN"/>
        <filter val="DAO XANH"/>
        <filter val="DINGFENG"/>
        <filter val="DINH ANH"/>
        <filter val="DNB"/>
        <filter val="DNH"/>
        <filter val="ĐỖ THÀNH NHÂN"/>
        <filter val="GREENLIIFE"/>
        <filter val="GREENMARK"/>
        <filter val="HAPPY COLORS"/>
        <filter val="HOMII DECOR"/>
        <filter val="HPKK"/>
        <filter val="ICD"/>
        <filter val="JEFFREY LI"/>
        <filter val="KHANH NGAN"/>
        <filter val="KZ"/>
        <filter val="LEGO"/>
        <filter val="LIFE CARE"/>
        <filter val="MAPLE"/>
        <filter val="MAPLES"/>
        <filter val="MARKI US"/>
        <filter val="MARKIM"/>
        <filter val="Mr. Long"/>
        <filter val="Ms. Hang"/>
        <filter val="NAI NAI"/>
        <filter val="NGAN THIEN AN"/>
        <filter val="NHA TRUNG TAM"/>
        <filter val="NORTH"/>
        <filter val="PHAT DAT"/>
        <filter val="PHO DONG"/>
        <filter val="PHUCLEE"/>
        <filter val="SANG TAO XANH"/>
        <filter val="SMARTDATA"/>
        <filter val="SPLITTING ME"/>
        <filter val="SVN"/>
        <filter val="TAM CAO VIET"/>
        <filter val="THANH TIN"/>
        <filter val="THUY VAN"/>
        <filter val="TR2"/>
        <filter val="TRY"/>
        <filter val="TRY - CN1"/>
        <filter val="VINEPRO"/>
        <filter val="XIN YOU HUA"/>
        <filter val="YING"/>
        <filter val="YURI"/>
      </filters>
    </filterColumn>
    <filterColumn colId="4">
      <filters blank="1">
        <filter val="0001/ST/2026"/>
        <filter val="0002/ST/2026"/>
        <filter val="0003/ST/2026"/>
        <filter val="0004/ST/2026"/>
        <filter val="0005/ST/2026"/>
        <filter val="0006/ST/2026"/>
        <filter val="0007/ST/2026"/>
        <filter val="0008/ST/2026"/>
        <filter val="0009/ST/2026"/>
        <filter val="0010/ST/2026"/>
        <filter val="0011/ST/2026"/>
        <filter val="0012/ST/2026"/>
        <filter val="0013/ST/2026"/>
        <filter val="0014/ST/2026"/>
        <filter val="0015/ST/2026"/>
        <filter val="0016/ST/2026"/>
        <filter val="0017/ST/2026"/>
        <filter val="0018/ST/2026"/>
        <filter val="0019/ST/2026"/>
        <filter val="0020/ST/2026"/>
        <filter val="0021/ST/2026"/>
        <filter val="0022/ST/2026"/>
        <filter val="0023/ST/2026"/>
        <filter val="0024/ST/2026"/>
        <filter val="0025/ST/2026"/>
        <filter val="0026/ST/2026"/>
        <filter val="0027/ST/2026"/>
        <filter val="0028/ST/2026"/>
        <filter val="0029/ST/2026"/>
        <filter val="0030/ST/2026"/>
        <filter val="0031/ST/2026"/>
        <filter val="0032/ST/2026"/>
        <filter val="0033/ST/2026"/>
        <filter val="0034/ST/2026"/>
        <filter val="0035/ST/2026"/>
        <filter val="0036/ST/2026"/>
        <filter val="0037/ST/2026"/>
        <filter val="0038/ST/2026"/>
        <filter val="0039/ST/2026"/>
        <filter val="0040/ST/2026"/>
        <filter val="0041/ST/2026"/>
        <filter val="0042/ST/2026"/>
        <filter val="0043/ST/2026"/>
        <filter val="0044/ST/2026"/>
        <filter val="0045/ST/2026"/>
        <filter val="0046/ST/2026"/>
        <filter val="0047/ST/2026"/>
        <filter val="0048/ST/2026"/>
        <filter val="0049/ST/2026"/>
        <filter val="0050/ST/2026"/>
        <filter val="0051/ST/2026"/>
        <filter val="0052/ST/2026"/>
        <filter val="0053/ST/2026"/>
        <filter val="0054/ST/2026"/>
        <filter val="0055/ST/2026"/>
        <filter val="0057/ST/2026"/>
        <filter val="0058/ST/2026"/>
        <filter val="0059/ST/2026"/>
        <filter val="0060/ST/2026"/>
        <filter val="0061/ST/2026"/>
        <filter val="0062/ST/2026"/>
        <filter val="0063/ST/2026"/>
        <filter val="0064/ST/2026"/>
        <filter val="0065/ST/2026"/>
        <filter val="0066/ST/2026"/>
        <filter val="0067/ST/2026"/>
        <filter val="0068/ST/2026"/>
        <filter val="0069/ST/2026"/>
        <filter val="0070/ST/2026"/>
        <filter val="0071/ST/2026"/>
        <filter val="0072/ST/2026"/>
        <filter val="0073/ST/2026"/>
        <filter val="0074/ST/2026"/>
        <filter val="0075/ST/2026"/>
        <filter val="0076/ST/2026"/>
        <filter val="0077/ST/2026"/>
        <filter val="0078/ST/2026"/>
        <filter val="0079/ST/2026"/>
        <filter val="0080/ST/2026"/>
        <filter val="0081/ST/2026"/>
        <filter val="0082/ST/2026"/>
        <filter val="0083/ST/2026"/>
        <filter val="0084/ST/2026"/>
        <filter val="0085/ST/2026"/>
        <filter val="0086/ST/2026"/>
        <filter val="0087/ST/2026"/>
        <filter val="0088/ST/2026"/>
        <filter val="0089/ST/2026"/>
        <filter val="0090/ST/2026"/>
        <filter val="0091/ST/2026"/>
        <filter val="0092/ST/2026"/>
        <filter val="0093/ST/2026"/>
        <filter val="0094/ST/2026"/>
        <filter val="0095/ST/2026"/>
        <filter val="0096/ST/2026"/>
        <filter val="0097/ST/2026"/>
        <filter val="0098/ST/2026"/>
        <filter val="0099/ST/2026"/>
        <filter val="0100/ST/2026"/>
        <filter val="0101/ST/2026"/>
        <filter val="0102/ST/2026"/>
        <filter val="0103/ST/2026"/>
        <filter val="0104/ST/2026"/>
        <filter val="0105/ST/2026"/>
        <filter val="0106/ST/2026"/>
        <filter val="0107/ST/2026"/>
        <filter val="0108/ST/2026"/>
        <filter val="0109/ST/2026"/>
        <filter val="0110/ST/2026"/>
        <filter val="0111/ST/2026"/>
      </filters>
    </filterColumn>
  </autoFilter>
  <dataValidations count="1">
    <dataValidation type="list" allowBlank="1" sqref="M4:M695">
      <formula1>"DONE,Progressing,Unpaid,Cancel"</formula1>
    </dataValidation>
  </dataValidations>
  <pageMargins left="0.25" right="0.25" top="0.75" bottom="0.75" header="0" footer="0"/>
  <pageSetup paperSize="9" scale="5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O97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13.6640625" customWidth="1"/>
    <col min="4" max="4" width="7.109375" customWidth="1"/>
    <col min="5" max="5" width="16" customWidth="1"/>
    <col min="6" max="7" width="19.77734375" hidden="1" customWidth="1"/>
    <col min="8" max="8" width="42.6640625" customWidth="1"/>
    <col min="9" max="9" width="14.88671875" customWidth="1"/>
    <col min="10" max="10" width="7.88671875" customWidth="1"/>
    <col min="11" max="12" width="14.6640625" customWidth="1"/>
    <col min="13" max="13" width="13.88671875" customWidth="1"/>
    <col min="14" max="15" width="16.6640625" hidden="1" customWidth="1"/>
    <col min="16" max="16" width="13.6640625" hidden="1" customWidth="1"/>
    <col min="17" max="17" width="20.77734375" hidden="1" customWidth="1"/>
    <col min="18" max="18" width="24.77734375" customWidth="1"/>
  </cols>
  <sheetData>
    <row r="1" spans="1:41" ht="30.75" customHeight="1" x14ac:dyDescent="0.3">
      <c r="A1" s="96"/>
      <c r="B1" s="96"/>
      <c r="C1" s="96"/>
      <c r="D1" s="97" t="s">
        <v>243</v>
      </c>
      <c r="E1" s="98"/>
      <c r="F1" s="96"/>
      <c r="G1" s="96"/>
      <c r="H1" s="99"/>
      <c r="I1" s="119"/>
      <c r="J1" s="120"/>
      <c r="K1" s="119"/>
      <c r="L1" s="119"/>
      <c r="M1" s="102"/>
      <c r="N1" s="101"/>
      <c r="O1" s="100" t="s">
        <v>244</v>
      </c>
      <c r="P1" s="100"/>
      <c r="Q1" s="100"/>
      <c r="R1" s="103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</row>
    <row r="2" spans="1:41" ht="27" customHeight="1" x14ac:dyDescent="0.25">
      <c r="A2" s="105" t="s">
        <v>0</v>
      </c>
      <c r="B2" s="105" t="s">
        <v>245</v>
      </c>
      <c r="C2" s="105" t="s">
        <v>246</v>
      </c>
      <c r="D2" s="106" t="s">
        <v>247</v>
      </c>
      <c r="E2" s="107" t="s">
        <v>248</v>
      </c>
      <c r="F2" s="1" t="s">
        <v>249</v>
      </c>
      <c r="G2" s="1" t="s">
        <v>399</v>
      </c>
      <c r="H2" s="108" t="s">
        <v>250</v>
      </c>
      <c r="I2" s="121" t="s">
        <v>251</v>
      </c>
      <c r="J2" s="122" t="s">
        <v>252</v>
      </c>
      <c r="K2" s="121" t="s">
        <v>253</v>
      </c>
      <c r="L2" s="121" t="s">
        <v>254</v>
      </c>
      <c r="M2" s="9" t="s">
        <v>256</v>
      </c>
      <c r="N2" s="109" t="s">
        <v>257</v>
      </c>
      <c r="O2" s="7" t="s">
        <v>256</v>
      </c>
      <c r="P2" s="7" t="s">
        <v>258</v>
      </c>
      <c r="Q2" s="7" t="s">
        <v>259</v>
      </c>
      <c r="R2" s="110" t="s">
        <v>3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ht="13.8" x14ac:dyDescent="0.25">
      <c r="A3" s="15"/>
      <c r="B3" s="15"/>
      <c r="C3" s="15"/>
      <c r="D3" s="111"/>
      <c r="E3" s="17"/>
      <c r="F3" s="112"/>
      <c r="G3" s="112"/>
      <c r="H3" s="18"/>
      <c r="I3" s="123">
        <f>SUBTOTAL(9,I4:I479)</f>
        <v>1384139168</v>
      </c>
      <c r="J3" s="123"/>
      <c r="K3" s="123">
        <f t="shared" ref="K3:L3" si="0">SUBTOTAL(9,K4:K479)</f>
        <v>109059466.8</v>
      </c>
      <c r="L3" s="123" t="e">
        <f t="shared" si="0"/>
        <v>#VALUE!</v>
      </c>
      <c r="M3" s="21" t="s">
        <v>260</v>
      </c>
      <c r="N3" s="113"/>
      <c r="O3" s="19"/>
      <c r="P3" s="19"/>
      <c r="Q3" s="19"/>
      <c r="R3" s="16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27.6" x14ac:dyDescent="0.25">
      <c r="A4" s="22">
        <f t="shared" ref="A4:A81" si="1">IF(D4="","",SUBTOTAL(3,$D$4:D4))</f>
        <v>1</v>
      </c>
      <c r="B4" s="29" t="s">
        <v>82</v>
      </c>
      <c r="C4" s="24" t="str">
        <f ca="1">IFERROR(__xludf.DUMMYFUNCTION("IFERROR(VLOOKUP(B4,IMPORTRANGE(""https://docs.google.com/spreadsheets/d/1Hr4i_97qtgRe-bfuRbVkLVmXa34m06T7R6IJCbq42Xg/edit?gid=0#gid=0"",""Information!B5:S200""),4,0),"""")"),"")</f>
        <v/>
      </c>
      <c r="D4" s="85" t="s">
        <v>18</v>
      </c>
      <c r="E4" s="26" t="str">
        <f t="shared" ref="E4:E258" si="2">IF(B4="","",(D4 &amp;"/FS/2025"))</f>
        <v>001/FS/2025</v>
      </c>
      <c r="F4" s="31"/>
      <c r="G4" s="31">
        <v>45674</v>
      </c>
      <c r="H4" s="36" t="s">
        <v>400</v>
      </c>
      <c r="I4" s="124">
        <v>7000000</v>
      </c>
      <c r="J4" s="125">
        <v>0.08</v>
      </c>
      <c r="K4" s="124">
        <f t="shared" ref="K4:K62" si="3">I4*J4</f>
        <v>560000</v>
      </c>
      <c r="L4" s="126" t="e">
        <f t="shared" ref="L4:L62" si="4">I4+K4-P4</f>
        <v>#VALUE!</v>
      </c>
      <c r="M4" s="127" t="s">
        <v>20</v>
      </c>
      <c r="N4" s="89">
        <f t="shared" ref="N4:N42" si="5">IF(M4="Done",G4,"")</f>
        <v>45674</v>
      </c>
      <c r="O4" s="35"/>
      <c r="P4" s="37" t="str">
        <f t="shared" ref="P4:P62" si="6">IF(O4="Done",I4*10%,"")</f>
        <v/>
      </c>
      <c r="Q4" s="35"/>
      <c r="R4" s="41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ht="27.6" x14ac:dyDescent="0.25">
      <c r="A5" s="22">
        <f t="shared" si="1"/>
        <v>2</v>
      </c>
      <c r="B5" s="29" t="s">
        <v>82</v>
      </c>
      <c r="C5" s="24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90" t="s">
        <v>22</v>
      </c>
      <c r="E5" s="26" t="str">
        <f t="shared" si="2"/>
        <v>002/FS/2025</v>
      </c>
      <c r="F5" s="31"/>
      <c r="G5" s="31">
        <v>45694</v>
      </c>
      <c r="H5" s="36" t="s">
        <v>401</v>
      </c>
      <c r="I5" s="124">
        <v>7000000</v>
      </c>
      <c r="J5" s="125">
        <v>0.08</v>
      </c>
      <c r="K5" s="124">
        <f t="shared" si="3"/>
        <v>560000</v>
      </c>
      <c r="L5" s="126" t="e">
        <f t="shared" si="4"/>
        <v>#VALUE!</v>
      </c>
      <c r="M5" s="127" t="s">
        <v>20</v>
      </c>
      <c r="N5" s="89">
        <f t="shared" si="5"/>
        <v>45694</v>
      </c>
      <c r="O5" s="35"/>
      <c r="P5" s="37" t="str">
        <f t="shared" si="6"/>
        <v/>
      </c>
      <c r="Q5" s="35"/>
      <c r="R5" s="41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 ht="41.4" x14ac:dyDescent="0.25">
      <c r="A6" s="22">
        <f t="shared" si="1"/>
        <v>3</v>
      </c>
      <c r="B6" s="29" t="s">
        <v>128</v>
      </c>
      <c r="C6" s="24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90" t="s">
        <v>24</v>
      </c>
      <c r="E6" s="26" t="str">
        <f t="shared" si="2"/>
        <v>003/FS/2025</v>
      </c>
      <c r="F6" s="31"/>
      <c r="G6" s="31">
        <v>45700</v>
      </c>
      <c r="H6" s="36" t="s">
        <v>402</v>
      </c>
      <c r="I6" s="124">
        <v>2000000</v>
      </c>
      <c r="J6" s="125">
        <v>0.08</v>
      </c>
      <c r="K6" s="124">
        <f t="shared" si="3"/>
        <v>160000</v>
      </c>
      <c r="L6" s="126" t="e">
        <f t="shared" si="4"/>
        <v>#VALUE!</v>
      </c>
      <c r="M6" s="127" t="s">
        <v>20</v>
      </c>
      <c r="N6" s="89">
        <f t="shared" si="5"/>
        <v>45700</v>
      </c>
      <c r="O6" s="35"/>
      <c r="P6" s="37" t="str">
        <f t="shared" si="6"/>
        <v/>
      </c>
      <c r="Q6" s="35"/>
      <c r="R6" s="41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</row>
    <row r="7" spans="1:41" ht="27.6" x14ac:dyDescent="0.25">
      <c r="A7" s="22">
        <f t="shared" si="1"/>
        <v>4</v>
      </c>
      <c r="B7" s="29" t="s">
        <v>66</v>
      </c>
      <c r="C7" s="24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90" t="s">
        <v>27</v>
      </c>
      <c r="E7" s="26" t="str">
        <f t="shared" si="2"/>
        <v>004/FS/2025</v>
      </c>
      <c r="F7" s="92"/>
      <c r="G7" s="92">
        <v>45722</v>
      </c>
      <c r="H7" s="36" t="s">
        <v>403</v>
      </c>
      <c r="I7" s="124">
        <v>500000</v>
      </c>
      <c r="J7" s="125">
        <v>0.08</v>
      </c>
      <c r="K7" s="124">
        <f t="shared" si="3"/>
        <v>40000</v>
      </c>
      <c r="L7" s="126" t="e">
        <f t="shared" si="4"/>
        <v>#VALUE!</v>
      </c>
      <c r="M7" s="127" t="s">
        <v>20</v>
      </c>
      <c r="N7" s="89">
        <f t="shared" si="5"/>
        <v>45722</v>
      </c>
      <c r="O7" s="35"/>
      <c r="P7" s="37" t="str">
        <f t="shared" si="6"/>
        <v/>
      </c>
      <c r="Q7" s="35"/>
      <c r="R7" s="41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</row>
    <row r="8" spans="1:41" ht="27.6" x14ac:dyDescent="0.25">
      <c r="A8" s="22">
        <f t="shared" si="1"/>
        <v>5</v>
      </c>
      <c r="B8" s="29" t="s">
        <v>82</v>
      </c>
      <c r="C8" s="24" t="str">
        <f ca="1">IFERROR(__xludf.DUMMYFUNCTION("IFERROR(VLOOKUP(B8,IMPORTRANGE(""https://docs.google.com/spreadsheets/d/1Hr4i_97qtgRe-bfuRbVkLVmXa34m06T7R6IJCbq42Xg/edit?gid=0#gid=0"",""Information!B5:S200""),4,0),"""")"),"")</f>
        <v/>
      </c>
      <c r="D8" s="90" t="s">
        <v>29</v>
      </c>
      <c r="E8" s="26" t="str">
        <f t="shared" si="2"/>
        <v>005/FS/2025</v>
      </c>
      <c r="F8" s="92"/>
      <c r="G8" s="92">
        <v>45722</v>
      </c>
      <c r="H8" s="36" t="s">
        <v>404</v>
      </c>
      <c r="I8" s="124">
        <v>7000000</v>
      </c>
      <c r="J8" s="125">
        <v>0.08</v>
      </c>
      <c r="K8" s="124">
        <f t="shared" si="3"/>
        <v>560000</v>
      </c>
      <c r="L8" s="126" t="e">
        <f t="shared" si="4"/>
        <v>#VALUE!</v>
      </c>
      <c r="M8" s="127" t="s">
        <v>20</v>
      </c>
      <c r="N8" s="89">
        <f t="shared" si="5"/>
        <v>45722</v>
      </c>
      <c r="O8" s="35"/>
      <c r="P8" s="37" t="str">
        <f t="shared" si="6"/>
        <v/>
      </c>
      <c r="Q8" s="35"/>
      <c r="R8" s="41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spans="1:41" ht="41.4" x14ac:dyDescent="0.25">
      <c r="A9" s="22">
        <f t="shared" si="1"/>
        <v>6</v>
      </c>
      <c r="B9" s="29" t="s">
        <v>128</v>
      </c>
      <c r="C9" s="24" t="str">
        <f ca="1">IFERROR(__xludf.DUMMYFUNCTION("IFERROR(VLOOKUP(B9,IMPORTRANGE(""https://docs.google.com/spreadsheets/d/1Hr4i_97qtgRe-bfuRbVkLVmXa34m06T7R6IJCbq42Xg/edit?gid=0#gid=0"",""Information!B5:S200""),4,0),"""")"),"")</f>
        <v/>
      </c>
      <c r="D9" s="90" t="s">
        <v>31</v>
      </c>
      <c r="E9" s="26" t="str">
        <f t="shared" si="2"/>
        <v>006/FS/2025</v>
      </c>
      <c r="F9" s="92"/>
      <c r="G9" s="92">
        <v>45724</v>
      </c>
      <c r="H9" s="36" t="s">
        <v>405</v>
      </c>
      <c r="I9" s="124">
        <v>2000000</v>
      </c>
      <c r="J9" s="125">
        <v>0.08</v>
      </c>
      <c r="K9" s="124">
        <f t="shared" si="3"/>
        <v>160000</v>
      </c>
      <c r="L9" s="126" t="e">
        <f t="shared" si="4"/>
        <v>#VALUE!</v>
      </c>
      <c r="M9" s="127" t="s">
        <v>20</v>
      </c>
      <c r="N9" s="89">
        <f t="shared" si="5"/>
        <v>45724</v>
      </c>
      <c r="O9" s="30"/>
      <c r="P9" s="37" t="str">
        <f t="shared" si="6"/>
        <v/>
      </c>
      <c r="Q9" s="30"/>
      <c r="R9" s="41"/>
      <c r="S9" s="33"/>
      <c r="T9" s="33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</row>
    <row r="10" spans="1:41" ht="41.4" x14ac:dyDescent="0.25">
      <c r="A10" s="22">
        <f t="shared" si="1"/>
        <v>7</v>
      </c>
      <c r="B10" s="29" t="s">
        <v>128</v>
      </c>
      <c r="C10" s="24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10" s="90" t="s">
        <v>33</v>
      </c>
      <c r="E10" s="26" t="str">
        <f t="shared" si="2"/>
        <v>007/FS/2025</v>
      </c>
      <c r="F10" s="92"/>
      <c r="G10" s="92">
        <v>45756</v>
      </c>
      <c r="H10" s="36" t="s">
        <v>406</v>
      </c>
      <c r="I10" s="124">
        <v>2000000</v>
      </c>
      <c r="J10" s="125">
        <v>0.08</v>
      </c>
      <c r="K10" s="124">
        <f t="shared" si="3"/>
        <v>160000</v>
      </c>
      <c r="L10" s="126" t="e">
        <f t="shared" si="4"/>
        <v>#VALUE!</v>
      </c>
      <c r="M10" s="127" t="s">
        <v>20</v>
      </c>
      <c r="N10" s="89">
        <f t="shared" si="5"/>
        <v>45756</v>
      </c>
      <c r="O10" s="35"/>
      <c r="P10" s="37" t="str">
        <f t="shared" si="6"/>
        <v/>
      </c>
      <c r="Q10" s="35"/>
      <c r="R10" s="41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</row>
    <row r="11" spans="1:41" ht="27.6" x14ac:dyDescent="0.25">
      <c r="A11" s="22">
        <f t="shared" si="1"/>
        <v>8</v>
      </c>
      <c r="B11" s="29" t="s">
        <v>118</v>
      </c>
      <c r="C11" s="24" t="str">
        <f ca="1">IFERROR(__xludf.DUMMYFUNCTION("IFERROR(VLOOKUP(B11,IMPORTRANGE(""https://docs.google.com/spreadsheets/d/1Hr4i_97qtgRe-bfuRbVkLVmXa34m06T7R6IJCbq42Xg/edit?gid=0#gid=0"",""Information!B5:S200""),4,0),"""")"),"")</f>
        <v/>
      </c>
      <c r="D11" s="90" t="s">
        <v>35</v>
      </c>
      <c r="E11" s="26" t="str">
        <f t="shared" si="2"/>
        <v>008/FS/2025</v>
      </c>
      <c r="F11" s="31"/>
      <c r="G11" s="31">
        <v>45775</v>
      </c>
      <c r="H11" s="36" t="s">
        <v>403</v>
      </c>
      <c r="I11" s="124">
        <v>500000</v>
      </c>
      <c r="J11" s="125">
        <v>0.08</v>
      </c>
      <c r="K11" s="124">
        <f t="shared" si="3"/>
        <v>40000</v>
      </c>
      <c r="L11" s="126" t="e">
        <f t="shared" si="4"/>
        <v>#VALUE!</v>
      </c>
      <c r="M11" s="127" t="s">
        <v>20</v>
      </c>
      <c r="N11" s="89">
        <f t="shared" si="5"/>
        <v>45775</v>
      </c>
      <c r="O11" s="35"/>
      <c r="P11" s="37" t="str">
        <f t="shared" si="6"/>
        <v/>
      </c>
      <c r="Q11" s="35"/>
      <c r="R11" s="41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</row>
    <row r="12" spans="1:41" ht="41.4" x14ac:dyDescent="0.25">
      <c r="A12" s="22">
        <f t="shared" si="1"/>
        <v>9</v>
      </c>
      <c r="B12" s="29" t="s">
        <v>54</v>
      </c>
      <c r="C12" s="24" t="str">
        <f ca="1">IFERROR(__xludf.DUMMYFUNCTION("IFERROR(VLOOKUP(B12,IMPORTRANGE(""https://docs.google.com/spreadsheets/d/1Hr4i_97qtgRe-bfuRbVkLVmXa34m06T7R6IJCbq42Xg/edit?gid=0#gid=0"",""Information!B5:S200""),4,0),"""")"),"")</f>
        <v/>
      </c>
      <c r="D12" s="90" t="s">
        <v>37</v>
      </c>
      <c r="E12" s="26" t="str">
        <f t="shared" si="2"/>
        <v>009/FS/2025</v>
      </c>
      <c r="F12" s="92"/>
      <c r="G12" s="92">
        <v>45784</v>
      </c>
      <c r="H12" s="36" t="s">
        <v>407</v>
      </c>
      <c r="I12" s="124">
        <v>3000000</v>
      </c>
      <c r="J12" s="125">
        <v>0.08</v>
      </c>
      <c r="K12" s="124">
        <f t="shared" si="3"/>
        <v>240000</v>
      </c>
      <c r="L12" s="126" t="e">
        <f t="shared" si="4"/>
        <v>#VALUE!</v>
      </c>
      <c r="M12" s="127" t="s">
        <v>20</v>
      </c>
      <c r="N12" s="89">
        <f t="shared" si="5"/>
        <v>45784</v>
      </c>
      <c r="O12" s="35"/>
      <c r="P12" s="37" t="str">
        <f t="shared" si="6"/>
        <v/>
      </c>
      <c r="Q12" s="35"/>
      <c r="R12" s="41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spans="1:41" ht="41.4" x14ac:dyDescent="0.25">
      <c r="A13" s="22">
        <f t="shared" si="1"/>
        <v>10</v>
      </c>
      <c r="B13" s="29" t="s">
        <v>23</v>
      </c>
      <c r="C13" s="24" t="str">
        <f ca="1">IFERROR(__xludf.DUMMYFUNCTION("IFERROR(VLOOKUP(B13,IMPORTRANGE(""https://docs.google.com/spreadsheets/d/1Hr4i_97qtgRe-bfuRbVkLVmXa34m06T7R6IJCbq42Xg/edit?gid=0#gid=0"",""Information!B5:S200""),4,0),"""")"),"")</f>
        <v/>
      </c>
      <c r="D13" s="90" t="s">
        <v>39</v>
      </c>
      <c r="E13" s="26" t="str">
        <f t="shared" si="2"/>
        <v>010/FS/2025</v>
      </c>
      <c r="F13" s="31"/>
      <c r="G13" s="31">
        <v>45785</v>
      </c>
      <c r="H13" s="36" t="s">
        <v>407</v>
      </c>
      <c r="I13" s="124">
        <v>1500000</v>
      </c>
      <c r="J13" s="125">
        <v>0.08</v>
      </c>
      <c r="K13" s="124">
        <f t="shared" si="3"/>
        <v>120000</v>
      </c>
      <c r="L13" s="126" t="e">
        <f t="shared" si="4"/>
        <v>#VALUE!</v>
      </c>
      <c r="M13" s="127" t="s">
        <v>20</v>
      </c>
      <c r="N13" s="89">
        <f t="shared" si="5"/>
        <v>45785</v>
      </c>
      <c r="O13" s="35"/>
      <c r="P13" s="37" t="str">
        <f t="shared" si="6"/>
        <v/>
      </c>
      <c r="Q13" s="35"/>
      <c r="R13" s="41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 spans="1:41" ht="41.4" x14ac:dyDescent="0.25">
      <c r="A14" s="22">
        <f t="shared" si="1"/>
        <v>11</v>
      </c>
      <c r="B14" s="29" t="s">
        <v>16</v>
      </c>
      <c r="C14" s="24" t="str">
        <f ca="1">IFERROR(__xludf.DUMMYFUNCTION("IFERROR(VLOOKUP(B14,IMPORTRANGE(""https://docs.google.com/spreadsheets/d/1Hr4i_97qtgRe-bfuRbVkLVmXa34m06T7R6IJCbq42Xg/edit?gid=0#gid=0"",""Information!B5:S200""),4,0),"""")"),"")</f>
        <v/>
      </c>
      <c r="D14" s="90" t="s">
        <v>41</v>
      </c>
      <c r="E14" s="26" t="str">
        <f t="shared" si="2"/>
        <v>011/FS/2025</v>
      </c>
      <c r="F14" s="31"/>
      <c r="G14" s="31">
        <v>45786</v>
      </c>
      <c r="H14" s="36" t="s">
        <v>407</v>
      </c>
      <c r="I14" s="124">
        <v>5000000</v>
      </c>
      <c r="J14" s="125">
        <v>0.08</v>
      </c>
      <c r="K14" s="124">
        <f t="shared" si="3"/>
        <v>400000</v>
      </c>
      <c r="L14" s="126" t="e">
        <f t="shared" si="4"/>
        <v>#VALUE!</v>
      </c>
      <c r="M14" s="127" t="s">
        <v>20</v>
      </c>
      <c r="N14" s="89">
        <f t="shared" si="5"/>
        <v>45786</v>
      </c>
      <c r="O14" s="35"/>
      <c r="P14" s="37" t="str">
        <f t="shared" si="6"/>
        <v/>
      </c>
      <c r="Q14" s="35"/>
      <c r="R14" s="41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spans="1:41" ht="27.6" x14ac:dyDescent="0.25">
      <c r="A15" s="22">
        <f t="shared" si="1"/>
        <v>12</v>
      </c>
      <c r="B15" s="29" t="s">
        <v>176</v>
      </c>
      <c r="C15" s="24" t="str">
        <f ca="1">IFERROR(__xludf.DUMMYFUNCTION("IFERROR(VLOOKUP(B15,IMPORTRANGE(""https://docs.google.com/spreadsheets/d/1Hr4i_97qtgRe-bfuRbVkLVmXa34m06T7R6IJCbq42Xg/edit?gid=0#gid=0"",""Information!B5:S200""),4,0),"""")"),"")</f>
        <v/>
      </c>
      <c r="D15" s="90" t="s">
        <v>43</v>
      </c>
      <c r="E15" s="26" t="str">
        <f t="shared" si="2"/>
        <v>012/FS/2025</v>
      </c>
      <c r="F15" s="31"/>
      <c r="G15" s="31">
        <v>45786</v>
      </c>
      <c r="H15" s="36" t="s">
        <v>403</v>
      </c>
      <c r="I15" s="124">
        <v>1000000</v>
      </c>
      <c r="J15" s="125">
        <v>0.08</v>
      </c>
      <c r="K15" s="124">
        <f t="shared" si="3"/>
        <v>80000</v>
      </c>
      <c r="L15" s="126" t="e">
        <f t="shared" si="4"/>
        <v>#VALUE!</v>
      </c>
      <c r="M15" s="127" t="s">
        <v>20</v>
      </c>
      <c r="N15" s="89">
        <f t="shared" si="5"/>
        <v>45786</v>
      </c>
      <c r="O15" s="30"/>
      <c r="P15" s="37" t="str">
        <f t="shared" si="6"/>
        <v/>
      </c>
      <c r="Q15" s="30"/>
      <c r="R15" s="41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</row>
    <row r="16" spans="1:41" ht="41.4" x14ac:dyDescent="0.25">
      <c r="A16" s="22">
        <f t="shared" si="1"/>
        <v>13</v>
      </c>
      <c r="B16" s="29" t="s">
        <v>50</v>
      </c>
      <c r="C16" s="24" t="str">
        <f ca="1">IFERROR(__xludf.DUMMYFUNCTION("IFERROR(VLOOKUP(B16,IMPORTRANGE(""https://docs.google.com/spreadsheets/d/1Hr4i_97qtgRe-bfuRbVkLVmXa34m06T7R6IJCbq42Xg/edit?gid=0#gid=0"",""Information!B5:S200""),4,0),"""")"),"")</f>
        <v/>
      </c>
      <c r="D16" s="90" t="s">
        <v>45</v>
      </c>
      <c r="E16" s="26" t="str">
        <f t="shared" si="2"/>
        <v>013/FS/2025</v>
      </c>
      <c r="F16" s="31"/>
      <c r="G16" s="31">
        <v>45786</v>
      </c>
      <c r="H16" s="36" t="s">
        <v>407</v>
      </c>
      <c r="I16" s="124">
        <v>4500000</v>
      </c>
      <c r="J16" s="125">
        <v>0.08</v>
      </c>
      <c r="K16" s="124">
        <f t="shared" si="3"/>
        <v>360000</v>
      </c>
      <c r="L16" s="126" t="e">
        <f t="shared" si="4"/>
        <v>#VALUE!</v>
      </c>
      <c r="M16" s="127" t="s">
        <v>20</v>
      </c>
      <c r="N16" s="89">
        <f t="shared" si="5"/>
        <v>45786</v>
      </c>
      <c r="O16" s="35"/>
      <c r="P16" s="37" t="str">
        <f t="shared" si="6"/>
        <v/>
      </c>
      <c r="Q16" s="35"/>
      <c r="R16" s="41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</row>
    <row r="17" spans="1:41" ht="41.4" x14ac:dyDescent="0.25">
      <c r="A17" s="22">
        <f t="shared" si="1"/>
        <v>14</v>
      </c>
      <c r="B17" s="29" t="s">
        <v>80</v>
      </c>
      <c r="C17" s="24" t="str">
        <f ca="1">IFERROR(__xludf.DUMMYFUNCTION("IFERROR(VLOOKUP(B17,IMPORTRANGE(""https://docs.google.com/spreadsheets/d/1Hr4i_97qtgRe-bfuRbVkLVmXa34m06T7R6IJCbq42Xg/edit?gid=0#gid=0"",""Information!B5:S200""),4,0),"""")"),"")</f>
        <v/>
      </c>
      <c r="D17" s="90" t="s">
        <v>47</v>
      </c>
      <c r="E17" s="26" t="str">
        <f t="shared" si="2"/>
        <v>014/FS/2025</v>
      </c>
      <c r="F17" s="31"/>
      <c r="G17" s="31">
        <v>45786</v>
      </c>
      <c r="H17" s="36" t="s">
        <v>407</v>
      </c>
      <c r="I17" s="124">
        <v>3000000</v>
      </c>
      <c r="J17" s="125">
        <v>0.08</v>
      </c>
      <c r="K17" s="124">
        <f t="shared" si="3"/>
        <v>240000</v>
      </c>
      <c r="L17" s="126" t="e">
        <f t="shared" si="4"/>
        <v>#VALUE!</v>
      </c>
      <c r="M17" s="127" t="s">
        <v>20</v>
      </c>
      <c r="N17" s="89">
        <f t="shared" si="5"/>
        <v>45786</v>
      </c>
      <c r="O17" s="35"/>
      <c r="P17" s="37" t="str">
        <f t="shared" si="6"/>
        <v/>
      </c>
      <c r="Q17" s="35"/>
      <c r="R17" s="41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</row>
    <row r="18" spans="1:41" ht="41.4" x14ac:dyDescent="0.25">
      <c r="A18" s="22">
        <f t="shared" si="1"/>
        <v>15</v>
      </c>
      <c r="B18" s="29" t="s">
        <v>112</v>
      </c>
      <c r="C18" s="24" t="str">
        <f ca="1">IFERROR(__xludf.DUMMYFUNCTION("IFERROR(VLOOKUP(B18,IMPORTRANGE(""https://docs.google.com/spreadsheets/d/1Hr4i_97qtgRe-bfuRbVkLVmXa34m06T7R6IJCbq42Xg/edit?gid=0#gid=0"",""Information!B5:S200""),4,0),"""")"),"")</f>
        <v/>
      </c>
      <c r="D18" s="90" t="s">
        <v>49</v>
      </c>
      <c r="E18" s="26" t="str">
        <f t="shared" si="2"/>
        <v>015/FS/2025</v>
      </c>
      <c r="F18" s="31"/>
      <c r="G18" s="31">
        <v>45786</v>
      </c>
      <c r="H18" s="36" t="s">
        <v>408</v>
      </c>
      <c r="I18" s="124">
        <v>9500000</v>
      </c>
      <c r="J18" s="125">
        <v>0.08</v>
      </c>
      <c r="K18" s="124">
        <f t="shared" si="3"/>
        <v>760000</v>
      </c>
      <c r="L18" s="126" t="e">
        <f t="shared" si="4"/>
        <v>#VALUE!</v>
      </c>
      <c r="M18" s="127" t="s">
        <v>20</v>
      </c>
      <c r="N18" s="89">
        <f t="shared" si="5"/>
        <v>45786</v>
      </c>
      <c r="O18" s="35"/>
      <c r="P18" s="37" t="str">
        <f t="shared" si="6"/>
        <v/>
      </c>
      <c r="Q18" s="35"/>
      <c r="R18" s="41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</row>
    <row r="19" spans="1:41" ht="41.4" x14ac:dyDescent="0.25">
      <c r="A19" s="22">
        <f t="shared" si="1"/>
        <v>16</v>
      </c>
      <c r="B19" s="29" t="s">
        <v>126</v>
      </c>
      <c r="C19" s="24" t="str">
        <f ca="1">IFERROR(__xludf.DUMMYFUNCTION("IFERROR(VLOOKUP(B19,IMPORTRANGE(""https://docs.google.com/spreadsheets/d/1Hr4i_97qtgRe-bfuRbVkLVmXa34m06T7R6IJCbq42Xg/edit?gid=0#gid=0"",""Information!B5:S200""),4,0),"""")"),"")</f>
        <v/>
      </c>
      <c r="D19" s="90" t="s">
        <v>51</v>
      </c>
      <c r="E19" s="26" t="str">
        <f t="shared" si="2"/>
        <v>016/FS/2025</v>
      </c>
      <c r="F19" s="31"/>
      <c r="G19" s="31">
        <v>45786</v>
      </c>
      <c r="H19" s="36" t="s">
        <v>407</v>
      </c>
      <c r="I19" s="124">
        <v>3500000</v>
      </c>
      <c r="J19" s="125">
        <v>0.08</v>
      </c>
      <c r="K19" s="124">
        <f t="shared" si="3"/>
        <v>280000</v>
      </c>
      <c r="L19" s="126" t="e">
        <f t="shared" si="4"/>
        <v>#VALUE!</v>
      </c>
      <c r="M19" s="127" t="s">
        <v>20</v>
      </c>
      <c r="N19" s="89">
        <f t="shared" si="5"/>
        <v>45786</v>
      </c>
      <c r="O19" s="35"/>
      <c r="P19" s="37" t="str">
        <f t="shared" si="6"/>
        <v/>
      </c>
      <c r="Q19" s="35"/>
      <c r="R19" s="41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</row>
    <row r="20" spans="1:41" ht="41.4" x14ac:dyDescent="0.25">
      <c r="A20" s="22">
        <f t="shared" si="1"/>
        <v>17</v>
      </c>
      <c r="B20" s="29" t="s">
        <v>140</v>
      </c>
      <c r="C20" s="24" t="str">
        <f ca="1">IFERROR(__xludf.DUMMYFUNCTION("IFERROR(VLOOKUP(B20,IMPORTRANGE(""https://docs.google.com/spreadsheets/d/1Hr4i_97qtgRe-bfuRbVkLVmXa34m06T7R6IJCbq42Xg/edit?gid=0#gid=0"",""Information!B5:S200""),4,0),"""")"),"")</f>
        <v/>
      </c>
      <c r="D20" s="90" t="s">
        <v>53</v>
      </c>
      <c r="E20" s="26" t="str">
        <f t="shared" si="2"/>
        <v>017/FS/2025</v>
      </c>
      <c r="F20" s="31"/>
      <c r="G20" s="31">
        <v>45786</v>
      </c>
      <c r="H20" s="36" t="s">
        <v>407</v>
      </c>
      <c r="I20" s="124">
        <v>3000000</v>
      </c>
      <c r="J20" s="125">
        <v>0.08</v>
      </c>
      <c r="K20" s="124">
        <f t="shared" si="3"/>
        <v>240000</v>
      </c>
      <c r="L20" s="126" t="e">
        <f t="shared" si="4"/>
        <v>#VALUE!</v>
      </c>
      <c r="M20" s="127" t="s">
        <v>20</v>
      </c>
      <c r="N20" s="89">
        <f t="shared" si="5"/>
        <v>45786</v>
      </c>
      <c r="O20" s="35"/>
      <c r="P20" s="37" t="str">
        <f t="shared" si="6"/>
        <v/>
      </c>
      <c r="Q20" s="35"/>
      <c r="R20" s="41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</row>
    <row r="21" spans="1:41" ht="41.4" x14ac:dyDescent="0.25">
      <c r="A21" s="22">
        <f t="shared" si="1"/>
        <v>18</v>
      </c>
      <c r="B21" s="29" t="s">
        <v>48</v>
      </c>
      <c r="C21" s="24" t="str">
        <f ca="1">IFERROR(__xludf.DUMMYFUNCTION("IFERROR(VLOOKUP(B21,IMPORTRANGE(""https://docs.google.com/spreadsheets/d/1Hr4i_97qtgRe-bfuRbVkLVmXa34m06T7R6IJCbq42Xg/edit?gid=0#gid=0"",""Information!B5:S200""),4,0),"""")"),"")</f>
        <v/>
      </c>
      <c r="D21" s="90" t="s">
        <v>55</v>
      </c>
      <c r="E21" s="26" t="str">
        <f t="shared" si="2"/>
        <v>018/FS/2025</v>
      </c>
      <c r="F21" s="31"/>
      <c r="G21" s="31">
        <v>45787</v>
      </c>
      <c r="H21" s="36" t="s">
        <v>407</v>
      </c>
      <c r="I21" s="124">
        <v>3000000</v>
      </c>
      <c r="J21" s="125">
        <v>0.08</v>
      </c>
      <c r="K21" s="124">
        <f t="shared" si="3"/>
        <v>240000</v>
      </c>
      <c r="L21" s="126" t="e">
        <f t="shared" si="4"/>
        <v>#VALUE!</v>
      </c>
      <c r="M21" s="127" t="s">
        <v>20</v>
      </c>
      <c r="N21" s="89">
        <f t="shared" si="5"/>
        <v>45787</v>
      </c>
      <c r="O21" s="30"/>
      <c r="P21" s="37" t="str">
        <f t="shared" si="6"/>
        <v/>
      </c>
      <c r="Q21" s="30"/>
      <c r="R21" s="41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</row>
    <row r="22" spans="1:41" ht="41.4" x14ac:dyDescent="0.25">
      <c r="A22" s="22">
        <f t="shared" si="1"/>
        <v>19</v>
      </c>
      <c r="B22" s="29" t="s">
        <v>52</v>
      </c>
      <c r="C22" s="24" t="str">
        <f ca="1">IFERROR(__xludf.DUMMYFUNCTION("IFERROR(VLOOKUP(B22,IMPORTRANGE(""https://docs.google.com/spreadsheets/d/1Hr4i_97qtgRe-bfuRbVkLVmXa34m06T7R6IJCbq42Xg/edit?gid=0#gid=0"",""Information!B5:S200""),4,0),"""")"),"")</f>
        <v/>
      </c>
      <c r="D22" s="90" t="s">
        <v>57</v>
      </c>
      <c r="E22" s="26" t="str">
        <f t="shared" si="2"/>
        <v>019/FS/2025</v>
      </c>
      <c r="F22" s="31"/>
      <c r="G22" s="31">
        <v>45787</v>
      </c>
      <c r="H22" s="36" t="s">
        <v>407</v>
      </c>
      <c r="I22" s="124">
        <v>4000000</v>
      </c>
      <c r="J22" s="125">
        <v>0.08</v>
      </c>
      <c r="K22" s="124">
        <f t="shared" si="3"/>
        <v>320000</v>
      </c>
      <c r="L22" s="126" t="e">
        <f t="shared" si="4"/>
        <v>#VALUE!</v>
      </c>
      <c r="M22" s="127" t="s">
        <v>20</v>
      </c>
      <c r="N22" s="89">
        <f t="shared" si="5"/>
        <v>45787</v>
      </c>
      <c r="O22" s="30"/>
      <c r="P22" s="37" t="str">
        <f t="shared" si="6"/>
        <v/>
      </c>
      <c r="Q22" s="30"/>
      <c r="R22" s="25"/>
      <c r="S22" s="33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</row>
    <row r="23" spans="1:41" ht="41.4" x14ac:dyDescent="0.25">
      <c r="A23" s="22">
        <f t="shared" si="1"/>
        <v>20</v>
      </c>
      <c r="B23" s="29" t="s">
        <v>90</v>
      </c>
      <c r="C23" s="24" t="str">
        <f ca="1">IFERROR(__xludf.DUMMYFUNCTION("IFERROR(VLOOKUP(B23,IMPORTRANGE(""https://docs.google.com/spreadsheets/d/1Hr4i_97qtgRe-bfuRbVkLVmXa34m06T7R6IJCbq42Xg/edit?gid=0#gid=0"",""Information!B5:S200""),4,0),"""")"),"")</f>
        <v/>
      </c>
      <c r="D23" s="90" t="s">
        <v>59</v>
      </c>
      <c r="E23" s="26" t="str">
        <f t="shared" si="2"/>
        <v>020/FS/2025</v>
      </c>
      <c r="F23" s="31"/>
      <c r="G23" s="31">
        <v>45787</v>
      </c>
      <c r="H23" s="36" t="s">
        <v>407</v>
      </c>
      <c r="I23" s="124">
        <v>3000000</v>
      </c>
      <c r="J23" s="125">
        <v>0.08</v>
      </c>
      <c r="K23" s="124">
        <f t="shared" si="3"/>
        <v>240000</v>
      </c>
      <c r="L23" s="126" t="e">
        <f t="shared" si="4"/>
        <v>#VALUE!</v>
      </c>
      <c r="M23" s="127" t="s">
        <v>20</v>
      </c>
      <c r="N23" s="89">
        <f t="shared" si="5"/>
        <v>45787</v>
      </c>
      <c r="O23" s="30"/>
      <c r="P23" s="37" t="str">
        <f t="shared" si="6"/>
        <v/>
      </c>
      <c r="Q23" s="30"/>
      <c r="R23" s="25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</row>
    <row r="24" spans="1:41" ht="41.4" x14ac:dyDescent="0.25">
      <c r="A24" s="22">
        <f t="shared" si="1"/>
        <v>21</v>
      </c>
      <c r="B24" s="29" t="s">
        <v>42</v>
      </c>
      <c r="C24" s="24" t="str">
        <f ca="1">IFERROR(__xludf.DUMMYFUNCTION("IFERROR(VLOOKUP(B24,IMPORTRANGE(""https://docs.google.com/spreadsheets/d/1Hr4i_97qtgRe-bfuRbVkLVmXa34m06T7R6IJCbq42Xg/edit?gid=0#gid=0"",""Information!B5:S200""),4,0),"""")"),"")</f>
        <v/>
      </c>
      <c r="D24" s="90" t="s">
        <v>61</v>
      </c>
      <c r="E24" s="26" t="str">
        <f t="shared" si="2"/>
        <v>021/FS/2025</v>
      </c>
      <c r="F24" s="31"/>
      <c r="G24" s="31">
        <v>45789</v>
      </c>
      <c r="H24" s="36" t="s">
        <v>407</v>
      </c>
      <c r="I24" s="124">
        <v>3000000</v>
      </c>
      <c r="J24" s="125">
        <v>0.08</v>
      </c>
      <c r="K24" s="124">
        <f t="shared" si="3"/>
        <v>240000</v>
      </c>
      <c r="L24" s="126" t="e">
        <f t="shared" si="4"/>
        <v>#VALUE!</v>
      </c>
      <c r="M24" s="127" t="s">
        <v>20</v>
      </c>
      <c r="N24" s="89">
        <f t="shared" si="5"/>
        <v>45789</v>
      </c>
      <c r="O24" s="35"/>
      <c r="P24" s="37" t="str">
        <f t="shared" si="6"/>
        <v/>
      </c>
      <c r="Q24" s="35"/>
      <c r="R24" s="41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</row>
    <row r="25" spans="1:41" ht="41.4" x14ac:dyDescent="0.25">
      <c r="A25" s="22">
        <f t="shared" si="1"/>
        <v>22</v>
      </c>
      <c r="B25" s="29" t="s">
        <v>102</v>
      </c>
      <c r="C25" s="24" t="str">
        <f ca="1">IFERROR(__xludf.DUMMYFUNCTION("IFERROR(VLOOKUP(B25,IMPORTRANGE(""https://docs.google.com/spreadsheets/d/1Hr4i_97qtgRe-bfuRbVkLVmXa34m06T7R6IJCbq42Xg/edit?gid=0#gid=0"",""Information!B5:S200""),4,0),"""")"),"")</f>
        <v/>
      </c>
      <c r="D25" s="90" t="s">
        <v>63</v>
      </c>
      <c r="E25" s="26" t="str">
        <f t="shared" si="2"/>
        <v>022/FS/2025</v>
      </c>
      <c r="F25" s="31"/>
      <c r="G25" s="31">
        <v>45789</v>
      </c>
      <c r="H25" s="36" t="s">
        <v>407</v>
      </c>
      <c r="I25" s="124">
        <v>6000000</v>
      </c>
      <c r="J25" s="125">
        <v>0.08</v>
      </c>
      <c r="K25" s="124">
        <f t="shared" si="3"/>
        <v>480000</v>
      </c>
      <c r="L25" s="126" t="e">
        <f t="shared" si="4"/>
        <v>#VALUE!</v>
      </c>
      <c r="M25" s="127" t="s">
        <v>20</v>
      </c>
      <c r="N25" s="89">
        <f t="shared" si="5"/>
        <v>45789</v>
      </c>
      <c r="O25" s="35"/>
      <c r="P25" s="37" t="str">
        <f t="shared" si="6"/>
        <v/>
      </c>
      <c r="Q25" s="35"/>
      <c r="R25" s="41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</row>
    <row r="26" spans="1:41" ht="41.4" x14ac:dyDescent="0.25">
      <c r="A26" s="22">
        <f t="shared" si="1"/>
        <v>23</v>
      </c>
      <c r="B26" s="29" t="s">
        <v>134</v>
      </c>
      <c r="C26" s="24" t="str">
        <f ca="1">IFERROR(__xludf.DUMMYFUNCTION("IFERROR(VLOOKUP(B26,IMPORTRANGE(""https://docs.google.com/spreadsheets/d/1Hr4i_97qtgRe-bfuRbVkLVmXa34m06T7R6IJCbq42Xg/edit?gid=0#gid=0"",""Information!B5:S200""),4,0),"""")"),"")</f>
        <v/>
      </c>
      <c r="D26" s="90" t="s">
        <v>65</v>
      </c>
      <c r="E26" s="26" t="str">
        <f t="shared" si="2"/>
        <v>023/FS/2025</v>
      </c>
      <c r="F26" s="31"/>
      <c r="G26" s="31">
        <v>45789</v>
      </c>
      <c r="H26" s="36" t="s">
        <v>407</v>
      </c>
      <c r="I26" s="124">
        <v>4500000</v>
      </c>
      <c r="J26" s="125">
        <v>0.08</v>
      </c>
      <c r="K26" s="124">
        <f t="shared" si="3"/>
        <v>360000</v>
      </c>
      <c r="L26" s="126" t="e">
        <f t="shared" si="4"/>
        <v>#VALUE!</v>
      </c>
      <c r="M26" s="127" t="s">
        <v>20</v>
      </c>
      <c r="N26" s="89">
        <f t="shared" si="5"/>
        <v>45789</v>
      </c>
      <c r="O26" s="35"/>
      <c r="P26" s="37" t="str">
        <f t="shared" si="6"/>
        <v/>
      </c>
      <c r="Q26" s="35"/>
      <c r="R26" s="25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spans="1:41" ht="41.4" x14ac:dyDescent="0.25">
      <c r="A27" s="22">
        <f t="shared" si="1"/>
        <v>24</v>
      </c>
      <c r="B27" s="29" t="s">
        <v>150</v>
      </c>
      <c r="C27" s="24" t="str">
        <f ca="1">IFERROR(__xludf.DUMMYFUNCTION("IFERROR(VLOOKUP(B27,IMPORTRANGE(""https://docs.google.com/spreadsheets/d/1Hr4i_97qtgRe-bfuRbVkLVmXa34m06T7R6IJCbq42Xg/edit?gid=0#gid=0"",""Information!B5:S200""),4,0),"""")"),"")</f>
        <v/>
      </c>
      <c r="D27" s="90" t="s">
        <v>67</v>
      </c>
      <c r="E27" s="26" t="str">
        <f t="shared" si="2"/>
        <v>024/FS/2025</v>
      </c>
      <c r="F27" s="31"/>
      <c r="G27" s="31">
        <v>45789</v>
      </c>
      <c r="H27" s="36" t="s">
        <v>407</v>
      </c>
      <c r="I27" s="124">
        <v>3000000</v>
      </c>
      <c r="J27" s="125">
        <v>0.08</v>
      </c>
      <c r="K27" s="124">
        <f t="shared" si="3"/>
        <v>240000</v>
      </c>
      <c r="L27" s="126" t="e">
        <f t="shared" si="4"/>
        <v>#VALUE!</v>
      </c>
      <c r="M27" s="127" t="s">
        <v>20</v>
      </c>
      <c r="N27" s="89">
        <f t="shared" si="5"/>
        <v>45789</v>
      </c>
      <c r="O27" s="30"/>
      <c r="P27" s="37" t="str">
        <f t="shared" si="6"/>
        <v/>
      </c>
      <c r="Q27" s="30"/>
      <c r="R27" s="2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 spans="1:41" ht="27.6" x14ac:dyDescent="0.25">
      <c r="A28" s="22">
        <f t="shared" si="1"/>
        <v>25</v>
      </c>
      <c r="B28" s="29" t="s">
        <v>174</v>
      </c>
      <c r="C28" s="24" t="str">
        <f ca="1">IFERROR(__xludf.DUMMYFUNCTION("IFERROR(VLOOKUP(B28,IMPORTRANGE(""https://docs.google.com/spreadsheets/d/1Hr4i_97qtgRe-bfuRbVkLVmXa34m06T7R6IJCbq42Xg/edit?gid=0#gid=0"",""Information!B5:S200""),4,0),"""")"),"")</f>
        <v/>
      </c>
      <c r="D28" s="90" t="s">
        <v>69</v>
      </c>
      <c r="E28" s="26" t="str">
        <f t="shared" si="2"/>
        <v>025/FS/2025</v>
      </c>
      <c r="F28" s="31"/>
      <c r="G28" s="31">
        <v>45789</v>
      </c>
      <c r="H28" s="36" t="s">
        <v>403</v>
      </c>
      <c r="I28" s="124">
        <v>1000000</v>
      </c>
      <c r="J28" s="125">
        <v>0.08</v>
      </c>
      <c r="K28" s="124">
        <f t="shared" si="3"/>
        <v>80000</v>
      </c>
      <c r="L28" s="126" t="e">
        <f t="shared" si="4"/>
        <v>#VALUE!</v>
      </c>
      <c r="M28" s="127" t="s">
        <v>20</v>
      </c>
      <c r="N28" s="89">
        <f t="shared" si="5"/>
        <v>45789</v>
      </c>
      <c r="O28" s="35"/>
      <c r="P28" s="37" t="str">
        <f t="shared" si="6"/>
        <v/>
      </c>
      <c r="Q28" s="35"/>
      <c r="R28" s="41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</row>
    <row r="29" spans="1:41" ht="27.6" x14ac:dyDescent="0.25">
      <c r="A29" s="22">
        <f t="shared" si="1"/>
        <v>26</v>
      </c>
      <c r="B29" s="29" t="s">
        <v>160</v>
      </c>
      <c r="C29" s="24" t="str">
        <f ca="1">IFERROR(__xludf.DUMMYFUNCTION("IFERROR(VLOOKUP(B29,IMPORTRANGE(""https://docs.google.com/spreadsheets/d/1Hr4i_97qtgRe-bfuRbVkLVmXa34m06T7R6IJCbq42Xg/edit?gid=0#gid=0"",""Information!B5:S200""),4,0),"""")"),"")</f>
        <v/>
      </c>
      <c r="D29" s="90" t="s">
        <v>71</v>
      </c>
      <c r="E29" s="26" t="str">
        <f t="shared" si="2"/>
        <v>026/FS/2025</v>
      </c>
      <c r="F29" s="31"/>
      <c r="G29" s="31">
        <v>45789</v>
      </c>
      <c r="H29" s="36" t="s">
        <v>403</v>
      </c>
      <c r="I29" s="124">
        <v>1000000</v>
      </c>
      <c r="J29" s="125">
        <v>0.08</v>
      </c>
      <c r="K29" s="124">
        <f t="shared" si="3"/>
        <v>80000</v>
      </c>
      <c r="L29" s="126" t="e">
        <f t="shared" si="4"/>
        <v>#VALUE!</v>
      </c>
      <c r="M29" s="127" t="s">
        <v>20</v>
      </c>
      <c r="N29" s="89">
        <f t="shared" si="5"/>
        <v>45789</v>
      </c>
      <c r="O29" s="35"/>
      <c r="P29" s="37" t="str">
        <f t="shared" si="6"/>
        <v/>
      </c>
      <c r="Q29" s="35"/>
      <c r="R29" s="41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</row>
    <row r="30" spans="1:41" ht="41.4" x14ac:dyDescent="0.25">
      <c r="A30" s="22">
        <f t="shared" si="1"/>
        <v>27</v>
      </c>
      <c r="B30" s="29" t="s">
        <v>72</v>
      </c>
      <c r="C30" s="24" t="str">
        <f ca="1">IFERROR(__xludf.DUMMYFUNCTION("IFERROR(VLOOKUP(B30,IMPORTRANGE(""https://docs.google.com/spreadsheets/d/1Hr4i_97qtgRe-bfuRbVkLVmXa34m06T7R6IJCbq42Xg/edit?gid=0#gid=0"",""Information!B5:S200""),4,0),"""")"),"")</f>
        <v/>
      </c>
      <c r="D30" s="90" t="s">
        <v>73</v>
      </c>
      <c r="E30" s="26" t="str">
        <f t="shared" si="2"/>
        <v>027/FS/2025</v>
      </c>
      <c r="F30" s="31"/>
      <c r="G30" s="31">
        <v>45790</v>
      </c>
      <c r="H30" s="36" t="s">
        <v>407</v>
      </c>
      <c r="I30" s="124">
        <v>3000000</v>
      </c>
      <c r="J30" s="125">
        <v>0.08</v>
      </c>
      <c r="K30" s="124">
        <f t="shared" si="3"/>
        <v>240000</v>
      </c>
      <c r="L30" s="126" t="e">
        <f t="shared" si="4"/>
        <v>#VALUE!</v>
      </c>
      <c r="M30" s="127" t="s">
        <v>20</v>
      </c>
      <c r="N30" s="89">
        <f t="shared" si="5"/>
        <v>45790</v>
      </c>
      <c r="O30" s="35"/>
      <c r="P30" s="37" t="str">
        <f t="shared" si="6"/>
        <v/>
      </c>
      <c r="Q30" s="35"/>
      <c r="R30" s="41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</row>
    <row r="31" spans="1:41" ht="41.4" x14ac:dyDescent="0.25">
      <c r="A31" s="22">
        <f t="shared" si="1"/>
        <v>28</v>
      </c>
      <c r="B31" s="29" t="s">
        <v>166</v>
      </c>
      <c r="C31" s="24" t="str">
        <f ca="1">IFERROR(__xludf.DUMMYFUNCTION("IFERROR(VLOOKUP(B31,IMPORTRANGE(""https://docs.google.com/spreadsheets/d/1Hr4i_97qtgRe-bfuRbVkLVmXa34m06T7R6IJCbq42Xg/edit?gid=0#gid=0"",""Information!B5:S200""),4,0),"""")"),"")</f>
        <v/>
      </c>
      <c r="D31" s="90" t="s">
        <v>75</v>
      </c>
      <c r="E31" s="26" t="str">
        <f t="shared" si="2"/>
        <v>028/FS/2025</v>
      </c>
      <c r="F31" s="31"/>
      <c r="G31" s="31">
        <v>45790</v>
      </c>
      <c r="H31" s="36" t="s">
        <v>407</v>
      </c>
      <c r="I31" s="124">
        <v>3000000</v>
      </c>
      <c r="J31" s="125">
        <v>0.08</v>
      </c>
      <c r="K31" s="124">
        <f t="shared" si="3"/>
        <v>240000</v>
      </c>
      <c r="L31" s="126" t="e">
        <f t="shared" si="4"/>
        <v>#VALUE!</v>
      </c>
      <c r="M31" s="127" t="s">
        <v>20</v>
      </c>
      <c r="N31" s="89">
        <f t="shared" si="5"/>
        <v>45790</v>
      </c>
      <c r="O31" s="35"/>
      <c r="P31" s="37" t="str">
        <f t="shared" si="6"/>
        <v/>
      </c>
      <c r="Q31" s="35"/>
      <c r="R31" s="41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</row>
    <row r="32" spans="1:41" ht="27.6" x14ac:dyDescent="0.25">
      <c r="A32" s="22">
        <f t="shared" si="1"/>
        <v>29</v>
      </c>
      <c r="B32" s="29" t="s">
        <v>46</v>
      </c>
      <c r="C32" s="24" t="str">
        <f ca="1">IFERROR(__xludf.DUMMYFUNCTION("IFERROR(VLOOKUP(B32,IMPORTRANGE(""https://docs.google.com/spreadsheets/d/1Hr4i_97qtgRe-bfuRbVkLVmXa34m06T7R6IJCbq42Xg/edit?gid=0#gid=0"",""Information!B5:S200""),4,0),"""")"),"")</f>
        <v/>
      </c>
      <c r="D32" s="90" t="s">
        <v>77</v>
      </c>
      <c r="E32" s="26" t="str">
        <f t="shared" si="2"/>
        <v>029/FS/2025</v>
      </c>
      <c r="F32" s="31"/>
      <c r="G32" s="31">
        <v>45792</v>
      </c>
      <c r="H32" s="36" t="s">
        <v>403</v>
      </c>
      <c r="I32" s="124">
        <v>1000000</v>
      </c>
      <c r="J32" s="125">
        <v>0.08</v>
      </c>
      <c r="K32" s="124">
        <f t="shared" si="3"/>
        <v>80000</v>
      </c>
      <c r="L32" s="126" t="e">
        <f t="shared" si="4"/>
        <v>#VALUE!</v>
      </c>
      <c r="M32" s="127" t="s">
        <v>20</v>
      </c>
      <c r="N32" s="89">
        <f t="shared" si="5"/>
        <v>45792</v>
      </c>
      <c r="O32" s="35"/>
      <c r="P32" s="37" t="str">
        <f t="shared" si="6"/>
        <v/>
      </c>
      <c r="Q32" s="35"/>
      <c r="R32" s="41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</row>
    <row r="33" spans="1:41" ht="41.4" x14ac:dyDescent="0.25">
      <c r="A33" s="22">
        <f t="shared" si="1"/>
        <v>30</v>
      </c>
      <c r="B33" s="29" t="s">
        <v>68</v>
      </c>
      <c r="C33" s="24" t="str">
        <f ca="1">IFERROR(__xludf.DUMMYFUNCTION("IFERROR(VLOOKUP(B33,IMPORTRANGE(""https://docs.google.com/spreadsheets/d/1Hr4i_97qtgRe-bfuRbVkLVmXa34m06T7R6IJCbq42Xg/edit?gid=0#gid=0"",""Information!B5:S200""),4,0),"""")"),"")</f>
        <v/>
      </c>
      <c r="D33" s="90" t="s">
        <v>79</v>
      </c>
      <c r="E33" s="26" t="str">
        <f t="shared" si="2"/>
        <v>030/FS/2025</v>
      </c>
      <c r="F33" s="31"/>
      <c r="G33" s="31">
        <v>45792</v>
      </c>
      <c r="H33" s="36" t="s">
        <v>407</v>
      </c>
      <c r="I33" s="124">
        <v>5000000</v>
      </c>
      <c r="J33" s="125">
        <v>0.08</v>
      </c>
      <c r="K33" s="124">
        <f t="shared" si="3"/>
        <v>400000</v>
      </c>
      <c r="L33" s="126" t="e">
        <f t="shared" si="4"/>
        <v>#VALUE!</v>
      </c>
      <c r="M33" s="127" t="s">
        <v>20</v>
      </c>
      <c r="N33" s="89">
        <f t="shared" si="5"/>
        <v>45792</v>
      </c>
      <c r="O33" s="35"/>
      <c r="P33" s="37" t="str">
        <f t="shared" si="6"/>
        <v/>
      </c>
      <c r="Q33" s="35"/>
      <c r="R33" s="41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</row>
    <row r="34" spans="1:41" ht="41.4" x14ac:dyDescent="0.25">
      <c r="A34" s="22">
        <f t="shared" si="1"/>
        <v>31</v>
      </c>
      <c r="B34" s="29" t="s">
        <v>132</v>
      </c>
      <c r="C34" s="24" t="str">
        <f ca="1">IFERROR(__xludf.DUMMYFUNCTION("IFERROR(VLOOKUP(B34,IMPORTRANGE(""https://docs.google.com/spreadsheets/d/1Hr4i_97qtgRe-bfuRbVkLVmXa34m06T7R6IJCbq42Xg/edit?gid=0#gid=0"",""Information!B5:S200""),4,0),"""")"),"")</f>
        <v/>
      </c>
      <c r="D34" s="90" t="s">
        <v>81</v>
      </c>
      <c r="E34" s="26" t="str">
        <f t="shared" si="2"/>
        <v>031/FS/2025</v>
      </c>
      <c r="F34" s="31"/>
      <c r="G34" s="31">
        <v>45792</v>
      </c>
      <c r="H34" s="36" t="s">
        <v>407</v>
      </c>
      <c r="I34" s="124">
        <v>6000000</v>
      </c>
      <c r="J34" s="125">
        <v>0.08</v>
      </c>
      <c r="K34" s="124">
        <f t="shared" si="3"/>
        <v>480000</v>
      </c>
      <c r="L34" s="126" t="e">
        <f t="shared" si="4"/>
        <v>#VALUE!</v>
      </c>
      <c r="M34" s="127" t="s">
        <v>20</v>
      </c>
      <c r="N34" s="89">
        <f t="shared" si="5"/>
        <v>45792</v>
      </c>
      <c r="O34" s="35"/>
      <c r="P34" s="37" t="str">
        <f t="shared" si="6"/>
        <v/>
      </c>
      <c r="Q34" s="35"/>
      <c r="R34" s="41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</row>
    <row r="35" spans="1:41" ht="41.4" x14ac:dyDescent="0.25">
      <c r="A35" s="22">
        <f t="shared" si="1"/>
        <v>32</v>
      </c>
      <c r="B35" s="29" t="s">
        <v>86</v>
      </c>
      <c r="C35" s="24" t="str">
        <f ca="1">IFERROR(__xludf.DUMMYFUNCTION("IFERROR(VLOOKUP(B35,IMPORTRANGE(""https://docs.google.com/spreadsheets/d/1Hr4i_97qtgRe-bfuRbVkLVmXa34m06T7R6IJCbq42Xg/edit?gid=0#gid=0"",""Information!B5:S200""),4,0),"""")"),"")</f>
        <v/>
      </c>
      <c r="D35" s="90" t="s">
        <v>83</v>
      </c>
      <c r="E35" s="26" t="str">
        <f t="shared" si="2"/>
        <v>032/FS/2025</v>
      </c>
      <c r="F35" s="31"/>
      <c r="G35" s="31">
        <v>45794</v>
      </c>
      <c r="H35" s="36" t="s">
        <v>407</v>
      </c>
      <c r="I35" s="124">
        <v>6000000</v>
      </c>
      <c r="J35" s="125">
        <v>0.08</v>
      </c>
      <c r="K35" s="124">
        <f t="shared" si="3"/>
        <v>480000</v>
      </c>
      <c r="L35" s="126" t="e">
        <f t="shared" si="4"/>
        <v>#VALUE!</v>
      </c>
      <c r="M35" s="127" t="s">
        <v>20</v>
      </c>
      <c r="N35" s="89">
        <f t="shared" si="5"/>
        <v>45794</v>
      </c>
      <c r="O35" s="35"/>
      <c r="P35" s="37" t="str">
        <f t="shared" si="6"/>
        <v/>
      </c>
      <c r="Q35" s="35"/>
      <c r="R35" s="41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</row>
    <row r="36" spans="1:41" ht="41.4" x14ac:dyDescent="0.25">
      <c r="A36" s="22">
        <f t="shared" si="1"/>
        <v>33</v>
      </c>
      <c r="B36" s="29" t="s">
        <v>120</v>
      </c>
      <c r="C36" s="24" t="str">
        <f ca="1">IFERROR(__xludf.DUMMYFUNCTION("IFERROR(VLOOKUP(B36,IMPORTRANGE(""https://docs.google.com/spreadsheets/d/1Hr4i_97qtgRe-bfuRbVkLVmXa34m06T7R6IJCbq42Xg/edit?gid=0#gid=0"",""Information!B5:S200""),4,0),"""")"),"")</f>
        <v/>
      </c>
      <c r="D36" s="90" t="s">
        <v>85</v>
      </c>
      <c r="E36" s="26" t="str">
        <f t="shared" si="2"/>
        <v>033/FS/2025</v>
      </c>
      <c r="F36" s="31"/>
      <c r="G36" s="31">
        <v>45798</v>
      </c>
      <c r="H36" s="36" t="s">
        <v>407</v>
      </c>
      <c r="I36" s="124">
        <v>3500000</v>
      </c>
      <c r="J36" s="125">
        <v>0.08</v>
      </c>
      <c r="K36" s="124">
        <f t="shared" si="3"/>
        <v>280000</v>
      </c>
      <c r="L36" s="126" t="e">
        <f t="shared" si="4"/>
        <v>#VALUE!</v>
      </c>
      <c r="M36" s="127" t="s">
        <v>20</v>
      </c>
      <c r="N36" s="89">
        <f t="shared" si="5"/>
        <v>45798</v>
      </c>
      <c r="O36" s="35"/>
      <c r="P36" s="37" t="str">
        <f t="shared" si="6"/>
        <v/>
      </c>
      <c r="Q36" s="35"/>
      <c r="R36" s="41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</row>
    <row r="37" spans="1:41" ht="41.4" x14ac:dyDescent="0.25">
      <c r="A37" s="22">
        <f t="shared" si="1"/>
        <v>34</v>
      </c>
      <c r="B37" s="29" t="s">
        <v>156</v>
      </c>
      <c r="C37" s="24" t="str">
        <f ca="1">IFERROR(__xludf.DUMMYFUNCTION("IFERROR(VLOOKUP(B37,IMPORTRANGE(""https://docs.google.com/spreadsheets/d/1Hr4i_97qtgRe-bfuRbVkLVmXa34m06T7R6IJCbq42Xg/edit?gid=0#gid=0"",""Information!B5:S200""),4,0),"""")"),"")</f>
        <v/>
      </c>
      <c r="D37" s="90" t="s">
        <v>87</v>
      </c>
      <c r="E37" s="26" t="str">
        <f t="shared" si="2"/>
        <v>034/FS/2025</v>
      </c>
      <c r="F37" s="31"/>
      <c r="G37" s="31">
        <v>45798</v>
      </c>
      <c r="H37" s="36" t="s">
        <v>407</v>
      </c>
      <c r="I37" s="124">
        <v>7000000</v>
      </c>
      <c r="J37" s="125">
        <v>0.08</v>
      </c>
      <c r="K37" s="124">
        <f t="shared" si="3"/>
        <v>560000</v>
      </c>
      <c r="L37" s="126" t="e">
        <f t="shared" si="4"/>
        <v>#VALUE!</v>
      </c>
      <c r="M37" s="127" t="s">
        <v>20</v>
      </c>
      <c r="N37" s="89">
        <f t="shared" si="5"/>
        <v>45798</v>
      </c>
      <c r="O37" s="35"/>
      <c r="P37" s="37" t="str">
        <f t="shared" si="6"/>
        <v/>
      </c>
      <c r="Q37" s="35"/>
      <c r="R37" s="41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</row>
    <row r="38" spans="1:41" ht="13.8" x14ac:dyDescent="0.25">
      <c r="A38" s="22">
        <f t="shared" si="1"/>
        <v>35</v>
      </c>
      <c r="B38" s="29" t="s">
        <v>42</v>
      </c>
      <c r="C38" s="24" t="str">
        <f ca="1">IFERROR(__xludf.DUMMYFUNCTION("IFERROR(VLOOKUP(B38,IMPORTRANGE(""https://docs.google.com/spreadsheets/d/1Hr4i_97qtgRe-bfuRbVkLVmXa34m06T7R6IJCbq42Xg/edit?gid=0#gid=0"",""Information!B5:S200""),4,0),"""")"),"")</f>
        <v/>
      </c>
      <c r="D38" s="90" t="s">
        <v>89</v>
      </c>
      <c r="E38" s="26" t="str">
        <f t="shared" si="2"/>
        <v>035/FS/2025</v>
      </c>
      <c r="F38" s="31"/>
      <c r="G38" s="31">
        <v>45800</v>
      </c>
      <c r="H38" s="36" t="s">
        <v>409</v>
      </c>
      <c r="I38" s="124">
        <v>1000000</v>
      </c>
      <c r="J38" s="125">
        <v>0.08</v>
      </c>
      <c r="K38" s="124">
        <f t="shared" si="3"/>
        <v>80000</v>
      </c>
      <c r="L38" s="126" t="e">
        <f t="shared" si="4"/>
        <v>#VALUE!</v>
      </c>
      <c r="M38" s="127" t="s">
        <v>20</v>
      </c>
      <c r="N38" s="89">
        <f t="shared" si="5"/>
        <v>45800</v>
      </c>
      <c r="O38" s="35"/>
      <c r="P38" s="37" t="str">
        <f t="shared" si="6"/>
        <v/>
      </c>
      <c r="Q38" s="35"/>
      <c r="R38" s="41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</row>
    <row r="39" spans="1:41" ht="27.6" x14ac:dyDescent="0.25">
      <c r="A39" s="22">
        <f t="shared" si="1"/>
        <v>36</v>
      </c>
      <c r="B39" s="29" t="s">
        <v>42</v>
      </c>
      <c r="C39" s="24" t="str">
        <f ca="1">IFERROR(__xludf.DUMMYFUNCTION("IFERROR(VLOOKUP(B39,IMPORTRANGE(""https://docs.google.com/spreadsheets/d/1Hr4i_97qtgRe-bfuRbVkLVmXa34m06T7R6IJCbq42Xg/edit?gid=0#gid=0"",""Information!B5:S200""),4,0),"""")"),"")</f>
        <v/>
      </c>
      <c r="D39" s="90" t="s">
        <v>91</v>
      </c>
      <c r="E39" s="26" t="str">
        <f t="shared" si="2"/>
        <v>036/FS/2025</v>
      </c>
      <c r="F39" s="31"/>
      <c r="G39" s="31">
        <v>45800</v>
      </c>
      <c r="H39" s="36" t="s">
        <v>410</v>
      </c>
      <c r="I39" s="124">
        <v>1000000</v>
      </c>
      <c r="J39" s="125">
        <v>0.08</v>
      </c>
      <c r="K39" s="124">
        <f t="shared" si="3"/>
        <v>80000</v>
      </c>
      <c r="L39" s="126" t="e">
        <f t="shared" si="4"/>
        <v>#VALUE!</v>
      </c>
      <c r="M39" s="127" t="s">
        <v>20</v>
      </c>
      <c r="N39" s="89">
        <f t="shared" si="5"/>
        <v>45800</v>
      </c>
      <c r="O39" s="35"/>
      <c r="P39" s="37" t="str">
        <f t="shared" si="6"/>
        <v/>
      </c>
      <c r="Q39" s="35"/>
      <c r="R39" s="41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</row>
    <row r="40" spans="1:41" ht="27.6" x14ac:dyDescent="0.25">
      <c r="A40" s="22">
        <f t="shared" si="1"/>
        <v>37</v>
      </c>
      <c r="B40" s="29" t="s">
        <v>162</v>
      </c>
      <c r="C40" s="24" t="str">
        <f ca="1">IFERROR(__xludf.DUMMYFUNCTION("IFERROR(VLOOKUP(B40,IMPORTRANGE(""https://docs.google.com/spreadsheets/d/1Hr4i_97qtgRe-bfuRbVkLVmXa34m06T7R6IJCbq42Xg/edit?gid=0#gid=0"",""Information!B5:S200""),4,0),"""")"),"")</f>
        <v/>
      </c>
      <c r="D40" s="90" t="s">
        <v>93</v>
      </c>
      <c r="E40" s="26" t="str">
        <f t="shared" si="2"/>
        <v>037/FS/2025</v>
      </c>
      <c r="F40" s="31"/>
      <c r="G40" s="31">
        <v>45801</v>
      </c>
      <c r="H40" s="36" t="s">
        <v>403</v>
      </c>
      <c r="I40" s="124">
        <v>3000000</v>
      </c>
      <c r="J40" s="125">
        <v>0.08</v>
      </c>
      <c r="K40" s="124">
        <f t="shared" si="3"/>
        <v>240000</v>
      </c>
      <c r="L40" s="126" t="e">
        <f t="shared" si="4"/>
        <v>#VALUE!</v>
      </c>
      <c r="M40" s="127" t="s">
        <v>20</v>
      </c>
      <c r="N40" s="89">
        <f t="shared" si="5"/>
        <v>45801</v>
      </c>
      <c r="O40" s="35"/>
      <c r="P40" s="37" t="str">
        <f t="shared" si="6"/>
        <v/>
      </c>
      <c r="Q40" s="35"/>
      <c r="R40" s="41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</row>
    <row r="41" spans="1:41" ht="41.4" x14ac:dyDescent="0.25">
      <c r="A41" s="22">
        <f t="shared" si="1"/>
        <v>38</v>
      </c>
      <c r="B41" s="29" t="s">
        <v>32</v>
      </c>
      <c r="C41" s="24" t="str">
        <f ca="1">IFERROR(__xludf.DUMMYFUNCTION("IFERROR(VLOOKUP(B41,IMPORTRANGE(""https://docs.google.com/spreadsheets/d/1Hr4i_97qtgRe-bfuRbVkLVmXa34m06T7R6IJCbq42Xg/edit?gid=0#gid=0"",""Information!B5:S200""),4,0),"""")"),"")</f>
        <v/>
      </c>
      <c r="D41" s="90" t="s">
        <v>95</v>
      </c>
      <c r="E41" s="26" t="str">
        <f t="shared" si="2"/>
        <v>038/FS/2025</v>
      </c>
      <c r="F41" s="31"/>
      <c r="G41" s="31">
        <v>45808</v>
      </c>
      <c r="H41" s="36" t="s">
        <v>407</v>
      </c>
      <c r="I41" s="124">
        <v>5000000</v>
      </c>
      <c r="J41" s="125">
        <v>0.08</v>
      </c>
      <c r="K41" s="124">
        <f t="shared" si="3"/>
        <v>400000</v>
      </c>
      <c r="L41" s="126" t="e">
        <f t="shared" si="4"/>
        <v>#VALUE!</v>
      </c>
      <c r="M41" s="127" t="s">
        <v>20</v>
      </c>
      <c r="N41" s="89">
        <f t="shared" si="5"/>
        <v>45808</v>
      </c>
      <c r="O41" s="35"/>
      <c r="P41" s="37" t="str">
        <f t="shared" si="6"/>
        <v/>
      </c>
      <c r="Q41" s="35"/>
      <c r="R41" s="41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</row>
    <row r="42" spans="1:41" ht="27.6" x14ac:dyDescent="0.25">
      <c r="A42" s="22">
        <f t="shared" si="1"/>
        <v>39</v>
      </c>
      <c r="B42" s="29" t="s">
        <v>138</v>
      </c>
      <c r="C42" s="24" t="str">
        <f ca="1">IFERROR(__xludf.DUMMYFUNCTION("IFERROR(VLOOKUP(B42,IMPORTRANGE(""https://docs.google.com/spreadsheets/d/1Hr4i_97qtgRe-bfuRbVkLVmXa34m06T7R6IJCbq42Xg/edit?gid=0#gid=0"",""Information!B5:S200""),4,0),"""")"),"")</f>
        <v/>
      </c>
      <c r="D42" s="90" t="s">
        <v>97</v>
      </c>
      <c r="E42" s="26" t="str">
        <f t="shared" si="2"/>
        <v>039/FS/2025</v>
      </c>
      <c r="F42" s="31"/>
      <c r="G42" s="31">
        <v>45810</v>
      </c>
      <c r="H42" s="36" t="s">
        <v>403</v>
      </c>
      <c r="I42" s="124">
        <v>1000000</v>
      </c>
      <c r="J42" s="125">
        <v>0.08</v>
      </c>
      <c r="K42" s="124">
        <f t="shared" si="3"/>
        <v>80000</v>
      </c>
      <c r="L42" s="126" t="e">
        <f t="shared" si="4"/>
        <v>#VALUE!</v>
      </c>
      <c r="M42" s="127" t="s">
        <v>20</v>
      </c>
      <c r="N42" s="89">
        <f t="shared" si="5"/>
        <v>45810</v>
      </c>
      <c r="O42" s="35"/>
      <c r="P42" s="37" t="str">
        <f t="shared" si="6"/>
        <v/>
      </c>
      <c r="Q42" s="35"/>
      <c r="R42" s="41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spans="1:41" ht="41.4" x14ac:dyDescent="0.25">
      <c r="A43" s="22">
        <f t="shared" si="1"/>
        <v>40</v>
      </c>
      <c r="B43" s="29" t="s">
        <v>84</v>
      </c>
      <c r="C43" s="24" t="str">
        <f ca="1">IFERROR(__xludf.DUMMYFUNCTION("IFERROR(VLOOKUP(B43,IMPORTRANGE(""https://docs.google.com/spreadsheets/d/1Hr4i_97qtgRe-bfuRbVkLVmXa34m06T7R6IJCbq42Xg/edit?gid=0#gid=0"",""Information!B5:S200""),4,0),"""")"),"")</f>
        <v/>
      </c>
      <c r="D43" s="90" t="s">
        <v>99</v>
      </c>
      <c r="E43" s="26" t="str">
        <f t="shared" si="2"/>
        <v>040/FS/2025</v>
      </c>
      <c r="F43" s="31"/>
      <c r="G43" s="31">
        <v>45812</v>
      </c>
      <c r="H43" s="36" t="s">
        <v>407</v>
      </c>
      <c r="I43" s="124">
        <v>3000000</v>
      </c>
      <c r="J43" s="125">
        <v>0.08</v>
      </c>
      <c r="K43" s="124">
        <f t="shared" si="3"/>
        <v>240000</v>
      </c>
      <c r="L43" s="126" t="e">
        <f t="shared" si="4"/>
        <v>#VALUE!</v>
      </c>
      <c r="M43" s="127" t="s">
        <v>20</v>
      </c>
      <c r="N43" s="89"/>
      <c r="O43" s="35"/>
      <c r="P43" s="37" t="str">
        <f t="shared" si="6"/>
        <v/>
      </c>
      <c r="Q43" s="35"/>
      <c r="R43" s="41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</row>
    <row r="44" spans="1:41" ht="41.4" x14ac:dyDescent="0.25">
      <c r="A44" s="22">
        <f t="shared" si="1"/>
        <v>41</v>
      </c>
      <c r="B44" s="29" t="s">
        <v>136</v>
      </c>
      <c r="C44" s="24" t="str">
        <f ca="1">IFERROR(__xludf.DUMMYFUNCTION("IFERROR(VLOOKUP(B44,IMPORTRANGE(""https://docs.google.com/spreadsheets/d/1Hr4i_97qtgRe-bfuRbVkLVmXa34m06T7R6IJCbq42Xg/edit?gid=0#gid=0"",""Information!B5:S200""),4,0),"""")"),"")</f>
        <v/>
      </c>
      <c r="D44" s="90" t="s">
        <v>101</v>
      </c>
      <c r="E44" s="26" t="str">
        <f t="shared" si="2"/>
        <v>041/FS/2025</v>
      </c>
      <c r="F44" s="31"/>
      <c r="G44" s="31">
        <v>45814</v>
      </c>
      <c r="H44" s="36" t="s">
        <v>407</v>
      </c>
      <c r="I44" s="124">
        <v>3000000</v>
      </c>
      <c r="J44" s="125">
        <v>0.08</v>
      </c>
      <c r="K44" s="124">
        <f t="shared" si="3"/>
        <v>240000</v>
      </c>
      <c r="L44" s="126" t="e">
        <f t="shared" si="4"/>
        <v>#VALUE!</v>
      </c>
      <c r="M44" s="127" t="s">
        <v>20</v>
      </c>
      <c r="N44" s="89"/>
      <c r="O44" s="35"/>
      <c r="P44" s="37" t="str">
        <f t="shared" si="6"/>
        <v/>
      </c>
      <c r="Q44" s="35"/>
      <c r="R44" s="41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</row>
    <row r="45" spans="1:41" ht="27.6" x14ac:dyDescent="0.25">
      <c r="A45" s="22">
        <f t="shared" si="1"/>
        <v>42</v>
      </c>
      <c r="B45" s="29" t="s">
        <v>148</v>
      </c>
      <c r="C45" s="24" t="str">
        <f ca="1">IFERROR(__xludf.DUMMYFUNCTION("IFERROR(VLOOKUP(B45,IMPORTRANGE(""https://docs.google.com/spreadsheets/d/1Hr4i_97qtgRe-bfuRbVkLVmXa34m06T7R6IJCbq42Xg/edit?gid=0#gid=0"",""Information!B5:S200""),4,0),"""")"),"")</f>
        <v/>
      </c>
      <c r="D45" s="90" t="s">
        <v>103</v>
      </c>
      <c r="E45" s="26" t="str">
        <f t="shared" si="2"/>
        <v>042/FS/2025</v>
      </c>
      <c r="F45" s="31"/>
      <c r="G45" s="31">
        <v>45814</v>
      </c>
      <c r="H45" s="36" t="s">
        <v>403</v>
      </c>
      <c r="I45" s="124">
        <v>1000000</v>
      </c>
      <c r="J45" s="125">
        <v>0.08</v>
      </c>
      <c r="K45" s="124">
        <f t="shared" si="3"/>
        <v>80000</v>
      </c>
      <c r="L45" s="126" t="e">
        <f t="shared" si="4"/>
        <v>#VALUE!</v>
      </c>
      <c r="M45" s="127" t="s">
        <v>20</v>
      </c>
      <c r="N45" s="89"/>
      <c r="O45" s="35"/>
      <c r="P45" s="37" t="str">
        <f t="shared" si="6"/>
        <v/>
      </c>
      <c r="Q45" s="35"/>
      <c r="R45" s="41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</row>
    <row r="46" spans="1:41" ht="41.4" x14ac:dyDescent="0.25">
      <c r="A46" s="22">
        <f t="shared" si="1"/>
        <v>43</v>
      </c>
      <c r="B46" s="29" t="s">
        <v>158</v>
      </c>
      <c r="C46" s="24" t="str">
        <f ca="1">IFERROR(__xludf.DUMMYFUNCTION("IFERROR(VLOOKUP(B46,IMPORTRANGE(""https://docs.google.com/spreadsheets/d/1Hr4i_97qtgRe-bfuRbVkLVmXa34m06T7R6IJCbq42Xg/edit?gid=0#gid=0"",""Information!B5:S200""),4,0),"""")"),"")</f>
        <v/>
      </c>
      <c r="D46" s="90" t="s">
        <v>105</v>
      </c>
      <c r="E46" s="26" t="str">
        <f t="shared" si="2"/>
        <v>043/FS/2025</v>
      </c>
      <c r="F46" s="31"/>
      <c r="G46" s="31">
        <v>45814</v>
      </c>
      <c r="H46" s="36" t="s">
        <v>407</v>
      </c>
      <c r="I46" s="124">
        <v>3000000</v>
      </c>
      <c r="J46" s="125">
        <v>0.08</v>
      </c>
      <c r="K46" s="124">
        <f t="shared" si="3"/>
        <v>240000</v>
      </c>
      <c r="L46" s="126" t="e">
        <f t="shared" si="4"/>
        <v>#VALUE!</v>
      </c>
      <c r="M46" s="127" t="s">
        <v>20</v>
      </c>
      <c r="N46" s="89"/>
      <c r="O46" s="35"/>
      <c r="P46" s="37" t="str">
        <f t="shared" si="6"/>
        <v/>
      </c>
      <c r="Q46" s="35"/>
      <c r="R46" s="41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</row>
    <row r="47" spans="1:41" ht="41.4" x14ac:dyDescent="0.25">
      <c r="A47" s="22">
        <f t="shared" si="1"/>
        <v>44</v>
      </c>
      <c r="B47" s="29" t="s">
        <v>26</v>
      </c>
      <c r="C47" s="24" t="str">
        <f ca="1">IFERROR(__xludf.DUMMYFUNCTION("IFERROR(VLOOKUP(B47,IMPORTRANGE(""https://docs.google.com/spreadsheets/d/1Hr4i_97qtgRe-bfuRbVkLVmXa34m06T7R6IJCbq42Xg/edit?gid=0#gid=0"",""Information!B5:S200""),4,0),"""")"),"")</f>
        <v/>
      </c>
      <c r="D47" s="90" t="s">
        <v>107</v>
      </c>
      <c r="E47" s="26" t="str">
        <f t="shared" si="2"/>
        <v>044/FS/2025</v>
      </c>
      <c r="F47" s="31"/>
      <c r="G47" s="31">
        <v>45816</v>
      </c>
      <c r="H47" s="36" t="s">
        <v>407</v>
      </c>
      <c r="I47" s="124">
        <v>3000000</v>
      </c>
      <c r="J47" s="125">
        <v>0.08</v>
      </c>
      <c r="K47" s="124">
        <f t="shared" si="3"/>
        <v>240000</v>
      </c>
      <c r="L47" s="126" t="e">
        <f t="shared" si="4"/>
        <v>#VALUE!</v>
      </c>
      <c r="M47" s="127" t="s">
        <v>20</v>
      </c>
      <c r="N47" s="89"/>
      <c r="O47" s="35"/>
      <c r="P47" s="37" t="str">
        <f t="shared" si="6"/>
        <v/>
      </c>
      <c r="Q47" s="35"/>
      <c r="R47" s="41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</row>
    <row r="48" spans="1:41" ht="41.4" x14ac:dyDescent="0.25">
      <c r="A48" s="22">
        <f t="shared" si="1"/>
        <v>45</v>
      </c>
      <c r="B48" s="29" t="s">
        <v>62</v>
      </c>
      <c r="C48" s="24" t="str">
        <f ca="1">IFERROR(__xludf.DUMMYFUNCTION("IFERROR(VLOOKUP(B48,IMPORTRANGE(""https://docs.google.com/spreadsheets/d/1Hr4i_97qtgRe-bfuRbVkLVmXa34m06T7R6IJCbq42Xg/edit?gid=0#gid=0"",""Information!B5:S200""),4,0),"""")"),"")</f>
        <v/>
      </c>
      <c r="D48" s="90" t="s">
        <v>109</v>
      </c>
      <c r="E48" s="26" t="str">
        <f t="shared" si="2"/>
        <v>045/FS/2025</v>
      </c>
      <c r="F48" s="31"/>
      <c r="G48" s="31">
        <v>45817</v>
      </c>
      <c r="H48" s="36" t="s">
        <v>407</v>
      </c>
      <c r="I48" s="124">
        <v>3500000</v>
      </c>
      <c r="J48" s="125">
        <v>0.08</v>
      </c>
      <c r="K48" s="124">
        <f t="shared" si="3"/>
        <v>280000</v>
      </c>
      <c r="L48" s="126" t="e">
        <f t="shared" si="4"/>
        <v>#VALUE!</v>
      </c>
      <c r="M48" s="127" t="s">
        <v>20</v>
      </c>
      <c r="N48" s="89"/>
      <c r="O48" s="35"/>
      <c r="P48" s="37" t="str">
        <f t="shared" si="6"/>
        <v/>
      </c>
      <c r="Q48" s="35"/>
      <c r="R48" s="41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</row>
    <row r="49" spans="1:41" ht="27.6" x14ac:dyDescent="0.25">
      <c r="A49" s="22">
        <f t="shared" si="1"/>
        <v>46</v>
      </c>
      <c r="B49" s="29" t="s">
        <v>144</v>
      </c>
      <c r="C49" s="24" t="str">
        <f ca="1">IFERROR(__xludf.DUMMYFUNCTION("IFERROR(VLOOKUP(B49,IMPORTRANGE(""https://docs.google.com/spreadsheets/d/1Hr4i_97qtgRe-bfuRbVkLVmXa34m06T7R6IJCbq42Xg/edit?gid=0#gid=0"",""Information!B5:S200""),4,0),"""")"),"")</f>
        <v/>
      </c>
      <c r="D49" s="90" t="s">
        <v>111</v>
      </c>
      <c r="E49" s="26" t="str">
        <f t="shared" si="2"/>
        <v>046/FS/2025</v>
      </c>
      <c r="F49" s="31"/>
      <c r="G49" s="31">
        <v>45817</v>
      </c>
      <c r="H49" s="36" t="s">
        <v>403</v>
      </c>
      <c r="I49" s="124">
        <v>1000000</v>
      </c>
      <c r="J49" s="125">
        <v>0.08</v>
      </c>
      <c r="K49" s="124">
        <f t="shared" si="3"/>
        <v>80000</v>
      </c>
      <c r="L49" s="126" t="e">
        <f t="shared" si="4"/>
        <v>#VALUE!</v>
      </c>
      <c r="M49" s="127" t="s">
        <v>20</v>
      </c>
      <c r="N49" s="89"/>
      <c r="O49" s="35"/>
      <c r="P49" s="37" t="str">
        <f t="shared" si="6"/>
        <v/>
      </c>
      <c r="Q49" s="35"/>
      <c r="R49" s="41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</row>
    <row r="50" spans="1:41" ht="27.6" x14ac:dyDescent="0.25">
      <c r="A50" s="22">
        <f t="shared" si="1"/>
        <v>47</v>
      </c>
      <c r="B50" s="29" t="s">
        <v>44</v>
      </c>
      <c r="C50" s="24" t="str">
        <f ca="1">IFERROR(__xludf.DUMMYFUNCTION("IFERROR(VLOOKUP(B50,IMPORTRANGE(""https://docs.google.com/spreadsheets/d/1Hr4i_97qtgRe-bfuRbVkLVmXa34m06T7R6IJCbq42Xg/edit?gid=0#gid=0"",""Information!B5:S200""),4,0),"""")"),"")</f>
        <v/>
      </c>
      <c r="D50" s="90" t="s">
        <v>113</v>
      </c>
      <c r="E50" s="26" t="str">
        <f t="shared" si="2"/>
        <v>047/FS/2025</v>
      </c>
      <c r="F50" s="31"/>
      <c r="G50" s="31">
        <v>45819</v>
      </c>
      <c r="H50" s="36" t="s">
        <v>411</v>
      </c>
      <c r="I50" s="124">
        <v>3000000</v>
      </c>
      <c r="J50" s="125">
        <v>0.08</v>
      </c>
      <c r="K50" s="124">
        <f t="shared" si="3"/>
        <v>240000</v>
      </c>
      <c r="L50" s="126" t="e">
        <f t="shared" si="4"/>
        <v>#VALUE!</v>
      </c>
      <c r="M50" s="127" t="s">
        <v>20</v>
      </c>
      <c r="N50" s="89"/>
      <c r="O50" s="35"/>
      <c r="P50" s="37" t="str">
        <f t="shared" si="6"/>
        <v/>
      </c>
      <c r="Q50" s="35"/>
      <c r="R50" s="25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</row>
    <row r="51" spans="1:41" ht="27.6" x14ac:dyDescent="0.25">
      <c r="A51" s="22">
        <f t="shared" si="1"/>
        <v>48</v>
      </c>
      <c r="B51" s="29" t="s">
        <v>122</v>
      </c>
      <c r="C51" s="24" t="str">
        <f ca="1">IFERROR(__xludf.DUMMYFUNCTION("IFERROR(VLOOKUP(B51,IMPORTRANGE(""https://docs.google.com/spreadsheets/d/1Hr4i_97qtgRe-bfuRbVkLVmXa34m06T7R6IJCbq42Xg/edit?gid=0#gid=0"",""Information!B5:S200""),4,0),"""")"),"")</f>
        <v/>
      </c>
      <c r="D51" s="90" t="s">
        <v>115</v>
      </c>
      <c r="E51" s="26" t="str">
        <f t="shared" si="2"/>
        <v>048/FS/2025</v>
      </c>
      <c r="F51" s="31"/>
      <c r="G51" s="31">
        <v>45820</v>
      </c>
      <c r="H51" s="36" t="s">
        <v>412</v>
      </c>
      <c r="I51" s="124">
        <v>2000000</v>
      </c>
      <c r="J51" s="125">
        <v>0.08</v>
      </c>
      <c r="K51" s="124">
        <f t="shared" si="3"/>
        <v>160000</v>
      </c>
      <c r="L51" s="126" t="e">
        <f t="shared" si="4"/>
        <v>#VALUE!</v>
      </c>
      <c r="M51" s="127" t="s">
        <v>20</v>
      </c>
      <c r="N51" s="89"/>
      <c r="O51" s="35"/>
      <c r="P51" s="37" t="str">
        <f t="shared" si="6"/>
        <v/>
      </c>
      <c r="Q51" s="35"/>
      <c r="R51" s="41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</row>
    <row r="52" spans="1:41" ht="27.6" x14ac:dyDescent="0.25">
      <c r="A52" s="22">
        <f t="shared" si="1"/>
        <v>49</v>
      </c>
      <c r="B52" s="29" t="s">
        <v>122</v>
      </c>
      <c r="C52" s="24" t="str">
        <f ca="1">IFERROR(__xludf.DUMMYFUNCTION("IFERROR(VLOOKUP(B52,IMPORTRANGE(""https://docs.google.com/spreadsheets/d/1Hr4i_97qtgRe-bfuRbVkLVmXa34m06T7R6IJCbq42Xg/edit?gid=0#gid=0"",""Information!B5:S200""),4,0),"""")"),"")</f>
        <v/>
      </c>
      <c r="D52" s="90" t="s">
        <v>117</v>
      </c>
      <c r="E52" s="26" t="str">
        <f t="shared" si="2"/>
        <v>049/FS/2025</v>
      </c>
      <c r="F52" s="31"/>
      <c r="G52" s="31">
        <v>45820</v>
      </c>
      <c r="H52" s="36" t="s">
        <v>413</v>
      </c>
      <c r="I52" s="124">
        <v>2000000</v>
      </c>
      <c r="J52" s="125">
        <v>0.08</v>
      </c>
      <c r="K52" s="124">
        <f t="shared" si="3"/>
        <v>160000</v>
      </c>
      <c r="L52" s="126" t="e">
        <f t="shared" si="4"/>
        <v>#VALUE!</v>
      </c>
      <c r="M52" s="127" t="s">
        <v>20</v>
      </c>
      <c r="N52" s="89"/>
      <c r="O52" s="35"/>
      <c r="P52" s="37" t="str">
        <f t="shared" si="6"/>
        <v/>
      </c>
      <c r="Q52" s="35"/>
      <c r="R52" s="41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  <row r="53" spans="1:41" ht="27.6" x14ac:dyDescent="0.25">
      <c r="A53" s="22">
        <f t="shared" si="1"/>
        <v>50</v>
      </c>
      <c r="B53" s="29" t="s">
        <v>122</v>
      </c>
      <c r="C53" s="24" t="str">
        <f ca="1">IFERROR(__xludf.DUMMYFUNCTION("IFERROR(VLOOKUP(B53,IMPORTRANGE(""https://docs.google.com/spreadsheets/d/1Hr4i_97qtgRe-bfuRbVkLVmXa34m06T7R6IJCbq42Xg/edit?gid=0#gid=0"",""Information!B5:S200""),4,0),"""")"),"")</f>
        <v/>
      </c>
      <c r="D53" s="90" t="s">
        <v>119</v>
      </c>
      <c r="E53" s="26" t="str">
        <f t="shared" si="2"/>
        <v>050/FS/2025</v>
      </c>
      <c r="F53" s="31"/>
      <c r="G53" s="31">
        <v>45820</v>
      </c>
      <c r="H53" s="36" t="s">
        <v>404</v>
      </c>
      <c r="I53" s="124">
        <v>2000000</v>
      </c>
      <c r="J53" s="125">
        <v>0.08</v>
      </c>
      <c r="K53" s="124">
        <f t="shared" si="3"/>
        <v>160000</v>
      </c>
      <c r="L53" s="126" t="e">
        <f t="shared" si="4"/>
        <v>#VALUE!</v>
      </c>
      <c r="M53" s="127" t="s">
        <v>20</v>
      </c>
      <c r="N53" s="89"/>
      <c r="O53" s="35"/>
      <c r="P53" s="37" t="str">
        <f t="shared" si="6"/>
        <v/>
      </c>
      <c r="Q53" s="35"/>
      <c r="R53" s="41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</row>
    <row r="54" spans="1:41" ht="27.6" x14ac:dyDescent="0.25">
      <c r="A54" s="22">
        <f t="shared" si="1"/>
        <v>51</v>
      </c>
      <c r="B54" s="29" t="s">
        <v>188</v>
      </c>
      <c r="C54" s="24" t="str">
        <f ca="1">IFERROR(__xludf.DUMMYFUNCTION("IFERROR(VLOOKUP(B54,IMPORTRANGE(""https://docs.google.com/spreadsheets/d/1Hr4i_97qtgRe-bfuRbVkLVmXa34m06T7R6IJCbq42Xg/edit?gid=0#gid=0"",""Information!B5:S200""),4,0),"""")"),"")</f>
        <v/>
      </c>
      <c r="D54" s="90" t="s">
        <v>121</v>
      </c>
      <c r="E54" s="26" t="str">
        <f t="shared" si="2"/>
        <v>051/FS/2025</v>
      </c>
      <c r="F54" s="31"/>
      <c r="G54" s="31">
        <v>45820</v>
      </c>
      <c r="H54" s="36" t="s">
        <v>403</v>
      </c>
      <c r="I54" s="124">
        <v>1000000</v>
      </c>
      <c r="J54" s="125">
        <v>0.08</v>
      </c>
      <c r="K54" s="124">
        <f t="shared" si="3"/>
        <v>80000</v>
      </c>
      <c r="L54" s="126" t="e">
        <f t="shared" si="4"/>
        <v>#VALUE!</v>
      </c>
      <c r="M54" s="127" t="s">
        <v>25</v>
      </c>
      <c r="N54" s="89"/>
      <c r="O54" s="35"/>
      <c r="P54" s="37" t="str">
        <f t="shared" si="6"/>
        <v/>
      </c>
      <c r="Q54" s="35"/>
      <c r="R54" s="41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</row>
    <row r="55" spans="1:41" ht="27.6" x14ac:dyDescent="0.25">
      <c r="A55" s="22">
        <f t="shared" si="1"/>
        <v>52</v>
      </c>
      <c r="B55" s="29" t="s">
        <v>174</v>
      </c>
      <c r="C55" s="24" t="str">
        <f ca="1">IFERROR(__xludf.DUMMYFUNCTION("IFERROR(VLOOKUP(B55,IMPORTRANGE(""https://docs.google.com/spreadsheets/d/1Hr4i_97qtgRe-bfuRbVkLVmXa34m06T7R6IJCbq42Xg/edit?gid=0#gid=0"",""Information!B5:S200""),4,0),"""")"),"")</f>
        <v/>
      </c>
      <c r="D55" s="90" t="s">
        <v>123</v>
      </c>
      <c r="E55" s="26" t="str">
        <f t="shared" si="2"/>
        <v>052/FS/2025</v>
      </c>
      <c r="F55" s="31">
        <v>45820</v>
      </c>
      <c r="G55" s="31"/>
      <c r="H55" s="36" t="s">
        <v>414</v>
      </c>
      <c r="I55" s="124">
        <v>2000000</v>
      </c>
      <c r="J55" s="125">
        <v>0.08</v>
      </c>
      <c r="K55" s="124">
        <f t="shared" si="3"/>
        <v>160000</v>
      </c>
      <c r="L55" s="126" t="e">
        <f t="shared" si="4"/>
        <v>#VALUE!</v>
      </c>
      <c r="M55" s="127" t="s">
        <v>20</v>
      </c>
      <c r="N55" s="89"/>
      <c r="O55" s="35"/>
      <c r="P55" s="37" t="str">
        <f t="shared" si="6"/>
        <v/>
      </c>
      <c r="Q55" s="35"/>
      <c r="R55" s="25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</row>
    <row r="56" spans="1:41" ht="69" x14ac:dyDescent="0.25">
      <c r="A56" s="22">
        <f t="shared" si="1"/>
        <v>53</v>
      </c>
      <c r="B56" s="29" t="s">
        <v>188</v>
      </c>
      <c r="C56" s="24" t="str">
        <f ca="1">IFERROR(__xludf.DUMMYFUNCTION("IFERROR(VLOOKUP(B56,IMPORTRANGE(""https://docs.google.com/spreadsheets/d/1Hr4i_97qtgRe-bfuRbVkLVmXa34m06T7R6IJCbq42Xg/edit?gid=0#gid=0"",""Information!B5:S200""),4,0),"""")"),"")</f>
        <v/>
      </c>
      <c r="D56" s="90" t="s">
        <v>125</v>
      </c>
      <c r="E56" s="26" t="str">
        <f t="shared" si="2"/>
        <v>053/FS/2025</v>
      </c>
      <c r="F56" s="31">
        <v>45820</v>
      </c>
      <c r="G56" s="31">
        <v>45820</v>
      </c>
      <c r="H56" s="36" t="s">
        <v>415</v>
      </c>
      <c r="I56" s="124">
        <v>2500000</v>
      </c>
      <c r="J56" s="125">
        <v>0.08</v>
      </c>
      <c r="K56" s="124">
        <f t="shared" si="3"/>
        <v>200000</v>
      </c>
      <c r="L56" s="126" t="e">
        <f t="shared" si="4"/>
        <v>#VALUE!</v>
      </c>
      <c r="M56" s="127" t="s">
        <v>20</v>
      </c>
      <c r="N56" s="89"/>
      <c r="O56" s="35"/>
      <c r="P56" s="37" t="str">
        <f t="shared" si="6"/>
        <v/>
      </c>
      <c r="Q56" s="35"/>
      <c r="R56" s="41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</row>
    <row r="57" spans="1:41" ht="13.8" x14ac:dyDescent="0.25">
      <c r="A57" s="22">
        <f t="shared" si="1"/>
        <v>54</v>
      </c>
      <c r="B57" s="29" t="s">
        <v>162</v>
      </c>
      <c r="C57" s="24" t="str">
        <f ca="1">IFERROR(__xludf.DUMMYFUNCTION("IFERROR(VLOOKUP(B57,IMPORTRANGE(""https://docs.google.com/spreadsheets/d/1Hr4i_97qtgRe-bfuRbVkLVmXa34m06T7R6IJCbq42Xg/edit?gid=0#gid=0"",""Information!B5:S200""),4,0),"""")"),"")</f>
        <v/>
      </c>
      <c r="D57" s="90" t="s">
        <v>127</v>
      </c>
      <c r="E57" s="26" t="str">
        <f t="shared" si="2"/>
        <v>054/FS/2025</v>
      </c>
      <c r="F57" s="31">
        <v>45822</v>
      </c>
      <c r="G57" s="31">
        <v>45822</v>
      </c>
      <c r="H57" s="36" t="s">
        <v>416</v>
      </c>
      <c r="I57" s="124">
        <v>1000000</v>
      </c>
      <c r="J57" s="125">
        <v>0.08</v>
      </c>
      <c r="K57" s="124">
        <f t="shared" si="3"/>
        <v>80000</v>
      </c>
      <c r="L57" s="126" t="e">
        <f t="shared" si="4"/>
        <v>#VALUE!</v>
      </c>
      <c r="M57" s="127" t="s">
        <v>20</v>
      </c>
      <c r="N57" s="89"/>
      <c r="O57" s="35"/>
      <c r="P57" s="37" t="str">
        <f t="shared" si="6"/>
        <v/>
      </c>
      <c r="Q57" s="35"/>
      <c r="R57" s="41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</row>
    <row r="58" spans="1:41" ht="27.6" x14ac:dyDescent="0.25">
      <c r="A58" s="22">
        <f t="shared" si="1"/>
        <v>55</v>
      </c>
      <c r="B58" s="29" t="s">
        <v>417</v>
      </c>
      <c r="C58" s="24" t="str">
        <f ca="1">IFERROR(__xludf.DUMMYFUNCTION("IFERROR(VLOOKUP(B58,IMPORTRANGE(""https://docs.google.com/spreadsheets/d/1Hr4i_97qtgRe-bfuRbVkLVmXa34m06T7R6IJCbq42Xg/edit?gid=0#gid=0"",""Information!B5:S200""),4,0),"""")"),"")</f>
        <v/>
      </c>
      <c r="D58" s="90" t="s">
        <v>129</v>
      </c>
      <c r="E58" s="26" t="str">
        <f t="shared" si="2"/>
        <v>055/FS/2025</v>
      </c>
      <c r="F58" s="31">
        <v>45825</v>
      </c>
      <c r="G58" s="31"/>
      <c r="H58" s="36" t="s">
        <v>414</v>
      </c>
      <c r="I58" s="124">
        <v>3500000</v>
      </c>
      <c r="J58" s="125">
        <v>0.08</v>
      </c>
      <c r="K58" s="124">
        <f t="shared" si="3"/>
        <v>280000</v>
      </c>
      <c r="L58" s="126" t="e">
        <f t="shared" si="4"/>
        <v>#VALUE!</v>
      </c>
      <c r="M58" s="127" t="s">
        <v>20</v>
      </c>
      <c r="N58" s="89"/>
      <c r="O58" s="35"/>
      <c r="P58" s="37" t="str">
        <f t="shared" si="6"/>
        <v/>
      </c>
      <c r="Q58" s="35"/>
      <c r="R58" s="25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</row>
    <row r="59" spans="1:41" ht="27.6" x14ac:dyDescent="0.25">
      <c r="A59" s="22">
        <f t="shared" si="1"/>
        <v>56</v>
      </c>
      <c r="B59" s="29" t="s">
        <v>82</v>
      </c>
      <c r="C59" s="24" t="str">
        <f ca="1">IFERROR(__xludf.DUMMYFUNCTION("IFERROR(VLOOKUP(B59,IMPORTRANGE(""https://docs.google.com/spreadsheets/d/1Hr4i_97qtgRe-bfuRbVkLVmXa34m06T7R6IJCbq42Xg/edit?gid=0#gid=0"",""Information!B5:S200""),4,0),"""")"),"")</f>
        <v/>
      </c>
      <c r="D59" s="90" t="s">
        <v>131</v>
      </c>
      <c r="E59" s="26" t="str">
        <f t="shared" si="2"/>
        <v>056/FS/2025</v>
      </c>
      <c r="F59" s="92"/>
      <c r="G59" s="92">
        <v>45783</v>
      </c>
      <c r="H59" s="36" t="s">
        <v>418</v>
      </c>
      <c r="I59" s="124">
        <v>10000000</v>
      </c>
      <c r="J59" s="125">
        <v>0.08</v>
      </c>
      <c r="K59" s="124">
        <f t="shared" si="3"/>
        <v>800000</v>
      </c>
      <c r="L59" s="126" t="e">
        <f t="shared" si="4"/>
        <v>#VALUE!</v>
      </c>
      <c r="M59" s="127" t="s">
        <v>20</v>
      </c>
      <c r="N59" s="89">
        <f t="shared" ref="N59:N60" si="7">IF(M59="Done",G59,"")</f>
        <v>45783</v>
      </c>
      <c r="O59" s="35"/>
      <c r="P59" s="37" t="str">
        <f t="shared" si="6"/>
        <v/>
      </c>
      <c r="Q59" s="35"/>
      <c r="R59" s="41"/>
      <c r="S59" s="33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</row>
    <row r="60" spans="1:41" ht="27.6" x14ac:dyDescent="0.25">
      <c r="A60" s="22">
        <f t="shared" si="1"/>
        <v>57</v>
      </c>
      <c r="B60" s="29" t="s">
        <v>82</v>
      </c>
      <c r="C60" s="24" t="str">
        <f ca="1">IFERROR(__xludf.DUMMYFUNCTION("IFERROR(VLOOKUP(B60,IMPORTRANGE(""https://docs.google.com/spreadsheets/d/1Hr4i_97qtgRe-bfuRbVkLVmXa34m06T7R6IJCbq42Xg/edit?gid=0#gid=0"",""Information!B5:S200""),4,0),"""")"),"")</f>
        <v/>
      </c>
      <c r="D60" s="90" t="s">
        <v>133</v>
      </c>
      <c r="E60" s="26" t="str">
        <f t="shared" si="2"/>
        <v>057/FS/2025</v>
      </c>
      <c r="F60" s="92"/>
      <c r="G60" s="92">
        <v>45831</v>
      </c>
      <c r="H60" s="36" t="s">
        <v>419</v>
      </c>
      <c r="I60" s="124">
        <v>10000000</v>
      </c>
      <c r="J60" s="125">
        <v>0.08</v>
      </c>
      <c r="K60" s="124">
        <f t="shared" si="3"/>
        <v>800000</v>
      </c>
      <c r="L60" s="126" t="e">
        <f t="shared" si="4"/>
        <v>#VALUE!</v>
      </c>
      <c r="M60" s="127" t="s">
        <v>20</v>
      </c>
      <c r="N60" s="89">
        <f t="shared" si="7"/>
        <v>45831</v>
      </c>
      <c r="O60" s="35"/>
      <c r="P60" s="37" t="str">
        <f t="shared" si="6"/>
        <v/>
      </c>
      <c r="Q60" s="35"/>
      <c r="R60" s="41"/>
      <c r="S60" s="33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</row>
    <row r="61" spans="1:41" ht="27.6" x14ac:dyDescent="0.25">
      <c r="A61" s="22">
        <f t="shared" si="1"/>
        <v>58</v>
      </c>
      <c r="B61" s="29" t="s">
        <v>38</v>
      </c>
      <c r="C61" s="24" t="str">
        <f ca="1">IFERROR(__xludf.DUMMYFUNCTION("IFERROR(VLOOKUP(B61,IMPORTRANGE(""https://docs.google.com/spreadsheets/d/1Hr4i_97qtgRe-bfuRbVkLVmXa34m06T7R6IJCbq42Xg/edit?gid=0#gid=0"",""Information!B5:S200""),4,0),"""")"),"")</f>
        <v/>
      </c>
      <c r="D61" s="90" t="s">
        <v>135</v>
      </c>
      <c r="E61" s="26" t="str">
        <f t="shared" si="2"/>
        <v>058/FS/2025</v>
      </c>
      <c r="F61" s="94"/>
      <c r="G61" s="92">
        <v>45834</v>
      </c>
      <c r="H61" s="36" t="s">
        <v>403</v>
      </c>
      <c r="I61" s="124">
        <v>4000000</v>
      </c>
      <c r="J61" s="125">
        <v>0.08</v>
      </c>
      <c r="K61" s="124">
        <f t="shared" si="3"/>
        <v>320000</v>
      </c>
      <c r="L61" s="126" t="e">
        <f t="shared" si="4"/>
        <v>#VALUE!</v>
      </c>
      <c r="M61" s="127" t="s">
        <v>20</v>
      </c>
      <c r="N61" s="89"/>
      <c r="O61" s="35"/>
      <c r="P61" s="37" t="str">
        <f t="shared" si="6"/>
        <v/>
      </c>
      <c r="Q61" s="35"/>
      <c r="R61" s="41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</row>
    <row r="62" spans="1:41" ht="55.2" x14ac:dyDescent="0.25">
      <c r="A62" s="22">
        <f t="shared" si="1"/>
        <v>59</v>
      </c>
      <c r="B62" s="29" t="s">
        <v>116</v>
      </c>
      <c r="C62" s="24" t="str">
        <f ca="1">IFERROR(__xludf.DUMMYFUNCTION("IFERROR(VLOOKUP(B62,IMPORTRANGE(""https://docs.google.com/spreadsheets/d/1Hr4i_97qtgRe-bfuRbVkLVmXa34m06T7R6IJCbq42Xg/edit?gid=0#gid=0"",""Information!B5:S200""),4,0),"""")"),"")</f>
        <v/>
      </c>
      <c r="D62" s="90" t="s">
        <v>137</v>
      </c>
      <c r="E62" s="26" t="str">
        <f t="shared" si="2"/>
        <v>059/FS/2025</v>
      </c>
      <c r="F62" s="31">
        <v>45835</v>
      </c>
      <c r="G62" s="94"/>
      <c r="H62" s="36" t="s">
        <v>420</v>
      </c>
      <c r="I62" s="124">
        <v>2000000</v>
      </c>
      <c r="J62" s="125">
        <v>0.08</v>
      </c>
      <c r="K62" s="124">
        <f t="shared" si="3"/>
        <v>160000</v>
      </c>
      <c r="L62" s="126" t="e">
        <f t="shared" si="4"/>
        <v>#VALUE!</v>
      </c>
      <c r="M62" s="127" t="s">
        <v>20</v>
      </c>
      <c r="N62" s="89"/>
      <c r="O62" s="35"/>
      <c r="P62" s="37" t="str">
        <f t="shared" si="6"/>
        <v/>
      </c>
      <c r="Q62" s="35"/>
      <c r="R62" s="41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</row>
    <row r="63" spans="1:41" ht="13.8" x14ac:dyDescent="0.25">
      <c r="A63" s="22">
        <f t="shared" si="1"/>
        <v>60</v>
      </c>
      <c r="B63" s="29" t="s">
        <v>66</v>
      </c>
      <c r="C63" s="24" t="str">
        <f ca="1">IFERROR(__xludf.DUMMYFUNCTION("IFERROR(VLOOKUP(B63,IMPORTRANGE(""https://docs.google.com/spreadsheets/d/1Hr4i_97qtgRe-bfuRbVkLVmXa34m06T7R6IJCbq42Xg/edit?gid=0#gid=0"",""Information!B5:S200""),4,0),"""")"),"")</f>
        <v/>
      </c>
      <c r="D63" s="90" t="s">
        <v>139</v>
      </c>
      <c r="E63" s="26" t="str">
        <f t="shared" si="2"/>
        <v>060/FS/2025</v>
      </c>
      <c r="F63" s="94"/>
      <c r="G63" s="94"/>
      <c r="H63" s="93"/>
      <c r="I63" s="126"/>
      <c r="J63" s="125"/>
      <c r="K63" s="124"/>
      <c r="L63" s="126"/>
      <c r="M63" s="127" t="s">
        <v>25</v>
      </c>
      <c r="N63" s="89"/>
      <c r="O63" s="35"/>
      <c r="P63" s="37"/>
      <c r="Q63" s="35"/>
      <c r="R63" s="25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</row>
    <row r="64" spans="1:41" ht="27.6" x14ac:dyDescent="0.25">
      <c r="A64" s="22">
        <f t="shared" si="1"/>
        <v>61</v>
      </c>
      <c r="B64" s="29" t="s">
        <v>116</v>
      </c>
      <c r="C64" s="24" t="str">
        <f ca="1">IFERROR(__xludf.DUMMYFUNCTION("IFERROR(VLOOKUP(B64,IMPORTRANGE(""https://docs.google.com/spreadsheets/d/1Hr4i_97qtgRe-bfuRbVkLVmXa34m06T7R6IJCbq42Xg/edit?gid=0#gid=0"",""Information!B3:S200""),4,0),"""")"),"")</f>
        <v/>
      </c>
      <c r="D64" s="90" t="s">
        <v>141</v>
      </c>
      <c r="E64" s="26" t="str">
        <f t="shared" si="2"/>
        <v>061/FS/2025</v>
      </c>
      <c r="F64" s="31">
        <v>45840</v>
      </c>
      <c r="G64" s="94"/>
      <c r="H64" s="128" t="s">
        <v>421</v>
      </c>
      <c r="I64" s="124">
        <v>2000000</v>
      </c>
      <c r="J64" s="125">
        <v>0.08</v>
      </c>
      <c r="K64" s="124">
        <f t="shared" ref="K64:K196" si="8">I64*J64</f>
        <v>160000</v>
      </c>
      <c r="L64" s="126" t="e">
        <f t="shared" ref="L64:L198" si="9">I64+K64-P64</f>
        <v>#VALUE!</v>
      </c>
      <c r="M64" s="127" t="s">
        <v>25</v>
      </c>
      <c r="N64" s="89"/>
      <c r="O64" s="35"/>
      <c r="P64" s="37" t="str">
        <f t="shared" ref="P64:P71" si="10">IF(O64="Done",I64*10%,"")</f>
        <v/>
      </c>
      <c r="Q64" s="35"/>
      <c r="R64" s="25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</row>
    <row r="65" spans="1:41" ht="27.6" x14ac:dyDescent="0.25">
      <c r="A65" s="22">
        <f t="shared" si="1"/>
        <v>62</v>
      </c>
      <c r="B65" s="29" t="s">
        <v>128</v>
      </c>
      <c r="C65" s="24" t="str">
        <f ca="1">IFERROR(__xludf.DUMMYFUNCTION("IFERROR(VLOOKUP(B65,IMPORTRANGE(""https://docs.google.com/spreadsheets/d/1Hr4i_97qtgRe-bfuRbVkLVmXa34m06T7R6IJCbq42Xg/edit?gid=0#gid=0"",""Information!B5:S200""),4,0),"""")"),"")</f>
        <v/>
      </c>
      <c r="D65" s="90" t="s">
        <v>143</v>
      </c>
      <c r="E65" s="26" t="str">
        <f t="shared" si="2"/>
        <v>062/FS/2025</v>
      </c>
      <c r="F65" s="31">
        <v>45840</v>
      </c>
      <c r="G65" s="94"/>
      <c r="H65" s="128" t="s">
        <v>422</v>
      </c>
      <c r="I65" s="124">
        <v>2000000</v>
      </c>
      <c r="J65" s="125">
        <v>0.08</v>
      </c>
      <c r="K65" s="124">
        <f t="shared" si="8"/>
        <v>160000</v>
      </c>
      <c r="L65" s="126" t="e">
        <f t="shared" si="9"/>
        <v>#VALUE!</v>
      </c>
      <c r="M65" s="127" t="s">
        <v>20</v>
      </c>
      <c r="N65" s="89"/>
      <c r="O65" s="35"/>
      <c r="P65" s="37" t="str">
        <f t="shared" si="10"/>
        <v/>
      </c>
      <c r="Q65" s="35"/>
      <c r="R65" s="41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</row>
    <row r="66" spans="1:41" ht="27.6" x14ac:dyDescent="0.25">
      <c r="A66" s="22">
        <f t="shared" si="1"/>
        <v>63</v>
      </c>
      <c r="B66" s="29" t="s">
        <v>112</v>
      </c>
      <c r="C66" s="24" t="str">
        <f ca="1">IFERROR(__xludf.DUMMYFUNCTION("IFERROR(VLOOKUP(B66,IMPORTRANGE(""https://docs.google.com/spreadsheets/d/1Hr4i_97qtgRe-bfuRbVkLVmXa34m06T7R6IJCbq42Xg/edit?gid=0#gid=0"",""Information!B5:S200""),4,0),"""")"),"")</f>
        <v/>
      </c>
      <c r="D66" s="90" t="s">
        <v>145</v>
      </c>
      <c r="E66" s="26" t="str">
        <f t="shared" si="2"/>
        <v>063/FS/2025</v>
      </c>
      <c r="F66" s="31">
        <v>45840</v>
      </c>
      <c r="G66" s="94"/>
      <c r="H66" s="93" t="s">
        <v>410</v>
      </c>
      <c r="I66" s="124">
        <v>9000000</v>
      </c>
      <c r="J66" s="125">
        <v>0.08</v>
      </c>
      <c r="K66" s="124">
        <f t="shared" si="8"/>
        <v>720000</v>
      </c>
      <c r="L66" s="126" t="e">
        <f t="shared" si="9"/>
        <v>#VALUE!</v>
      </c>
      <c r="M66" s="127" t="s">
        <v>20</v>
      </c>
      <c r="N66" s="89"/>
      <c r="O66" s="35"/>
      <c r="P66" s="37" t="str">
        <f t="shared" si="10"/>
        <v/>
      </c>
      <c r="Q66" s="35"/>
      <c r="R66" s="25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</row>
    <row r="67" spans="1:41" ht="27.6" x14ac:dyDescent="0.25">
      <c r="A67" s="22">
        <f t="shared" si="1"/>
        <v>64</v>
      </c>
      <c r="B67" s="29" t="s">
        <v>64</v>
      </c>
      <c r="C67" s="24" t="str">
        <f ca="1">IFERROR(__xludf.DUMMYFUNCTION("IFERROR(VLOOKUP(B67,IMPORTRANGE(""https://docs.google.com/spreadsheets/d/1Hr4i_97qtgRe-bfuRbVkLVmXa34m06T7R6IJCbq42Xg/edit?gid=0#gid=0"",""Information!B5:S200""),4,0),"""")"),"")</f>
        <v/>
      </c>
      <c r="D67" s="90" t="s">
        <v>147</v>
      </c>
      <c r="E67" s="26" t="str">
        <f t="shared" si="2"/>
        <v>064/FS/2025</v>
      </c>
      <c r="F67" s="31">
        <v>45840</v>
      </c>
      <c r="G67" s="94"/>
      <c r="H67" s="93" t="s">
        <v>423</v>
      </c>
      <c r="I67" s="124">
        <v>4000000</v>
      </c>
      <c r="J67" s="125">
        <v>0.08</v>
      </c>
      <c r="K67" s="124">
        <f t="shared" si="8"/>
        <v>320000</v>
      </c>
      <c r="L67" s="126" t="e">
        <f t="shared" si="9"/>
        <v>#VALUE!</v>
      </c>
      <c r="M67" s="127" t="s">
        <v>20</v>
      </c>
      <c r="N67" s="89"/>
      <c r="O67" s="35"/>
      <c r="P67" s="37" t="str">
        <f t="shared" si="10"/>
        <v/>
      </c>
      <c r="Q67" s="35"/>
      <c r="R67" s="41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</row>
    <row r="68" spans="1:41" ht="124.2" x14ac:dyDescent="0.25">
      <c r="A68" s="22">
        <f t="shared" si="1"/>
        <v>65</v>
      </c>
      <c r="B68" s="29" t="s">
        <v>56</v>
      </c>
      <c r="C68" s="24" t="str">
        <f ca="1">IFERROR(__xludf.DUMMYFUNCTION("IFERROR(VLOOKUP(B68,IMPORTRANGE(""https://docs.google.com/spreadsheets/d/1Hr4i_97qtgRe-bfuRbVkLVmXa34m06T7R6IJCbq42Xg/edit?gid=0#gid=0"",""Information!B5:S200""),4,0),"""")"),"")</f>
        <v/>
      </c>
      <c r="D68" s="90" t="s">
        <v>149</v>
      </c>
      <c r="E68" s="26" t="str">
        <f t="shared" si="2"/>
        <v>065/FS/2025</v>
      </c>
      <c r="F68" s="31">
        <v>45840</v>
      </c>
      <c r="G68" s="31">
        <v>45974</v>
      </c>
      <c r="H68" s="93" t="s">
        <v>424</v>
      </c>
      <c r="I68" s="124">
        <v>18600000</v>
      </c>
      <c r="J68" s="125">
        <v>0.08</v>
      </c>
      <c r="K68" s="124">
        <f t="shared" si="8"/>
        <v>1488000</v>
      </c>
      <c r="L68" s="126" t="e">
        <f t="shared" si="9"/>
        <v>#VALUE!</v>
      </c>
      <c r="M68" s="127" t="s">
        <v>20</v>
      </c>
      <c r="N68" s="89"/>
      <c r="O68" s="35"/>
      <c r="P68" s="37" t="str">
        <f t="shared" si="10"/>
        <v/>
      </c>
      <c r="Q68" s="35"/>
      <c r="R68" s="25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</row>
    <row r="69" spans="1:41" ht="27.6" x14ac:dyDescent="0.25">
      <c r="A69" s="22">
        <f t="shared" si="1"/>
        <v>66</v>
      </c>
      <c r="B69" s="29" t="s">
        <v>118</v>
      </c>
      <c r="C69" s="24" t="str">
        <f ca="1">IFERROR(__xludf.DUMMYFUNCTION("IFERROR(VLOOKUP(B69,IMPORTRANGE(""https://docs.google.com/spreadsheets/d/1Hr4i_97qtgRe-bfuRbVkLVmXa34m06T7R6IJCbq42Xg/edit?gid=0#gid=0"",""Information!B5:S200""),4,0),"""")"),"")</f>
        <v/>
      </c>
      <c r="D69" s="90" t="s">
        <v>151</v>
      </c>
      <c r="E69" s="26" t="str">
        <f t="shared" si="2"/>
        <v>066/FS/2025</v>
      </c>
      <c r="F69" s="31">
        <v>45856</v>
      </c>
      <c r="G69" s="94"/>
      <c r="H69" s="93" t="s">
        <v>410</v>
      </c>
      <c r="I69" s="124">
        <v>1000000</v>
      </c>
      <c r="J69" s="125">
        <v>0.08</v>
      </c>
      <c r="K69" s="124">
        <f t="shared" si="8"/>
        <v>80000</v>
      </c>
      <c r="L69" s="126" t="e">
        <f t="shared" si="9"/>
        <v>#VALUE!</v>
      </c>
      <c r="M69" s="127" t="s">
        <v>20</v>
      </c>
      <c r="N69" s="89"/>
      <c r="O69" s="35"/>
      <c r="P69" s="37" t="str">
        <f t="shared" si="10"/>
        <v/>
      </c>
      <c r="Q69" s="35"/>
      <c r="R69" s="41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</row>
    <row r="70" spans="1:41" ht="27.6" x14ac:dyDescent="0.25">
      <c r="A70" s="22">
        <f t="shared" si="1"/>
        <v>67</v>
      </c>
      <c r="B70" s="29" t="s">
        <v>106</v>
      </c>
      <c r="C70" s="24" t="str">
        <f ca="1">IFERROR(__xludf.DUMMYFUNCTION("IFERROR(VLOOKUP(B70,IMPORTRANGE(""https://docs.google.com/spreadsheets/d/1Hr4i_97qtgRe-bfuRbVkLVmXa34m06T7R6IJCbq42Xg/edit?gid=0#gid=0"",""Information!B5:S200""),4,0),"""")"),"")</f>
        <v/>
      </c>
      <c r="D70" s="90" t="s">
        <v>153</v>
      </c>
      <c r="E70" s="26" t="str">
        <f t="shared" si="2"/>
        <v>067/FS/2025</v>
      </c>
      <c r="F70" s="31">
        <v>45861</v>
      </c>
      <c r="G70" s="94"/>
      <c r="H70" s="93" t="s">
        <v>425</v>
      </c>
      <c r="I70" s="124">
        <v>12000000</v>
      </c>
      <c r="J70" s="125">
        <v>0.08</v>
      </c>
      <c r="K70" s="124">
        <f t="shared" si="8"/>
        <v>960000</v>
      </c>
      <c r="L70" s="126" t="e">
        <f t="shared" si="9"/>
        <v>#VALUE!</v>
      </c>
      <c r="M70" s="127" t="s">
        <v>20</v>
      </c>
      <c r="N70" s="89"/>
      <c r="O70" s="35"/>
      <c r="P70" s="37" t="str">
        <f t="shared" si="10"/>
        <v/>
      </c>
      <c r="Q70" s="35"/>
      <c r="R70" s="41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</row>
    <row r="71" spans="1:41" ht="27.6" x14ac:dyDescent="0.25">
      <c r="A71" s="22">
        <f t="shared" si="1"/>
        <v>68</v>
      </c>
      <c r="B71" s="29" t="s">
        <v>158</v>
      </c>
      <c r="C71" s="24" t="str">
        <f ca="1">IFERROR(__xludf.DUMMYFUNCTION("IFERROR(VLOOKUP(B71,IMPORTRANGE(""https://docs.google.com/spreadsheets/d/1Hr4i_97qtgRe-bfuRbVkLVmXa34m06T7R6IJCbq42Xg/edit?gid=0#gid=0"",""Information!B5:S200""),4,0),"""")"),"")</f>
        <v/>
      </c>
      <c r="D71" s="90" t="s">
        <v>155</v>
      </c>
      <c r="E71" s="26" t="str">
        <f t="shared" si="2"/>
        <v>068/FS/2025</v>
      </c>
      <c r="F71" s="31">
        <v>45864</v>
      </c>
      <c r="G71" s="94"/>
      <c r="H71" s="93" t="s">
        <v>423</v>
      </c>
      <c r="I71" s="124">
        <v>3000000</v>
      </c>
      <c r="J71" s="125">
        <v>0.08</v>
      </c>
      <c r="K71" s="124">
        <f t="shared" si="8"/>
        <v>240000</v>
      </c>
      <c r="L71" s="126" t="e">
        <f t="shared" si="9"/>
        <v>#VALUE!</v>
      </c>
      <c r="M71" s="127" t="s">
        <v>20</v>
      </c>
      <c r="N71" s="89"/>
      <c r="O71" s="35"/>
      <c r="P71" s="37" t="str">
        <f t="shared" si="10"/>
        <v/>
      </c>
      <c r="Q71" s="35"/>
      <c r="R71" s="41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</row>
    <row r="72" spans="1:41" ht="27.6" x14ac:dyDescent="0.25">
      <c r="A72" s="22">
        <f t="shared" si="1"/>
        <v>69</v>
      </c>
      <c r="B72" s="129" t="s">
        <v>70</v>
      </c>
      <c r="C72" s="24" t="str">
        <f ca="1">IFERROR(__xludf.DUMMYFUNCTION("IFERROR(VLOOKUP(B72,IMPORTRANGE(""https://docs.google.com/spreadsheets/d/1Hr4i_97qtgRe-bfuRbVkLVmXa34m06T7R6IJCbq42Xg/edit?gid=0#gid=0"",""Information!B5:S200""),4,0),"""")"),"")</f>
        <v/>
      </c>
      <c r="D72" s="130" t="s">
        <v>157</v>
      </c>
      <c r="E72" s="26" t="str">
        <f t="shared" si="2"/>
        <v>069/FS/2025</v>
      </c>
      <c r="F72" s="116"/>
      <c r="G72" s="131">
        <v>45910</v>
      </c>
      <c r="H72" s="128" t="s">
        <v>426</v>
      </c>
      <c r="I72" s="124">
        <v>15000000</v>
      </c>
      <c r="J72" s="125">
        <v>0.08</v>
      </c>
      <c r="K72" s="124">
        <f t="shared" si="8"/>
        <v>1200000</v>
      </c>
      <c r="L72" s="126">
        <f t="shared" si="9"/>
        <v>16200000</v>
      </c>
      <c r="M72" s="127" t="s">
        <v>20</v>
      </c>
      <c r="N72" s="118"/>
      <c r="O72" s="55"/>
      <c r="P72" s="53"/>
      <c r="Q72" s="55"/>
      <c r="R72" s="49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</row>
    <row r="73" spans="1:41" ht="69" x14ac:dyDescent="0.25">
      <c r="A73" s="22">
        <f t="shared" si="1"/>
        <v>70</v>
      </c>
      <c r="B73" s="29" t="s">
        <v>21</v>
      </c>
      <c r="C73" s="24" t="str">
        <f ca="1">IFERROR(__xludf.DUMMYFUNCTION("IFERROR(VLOOKUP(B73,IMPORTRANGE(""https://docs.google.com/spreadsheets/d/1Hr4i_97qtgRe-bfuRbVkLVmXa34m06T7R6IJCbq42Xg/edit?gid=0#gid=0"",""Information!B5:S200""),4,0),"""")"),"")</f>
        <v/>
      </c>
      <c r="D73" s="90" t="s">
        <v>161</v>
      </c>
      <c r="E73" s="26" t="str">
        <f t="shared" si="2"/>
        <v>071/FS/2025</v>
      </c>
      <c r="F73" s="94"/>
      <c r="G73" s="31">
        <v>45912</v>
      </c>
      <c r="H73" s="93" t="s">
        <v>427</v>
      </c>
      <c r="I73" s="124">
        <v>4000000</v>
      </c>
      <c r="J73" s="125">
        <v>0.08</v>
      </c>
      <c r="K73" s="124">
        <f t="shared" si="8"/>
        <v>320000</v>
      </c>
      <c r="L73" s="126" t="e">
        <f t="shared" si="9"/>
        <v>#VALUE!</v>
      </c>
      <c r="M73" s="127" t="s">
        <v>20</v>
      </c>
      <c r="N73" s="89"/>
      <c r="O73" s="35"/>
      <c r="P73" s="37" t="str">
        <f t="shared" ref="P73:P82" si="11">IF(O73="Done",I73*10%,"")</f>
        <v/>
      </c>
      <c r="Q73" s="35"/>
      <c r="R73" s="41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</row>
    <row r="74" spans="1:41" ht="27.6" x14ac:dyDescent="0.25">
      <c r="A74" s="22">
        <f t="shared" si="1"/>
        <v>71</v>
      </c>
      <c r="B74" s="29" t="s">
        <v>26</v>
      </c>
      <c r="C74" s="24" t="str">
        <f ca="1">IFERROR(__xludf.DUMMYFUNCTION("IFERROR(VLOOKUP(B74,IMPORTRANGE(""https://docs.google.com/spreadsheets/d/1Hr4i_97qtgRe-bfuRbVkLVmXa34m06T7R6IJCbq42Xg/edit?gid=0#gid=0"",""Information!B5:S200""),4,0),"""")"),"")</f>
        <v/>
      </c>
      <c r="D74" s="90" t="s">
        <v>163</v>
      </c>
      <c r="E74" s="26" t="str">
        <f t="shared" si="2"/>
        <v>072/FS/2025</v>
      </c>
      <c r="F74" s="94"/>
      <c r="G74" s="94"/>
      <c r="H74" s="93" t="s">
        <v>423</v>
      </c>
      <c r="I74" s="124">
        <v>6000000</v>
      </c>
      <c r="J74" s="125">
        <v>0.08</v>
      </c>
      <c r="K74" s="124">
        <f t="shared" si="8"/>
        <v>480000</v>
      </c>
      <c r="L74" s="126" t="e">
        <f t="shared" si="9"/>
        <v>#VALUE!</v>
      </c>
      <c r="M74" s="127" t="s">
        <v>20</v>
      </c>
      <c r="N74" s="89"/>
      <c r="O74" s="35"/>
      <c r="P74" s="37" t="str">
        <f t="shared" si="11"/>
        <v/>
      </c>
      <c r="Q74" s="35"/>
      <c r="R74" s="41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</row>
    <row r="75" spans="1:41" ht="27.6" x14ac:dyDescent="0.25">
      <c r="A75" s="22">
        <f t="shared" si="1"/>
        <v>72</v>
      </c>
      <c r="B75" s="29" t="s">
        <v>28</v>
      </c>
      <c r="C75" s="24" t="str">
        <f ca="1">IFERROR(__xludf.DUMMYFUNCTION("IFERROR(VLOOKUP(B75,IMPORTRANGE(""https://docs.google.com/spreadsheets/d/1Hr4i_97qtgRe-bfuRbVkLVmXa34m06T7R6IJCbq42Xg/edit?gid=0#gid=0"",""Information!B5:S200""),4,0),"""")"),"")</f>
        <v/>
      </c>
      <c r="D75" s="90" t="s">
        <v>165</v>
      </c>
      <c r="E75" s="26" t="str">
        <f t="shared" si="2"/>
        <v>073/FS/2025</v>
      </c>
      <c r="F75" s="94"/>
      <c r="G75" s="94"/>
      <c r="H75" s="93" t="s">
        <v>423</v>
      </c>
      <c r="I75" s="124">
        <v>7000000</v>
      </c>
      <c r="J75" s="125">
        <v>0.08</v>
      </c>
      <c r="K75" s="124">
        <f t="shared" si="8"/>
        <v>560000</v>
      </c>
      <c r="L75" s="126" t="e">
        <f t="shared" si="9"/>
        <v>#VALUE!</v>
      </c>
      <c r="M75" s="127" t="s">
        <v>20</v>
      </c>
      <c r="N75" s="89"/>
      <c r="O75" s="35"/>
      <c r="P75" s="37" t="str">
        <f t="shared" si="11"/>
        <v/>
      </c>
      <c r="Q75" s="35"/>
      <c r="R75" s="41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</row>
    <row r="76" spans="1:41" ht="27.6" x14ac:dyDescent="0.25">
      <c r="A76" s="22">
        <f t="shared" si="1"/>
        <v>73</v>
      </c>
      <c r="B76" s="29" t="s">
        <v>184</v>
      </c>
      <c r="C76" s="24" t="str">
        <f ca="1">IFERROR(__xludf.DUMMYFUNCTION("IFERROR(VLOOKUP(B76,IMPORTRANGE(""https://docs.google.com/spreadsheets/d/1Hr4i_97qtgRe-bfuRbVkLVmXa34m06T7R6IJCbq42Xg/edit?gid=0#gid=0"",""Information!B5:S200""),4,0),"""")"),"")</f>
        <v/>
      </c>
      <c r="D76" s="90" t="s">
        <v>167</v>
      </c>
      <c r="E76" s="26" t="str">
        <f t="shared" si="2"/>
        <v>074/FS/2025</v>
      </c>
      <c r="F76" s="94"/>
      <c r="G76" s="31">
        <v>45916</v>
      </c>
      <c r="H76" s="93" t="s">
        <v>423</v>
      </c>
      <c r="I76" s="124">
        <v>3000000</v>
      </c>
      <c r="J76" s="125">
        <v>0.08</v>
      </c>
      <c r="K76" s="124">
        <f t="shared" si="8"/>
        <v>240000</v>
      </c>
      <c r="L76" s="126" t="e">
        <f t="shared" si="9"/>
        <v>#VALUE!</v>
      </c>
      <c r="M76" s="127" t="s">
        <v>20</v>
      </c>
      <c r="N76" s="89"/>
      <c r="O76" s="35"/>
      <c r="P76" s="37" t="str">
        <f t="shared" si="11"/>
        <v/>
      </c>
      <c r="Q76" s="35"/>
      <c r="R76" s="41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</row>
    <row r="77" spans="1:41" ht="27.6" x14ac:dyDescent="0.25">
      <c r="A77" s="22">
        <f t="shared" si="1"/>
        <v>74</v>
      </c>
      <c r="B77" s="29" t="s">
        <v>34</v>
      </c>
      <c r="C77" s="24" t="str">
        <f ca="1">IFERROR(__xludf.DUMMYFUNCTION("IFERROR(VLOOKUP(B77,IMPORTRANGE(""https://docs.google.com/spreadsheets/d/1Hr4i_97qtgRe-bfuRbVkLVmXa34m06T7R6IJCbq42Xg/edit?gid=0#gid=0"",""Information!B5:S200""),4,0),"""")"),"")</f>
        <v/>
      </c>
      <c r="D77" s="90" t="s">
        <v>169</v>
      </c>
      <c r="E77" s="26" t="str">
        <f t="shared" si="2"/>
        <v>075/FS/2025</v>
      </c>
      <c r="F77" s="94"/>
      <c r="G77" s="94"/>
      <c r="H77" s="93" t="s">
        <v>423</v>
      </c>
      <c r="I77" s="124">
        <v>2000000</v>
      </c>
      <c r="J77" s="125">
        <v>0.08</v>
      </c>
      <c r="K77" s="124">
        <f t="shared" si="8"/>
        <v>160000</v>
      </c>
      <c r="L77" s="126" t="e">
        <f t="shared" si="9"/>
        <v>#VALUE!</v>
      </c>
      <c r="M77" s="127" t="s">
        <v>20</v>
      </c>
      <c r="N77" s="89"/>
      <c r="O77" s="35"/>
      <c r="P77" s="37" t="str">
        <f t="shared" si="11"/>
        <v/>
      </c>
      <c r="Q77" s="35"/>
      <c r="R77" s="41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</row>
    <row r="78" spans="1:41" ht="27.6" x14ac:dyDescent="0.25">
      <c r="A78" s="22">
        <f t="shared" si="1"/>
        <v>75</v>
      </c>
      <c r="B78" s="29" t="s">
        <v>36</v>
      </c>
      <c r="C78" s="24" t="str">
        <f ca="1">IFERROR(__xludf.DUMMYFUNCTION("IFERROR(VLOOKUP(B78,IMPORTRANGE(""https://docs.google.com/spreadsheets/d/1Hr4i_97qtgRe-bfuRbVkLVmXa34m06T7R6IJCbq42Xg/edit?gid=0#gid=0"",""Information!B5:S200""),4,0),"""")"),"")</f>
        <v/>
      </c>
      <c r="D78" s="90" t="s">
        <v>171</v>
      </c>
      <c r="E78" s="26" t="str">
        <f t="shared" si="2"/>
        <v>076/FS/2025</v>
      </c>
      <c r="F78" s="94"/>
      <c r="G78" s="94"/>
      <c r="H78" s="93" t="s">
        <v>423</v>
      </c>
      <c r="I78" s="124">
        <v>11500000</v>
      </c>
      <c r="J78" s="125">
        <v>0.08</v>
      </c>
      <c r="K78" s="124">
        <f t="shared" si="8"/>
        <v>920000</v>
      </c>
      <c r="L78" s="126" t="e">
        <f t="shared" si="9"/>
        <v>#VALUE!</v>
      </c>
      <c r="M78" s="127" t="s">
        <v>20</v>
      </c>
      <c r="N78" s="89"/>
      <c r="O78" s="35"/>
      <c r="P78" s="37" t="str">
        <f t="shared" si="11"/>
        <v/>
      </c>
      <c r="Q78" s="35"/>
      <c r="R78" s="41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</row>
    <row r="79" spans="1:41" ht="27.6" x14ac:dyDescent="0.25">
      <c r="A79" s="22">
        <f t="shared" si="1"/>
        <v>76</v>
      </c>
      <c r="B79" s="29" t="s">
        <v>38</v>
      </c>
      <c r="C79" s="24" t="str">
        <f ca="1">IFERROR(__xludf.DUMMYFUNCTION("IFERROR(VLOOKUP(B79,IMPORTRANGE(""https://docs.google.com/spreadsheets/d/1Hr4i_97qtgRe-bfuRbVkLVmXa34m06T7R6IJCbq42Xg/edit?gid=0#gid=0"",""Information!B5:S200""),4,0),"""")"),"")</f>
        <v/>
      </c>
      <c r="D79" s="90" t="s">
        <v>173</v>
      </c>
      <c r="E79" s="26" t="str">
        <f t="shared" si="2"/>
        <v>077/FS/2025</v>
      </c>
      <c r="F79" s="94"/>
      <c r="G79" s="94"/>
      <c r="H79" s="93" t="s">
        <v>423</v>
      </c>
      <c r="I79" s="124">
        <v>4000000</v>
      </c>
      <c r="J79" s="125">
        <v>0.08</v>
      </c>
      <c r="K79" s="124">
        <f t="shared" si="8"/>
        <v>320000</v>
      </c>
      <c r="L79" s="126" t="e">
        <f t="shared" si="9"/>
        <v>#VALUE!</v>
      </c>
      <c r="M79" s="127" t="s">
        <v>20</v>
      </c>
      <c r="N79" s="89"/>
      <c r="O79" s="35"/>
      <c r="P79" s="37" t="str">
        <f t="shared" si="11"/>
        <v/>
      </c>
      <c r="Q79" s="35"/>
      <c r="R79" s="41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</row>
    <row r="80" spans="1:41" ht="69" x14ac:dyDescent="0.25">
      <c r="A80" s="22">
        <f t="shared" si="1"/>
        <v>77</v>
      </c>
      <c r="B80" s="29" t="s">
        <v>40</v>
      </c>
      <c r="C80" s="24" t="str">
        <f ca="1">IFERROR(__xludf.DUMMYFUNCTION("IFERROR(VLOOKUP(B80,IMPORTRANGE(""https://docs.google.com/spreadsheets/d/1Hr4i_97qtgRe-bfuRbVkLVmXa34m06T7R6IJCbq42Xg/edit?gid=0#gid=0"",""Information!B5:S200""),4,0),"""")"),"")</f>
        <v/>
      </c>
      <c r="D80" s="90" t="s">
        <v>175</v>
      </c>
      <c r="E80" s="26" t="str">
        <f t="shared" si="2"/>
        <v>078/FS/2025</v>
      </c>
      <c r="F80" s="94"/>
      <c r="G80" s="31">
        <v>45916</v>
      </c>
      <c r="H80" s="93" t="s">
        <v>428</v>
      </c>
      <c r="I80" s="124">
        <v>7500000</v>
      </c>
      <c r="J80" s="125">
        <v>0.08</v>
      </c>
      <c r="K80" s="124">
        <f t="shared" si="8"/>
        <v>600000</v>
      </c>
      <c r="L80" s="126" t="e">
        <f t="shared" si="9"/>
        <v>#VALUE!</v>
      </c>
      <c r="M80" s="127" t="s">
        <v>20</v>
      </c>
      <c r="N80" s="89"/>
      <c r="O80" s="35"/>
      <c r="P80" s="37" t="str">
        <f t="shared" si="11"/>
        <v/>
      </c>
      <c r="Q80" s="35"/>
      <c r="R80" s="41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</row>
    <row r="81" spans="1:41" ht="27.6" x14ac:dyDescent="0.25">
      <c r="A81" s="22">
        <f t="shared" si="1"/>
        <v>78</v>
      </c>
      <c r="B81" s="29" t="s">
        <v>42</v>
      </c>
      <c r="C81" s="24" t="str">
        <f ca="1">IFERROR(__xludf.DUMMYFUNCTION("IFERROR(VLOOKUP(B81,IMPORTRANGE(""https://docs.google.com/spreadsheets/d/1Hr4i_97qtgRe-bfuRbVkLVmXa34m06T7R6IJCbq42Xg/edit?gid=0#gid=0"",""Information!B5:S200""),4,0),"""")"),"")</f>
        <v/>
      </c>
      <c r="D81" s="90" t="s">
        <v>177</v>
      </c>
      <c r="E81" s="26" t="str">
        <f t="shared" si="2"/>
        <v>079/FS/2025</v>
      </c>
      <c r="F81" s="94"/>
      <c r="G81" s="94"/>
      <c r="H81" s="93" t="s">
        <v>423</v>
      </c>
      <c r="I81" s="124">
        <v>0</v>
      </c>
      <c r="J81" s="125">
        <v>0.08</v>
      </c>
      <c r="K81" s="124">
        <f t="shared" si="8"/>
        <v>0</v>
      </c>
      <c r="L81" s="126" t="e">
        <f t="shared" si="9"/>
        <v>#VALUE!</v>
      </c>
      <c r="M81" s="127" t="s">
        <v>20</v>
      </c>
      <c r="N81" s="89"/>
      <c r="O81" s="35"/>
      <c r="P81" s="37" t="str">
        <f t="shared" si="11"/>
        <v/>
      </c>
      <c r="Q81" s="35"/>
      <c r="R81" s="41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</row>
    <row r="82" spans="1:41" ht="55.2" x14ac:dyDescent="0.25">
      <c r="A82" s="22">
        <f>IF(D82="","",SUBTOTAL(3,$D$82:D82))</f>
        <v>1</v>
      </c>
      <c r="B82" s="29" t="s">
        <v>203</v>
      </c>
      <c r="C82" s="24" t="str">
        <f ca="1">IFERROR(__xludf.DUMMYFUNCTION("IFERROR(VLOOKUP(B82,IMPORTRANGE(""https://docs.google.com/spreadsheets/d/1Hr4i_97qtgRe-bfuRbVkLVmXa34m06T7R6IJCbq42Xg/edit?gid=0#gid=0"",""Information!B5:S200""),4,0),"""")"),"")</f>
        <v/>
      </c>
      <c r="D82" s="90" t="s">
        <v>179</v>
      </c>
      <c r="E82" s="26" t="str">
        <f t="shared" si="2"/>
        <v>080/FS/2025</v>
      </c>
      <c r="F82" s="94"/>
      <c r="G82" s="94"/>
      <c r="H82" s="93" t="s">
        <v>429</v>
      </c>
      <c r="I82" s="124">
        <v>30000000</v>
      </c>
      <c r="J82" s="125">
        <v>0.08</v>
      </c>
      <c r="K82" s="124">
        <f t="shared" si="8"/>
        <v>2400000</v>
      </c>
      <c r="L82" s="126" t="e">
        <f t="shared" si="9"/>
        <v>#VALUE!</v>
      </c>
      <c r="M82" s="127" t="s">
        <v>20</v>
      </c>
      <c r="N82" s="89"/>
      <c r="O82" s="35"/>
      <c r="P82" s="37" t="str">
        <f t="shared" si="11"/>
        <v/>
      </c>
      <c r="Q82" s="35"/>
      <c r="R82" s="41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</row>
    <row r="83" spans="1:41" ht="27.6" x14ac:dyDescent="0.25">
      <c r="A83" s="22">
        <f t="shared" ref="A83:A134" si="12">IF(D83="","",SUBTOTAL(3,$D$4:D83))</f>
        <v>80</v>
      </c>
      <c r="B83" s="29" t="s">
        <v>356</v>
      </c>
      <c r="C83" s="24" t="str">
        <f ca="1">IFERROR(__xludf.DUMMYFUNCTION("IFERROR(VLOOKUP(B83,IMPORTRANGE(""https://docs.google.com/spreadsheets/d/1Hr4i_97qtgRe-bfuRbVkLVmXa34m06T7R6IJCbq42Xg/edit?gid=0#gid=0"",""Information!B5:S200""),4,0),"""")"),"")</f>
        <v/>
      </c>
      <c r="D83" s="90" t="s">
        <v>180</v>
      </c>
      <c r="E83" s="26" t="str">
        <f t="shared" si="2"/>
        <v>081/FS/2025</v>
      </c>
      <c r="F83" s="94"/>
      <c r="G83" s="94"/>
      <c r="H83" s="93" t="s">
        <v>423</v>
      </c>
      <c r="I83" s="126"/>
      <c r="J83" s="125">
        <v>0.08</v>
      </c>
      <c r="K83" s="124">
        <f t="shared" si="8"/>
        <v>0</v>
      </c>
      <c r="L83" s="126">
        <f t="shared" si="9"/>
        <v>0</v>
      </c>
      <c r="M83" s="127" t="s">
        <v>20</v>
      </c>
      <c r="N83" s="89"/>
      <c r="O83" s="35"/>
      <c r="P83" s="37"/>
      <c r="Q83" s="35"/>
      <c r="R83" s="41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</row>
    <row r="84" spans="1:41" ht="41.4" x14ac:dyDescent="0.25">
      <c r="A84" s="22">
        <f t="shared" si="12"/>
        <v>81</v>
      </c>
      <c r="B84" s="29" t="s">
        <v>44</v>
      </c>
      <c r="C84" s="24" t="str">
        <f ca="1">IFERROR(__xludf.DUMMYFUNCTION("IFERROR(VLOOKUP(B84,IMPORTRANGE(""https://docs.google.com/spreadsheets/d/1Hr4i_97qtgRe-bfuRbVkLVmXa34m06T7R6IJCbq42Xg/edit?gid=0#gid=0"",""Information!B5:S200""),4,0),"""")"),"")</f>
        <v/>
      </c>
      <c r="D84" s="90" t="s">
        <v>183</v>
      </c>
      <c r="E84" s="26" t="str">
        <f t="shared" si="2"/>
        <v>082/FS/2025</v>
      </c>
      <c r="F84" s="94"/>
      <c r="G84" s="94"/>
      <c r="H84" s="93" t="s">
        <v>430</v>
      </c>
      <c r="I84" s="126"/>
      <c r="J84" s="125">
        <v>0.08</v>
      </c>
      <c r="K84" s="124">
        <f t="shared" si="8"/>
        <v>0</v>
      </c>
      <c r="L84" s="126">
        <f t="shared" si="9"/>
        <v>0</v>
      </c>
      <c r="M84" s="127" t="s">
        <v>20</v>
      </c>
      <c r="N84" s="89"/>
      <c r="O84" s="35"/>
      <c r="P84" s="37"/>
      <c r="Q84" s="35"/>
      <c r="R84" s="41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</row>
    <row r="85" spans="1:41" ht="27.6" x14ac:dyDescent="0.25">
      <c r="A85" s="22">
        <f t="shared" si="12"/>
        <v>82</v>
      </c>
      <c r="B85" s="29" t="s">
        <v>46</v>
      </c>
      <c r="C85" s="24" t="str">
        <f ca="1">IFERROR(__xludf.DUMMYFUNCTION("IFERROR(VLOOKUP(B85,IMPORTRANGE(""https://docs.google.com/spreadsheets/d/1Hr4i_97qtgRe-bfuRbVkLVmXa34m06T7R6IJCbq42Xg/edit?gid=0#gid=0"",""Information!B5:S200""),4,0),"""")"),"")</f>
        <v/>
      </c>
      <c r="D85" s="90" t="s">
        <v>185</v>
      </c>
      <c r="E85" s="26" t="str">
        <f t="shared" si="2"/>
        <v>083/FS/2025</v>
      </c>
      <c r="F85" s="94"/>
      <c r="G85" s="31">
        <v>45908</v>
      </c>
      <c r="H85" s="93" t="s">
        <v>423</v>
      </c>
      <c r="I85" s="124">
        <v>1000000</v>
      </c>
      <c r="J85" s="125">
        <v>0.08</v>
      </c>
      <c r="K85" s="124">
        <f t="shared" si="8"/>
        <v>80000</v>
      </c>
      <c r="L85" s="126">
        <f t="shared" si="9"/>
        <v>1080000</v>
      </c>
      <c r="M85" s="127" t="s">
        <v>20</v>
      </c>
      <c r="N85" s="89"/>
      <c r="O85" s="35"/>
      <c r="P85" s="37"/>
      <c r="Q85" s="35"/>
      <c r="R85" s="41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</row>
    <row r="86" spans="1:41" ht="27.6" x14ac:dyDescent="0.25">
      <c r="A86" s="22">
        <f t="shared" si="12"/>
        <v>83</v>
      </c>
      <c r="B86" s="29" t="s">
        <v>48</v>
      </c>
      <c r="C86" s="24" t="str">
        <f ca="1">IFERROR(__xludf.DUMMYFUNCTION("IFERROR(VLOOKUP(B86,IMPORTRANGE(""https://docs.google.com/spreadsheets/d/1Hr4i_97qtgRe-bfuRbVkLVmXa34m06T7R6IJCbq42Xg/edit?gid=0#gid=0"",""Information!B5:S200""),4,0),"""")"),"")</f>
        <v/>
      </c>
      <c r="D86" s="90" t="s">
        <v>186</v>
      </c>
      <c r="E86" s="26" t="str">
        <f t="shared" si="2"/>
        <v>084/FS/2025</v>
      </c>
      <c r="F86" s="94"/>
      <c r="G86" s="94"/>
      <c r="H86" s="93" t="s">
        <v>423</v>
      </c>
      <c r="I86" s="126"/>
      <c r="J86" s="125">
        <v>0.08</v>
      </c>
      <c r="K86" s="124">
        <f t="shared" si="8"/>
        <v>0</v>
      </c>
      <c r="L86" s="126">
        <f t="shared" si="9"/>
        <v>0</v>
      </c>
      <c r="M86" s="127" t="s">
        <v>20</v>
      </c>
      <c r="N86" s="89"/>
      <c r="O86" s="35"/>
      <c r="P86" s="37"/>
      <c r="Q86" s="35"/>
      <c r="R86" s="41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</row>
    <row r="87" spans="1:41" ht="27.6" x14ac:dyDescent="0.25">
      <c r="A87" s="22">
        <f t="shared" si="12"/>
        <v>84</v>
      </c>
      <c r="B87" s="29" t="s">
        <v>50</v>
      </c>
      <c r="C87" s="24" t="str">
        <f ca="1">IFERROR(__xludf.DUMMYFUNCTION("IFERROR(VLOOKUP(B87,IMPORTRANGE(""https://docs.google.com/spreadsheets/d/1Hr4i_97qtgRe-bfuRbVkLVmXa34m06T7R6IJCbq42Xg/edit?gid=0#gid=0"",""Information!B5:S200""),4,0),"""")"),"")</f>
        <v/>
      </c>
      <c r="D87" s="90" t="s">
        <v>187</v>
      </c>
      <c r="E87" s="26" t="str">
        <f t="shared" si="2"/>
        <v>085/FS/2025</v>
      </c>
      <c r="F87" s="94"/>
      <c r="G87" s="94"/>
      <c r="H87" s="93" t="s">
        <v>423</v>
      </c>
      <c r="I87" s="126"/>
      <c r="J87" s="125">
        <v>0.08</v>
      </c>
      <c r="K87" s="124">
        <f t="shared" si="8"/>
        <v>0</v>
      </c>
      <c r="L87" s="126">
        <f t="shared" si="9"/>
        <v>0</v>
      </c>
      <c r="M87" s="127" t="s">
        <v>20</v>
      </c>
      <c r="N87" s="89"/>
      <c r="O87" s="35"/>
      <c r="P87" s="37"/>
      <c r="Q87" s="35"/>
      <c r="R87" s="41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spans="1:41" ht="27.6" x14ac:dyDescent="0.25">
      <c r="A88" s="22">
        <f t="shared" si="12"/>
        <v>85</v>
      </c>
      <c r="B88" s="29" t="s">
        <v>52</v>
      </c>
      <c r="C88" s="24" t="str">
        <f ca="1">IFERROR(__xludf.DUMMYFUNCTION("IFERROR(VLOOKUP(B88,IMPORTRANGE(""https://docs.google.com/spreadsheets/d/1Hr4i_97qtgRe-bfuRbVkLVmXa34m06T7R6IJCbq42Xg/edit?gid=0#gid=0"",""Information!B5:S200""),4,0),"""")"),"")</f>
        <v/>
      </c>
      <c r="D88" s="90" t="s">
        <v>189</v>
      </c>
      <c r="E88" s="26" t="str">
        <f t="shared" si="2"/>
        <v>086/FS/2025</v>
      </c>
      <c r="F88" s="94"/>
      <c r="G88" s="31">
        <v>45910</v>
      </c>
      <c r="H88" s="93" t="s">
        <v>423</v>
      </c>
      <c r="I88" s="124">
        <v>5000000</v>
      </c>
      <c r="J88" s="125">
        <v>0.08</v>
      </c>
      <c r="K88" s="124">
        <f t="shared" si="8"/>
        <v>400000</v>
      </c>
      <c r="L88" s="126">
        <f t="shared" si="9"/>
        <v>5400000</v>
      </c>
      <c r="M88" s="127" t="s">
        <v>20</v>
      </c>
      <c r="N88" s="89"/>
      <c r="O88" s="35"/>
      <c r="P88" s="37"/>
      <c r="Q88" s="35"/>
      <c r="R88" s="41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</row>
    <row r="89" spans="1:41" ht="55.2" x14ac:dyDescent="0.25">
      <c r="A89" s="22">
        <f t="shared" si="12"/>
        <v>86</v>
      </c>
      <c r="B89" s="29" t="s">
        <v>54</v>
      </c>
      <c r="C89" s="24" t="str">
        <f ca="1">IFERROR(__xludf.DUMMYFUNCTION("IFERROR(VLOOKUP(B89,IMPORTRANGE(""https://docs.google.com/spreadsheets/d/1Hr4i_97qtgRe-bfuRbVkLVmXa34m06T7R6IJCbq42Xg/edit?gid=0#gid=0"",""Information!B5:S200""),4,0),"""")"),"")</f>
        <v/>
      </c>
      <c r="D89" s="90" t="s">
        <v>192</v>
      </c>
      <c r="E89" s="26" t="str">
        <f t="shared" si="2"/>
        <v>087/FS/2025</v>
      </c>
      <c r="F89" s="94"/>
      <c r="G89" s="29" t="s">
        <v>431</v>
      </c>
      <c r="H89" s="93" t="s">
        <v>432</v>
      </c>
      <c r="I89" s="124">
        <v>6000000</v>
      </c>
      <c r="J89" s="125">
        <v>0.08</v>
      </c>
      <c r="K89" s="124">
        <f t="shared" si="8"/>
        <v>480000</v>
      </c>
      <c r="L89" s="126">
        <f t="shared" si="9"/>
        <v>6480000</v>
      </c>
      <c r="M89" s="127" t="s">
        <v>20</v>
      </c>
      <c r="N89" s="89"/>
      <c r="O89" s="35"/>
      <c r="P89" s="37"/>
      <c r="Q89" s="35"/>
      <c r="R89" s="41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</row>
    <row r="90" spans="1:41" ht="13.8" x14ac:dyDescent="0.25">
      <c r="A90" s="22">
        <f t="shared" si="12"/>
        <v>87</v>
      </c>
      <c r="B90" s="29" t="s">
        <v>56</v>
      </c>
      <c r="C90" s="24" t="str">
        <f ca="1">IFERROR(__xludf.DUMMYFUNCTION("IFERROR(VLOOKUP(B90,IMPORTRANGE(""https://docs.google.com/spreadsheets/d/1Hr4i_97qtgRe-bfuRbVkLVmXa34m06T7R6IJCbq42Xg/edit?gid=0#gid=0"",""Information!B5:S200""),4,0),"""")"),"")</f>
        <v/>
      </c>
      <c r="D90" s="90" t="s">
        <v>194</v>
      </c>
      <c r="E90" s="26" t="str">
        <f t="shared" si="2"/>
        <v>088/FS/2025</v>
      </c>
      <c r="F90" s="94"/>
      <c r="G90" s="94"/>
      <c r="H90" s="93" t="s">
        <v>433</v>
      </c>
      <c r="I90" s="124">
        <v>1000000</v>
      </c>
      <c r="J90" s="125">
        <v>0.08</v>
      </c>
      <c r="K90" s="124">
        <f t="shared" si="8"/>
        <v>80000</v>
      </c>
      <c r="L90" s="126">
        <f t="shared" si="9"/>
        <v>1080000</v>
      </c>
      <c r="M90" s="127" t="s">
        <v>20</v>
      </c>
      <c r="N90" s="89"/>
      <c r="O90" s="35"/>
      <c r="P90" s="37"/>
      <c r="Q90" s="35"/>
      <c r="R90" s="41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</row>
    <row r="91" spans="1:41" ht="82.8" x14ac:dyDescent="0.25">
      <c r="A91" s="22">
        <f t="shared" si="12"/>
        <v>88</v>
      </c>
      <c r="B91" s="29" t="s">
        <v>58</v>
      </c>
      <c r="C91" s="24" t="str">
        <f ca="1">IFERROR(__xludf.DUMMYFUNCTION("IFERROR(VLOOKUP(B91,IMPORTRANGE(""https://docs.google.com/spreadsheets/d/1Hr4i_97qtgRe-bfuRbVkLVmXa34m06T7R6IJCbq42Xg/edit?gid=0#gid=0"",""Information!B5:S200""),4,0),"""")"),"")</f>
        <v/>
      </c>
      <c r="D91" s="90" t="s">
        <v>195</v>
      </c>
      <c r="E91" s="26" t="str">
        <f t="shared" si="2"/>
        <v>089/FS/2025</v>
      </c>
      <c r="F91" s="94"/>
      <c r="G91" s="94"/>
      <c r="H91" s="93" t="s">
        <v>434</v>
      </c>
      <c r="I91" s="124">
        <v>3000000</v>
      </c>
      <c r="J91" s="125">
        <v>0.08</v>
      </c>
      <c r="K91" s="124">
        <f t="shared" si="8"/>
        <v>240000</v>
      </c>
      <c r="L91" s="126">
        <f t="shared" si="9"/>
        <v>3240000</v>
      </c>
      <c r="M91" s="127" t="s">
        <v>20</v>
      </c>
      <c r="N91" s="89"/>
      <c r="O91" s="35"/>
      <c r="P91" s="37"/>
      <c r="Q91" s="35"/>
      <c r="R91" s="41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</row>
    <row r="92" spans="1:41" ht="27.6" x14ac:dyDescent="0.25">
      <c r="A92" s="22">
        <f t="shared" si="12"/>
        <v>89</v>
      </c>
      <c r="B92" s="29" t="s">
        <v>62</v>
      </c>
      <c r="C92" s="24" t="str">
        <f ca="1">IFERROR(__xludf.DUMMYFUNCTION("IFERROR(VLOOKUP(B92,IMPORTRANGE(""https://docs.google.com/spreadsheets/d/1Hr4i_97qtgRe-bfuRbVkLVmXa34m06T7R6IJCbq42Xg/edit?gid=0#gid=0"",""Information!B5:S200""),4,0),"""")"),"")</f>
        <v/>
      </c>
      <c r="D92" s="90" t="s">
        <v>196</v>
      </c>
      <c r="E92" s="26" t="str">
        <f t="shared" si="2"/>
        <v>090/FS/2025</v>
      </c>
      <c r="F92" s="94"/>
      <c r="G92" s="31">
        <v>45909</v>
      </c>
      <c r="H92" s="93" t="s">
        <v>423</v>
      </c>
      <c r="I92" s="124">
        <v>3500000</v>
      </c>
      <c r="J92" s="125">
        <v>0.08</v>
      </c>
      <c r="K92" s="124">
        <f t="shared" si="8"/>
        <v>280000</v>
      </c>
      <c r="L92" s="126">
        <f t="shared" si="9"/>
        <v>3780000</v>
      </c>
      <c r="M92" s="127" t="s">
        <v>20</v>
      </c>
      <c r="N92" s="89"/>
      <c r="O92" s="35"/>
      <c r="P92" s="37"/>
      <c r="Q92" s="35"/>
      <c r="R92" s="41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</row>
    <row r="93" spans="1:41" ht="27.6" x14ac:dyDescent="0.25">
      <c r="A93" s="22">
        <f t="shared" si="12"/>
        <v>90</v>
      </c>
      <c r="B93" s="29" t="s">
        <v>181</v>
      </c>
      <c r="C93" s="24" t="str">
        <f ca="1">IFERROR(__xludf.DUMMYFUNCTION("IFERROR(VLOOKUP(B93,IMPORTRANGE(""https://docs.google.com/spreadsheets/d/1Hr4i_97qtgRe-bfuRbVkLVmXa34m06T7R6IJCbq42Xg/edit?gid=0#gid=0"",""Information!B5:S200""),4,0),"""")"),"")</f>
        <v/>
      </c>
      <c r="D93" s="90" t="s">
        <v>198</v>
      </c>
      <c r="E93" s="26" t="str">
        <f t="shared" si="2"/>
        <v>091/FS/2025</v>
      </c>
      <c r="F93" s="94"/>
      <c r="G93" s="94"/>
      <c r="H93" s="93" t="s">
        <v>423</v>
      </c>
      <c r="I93" s="126"/>
      <c r="J93" s="125">
        <v>0.08</v>
      </c>
      <c r="K93" s="124">
        <f t="shared" si="8"/>
        <v>0</v>
      </c>
      <c r="L93" s="126">
        <f t="shared" si="9"/>
        <v>0</v>
      </c>
      <c r="M93" s="127" t="s">
        <v>20</v>
      </c>
      <c r="N93" s="89"/>
      <c r="O93" s="35"/>
      <c r="P93" s="37"/>
      <c r="Q93" s="35"/>
      <c r="R93" s="41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</row>
    <row r="94" spans="1:41" ht="27.6" x14ac:dyDescent="0.25">
      <c r="A94" s="22">
        <f t="shared" si="12"/>
        <v>91</v>
      </c>
      <c r="B94" s="29" t="s">
        <v>64</v>
      </c>
      <c r="C94" s="24" t="str">
        <f ca="1">IFERROR(__xludf.DUMMYFUNCTION("IFERROR(VLOOKUP(B94,IMPORTRANGE(""https://docs.google.com/spreadsheets/d/1Hr4i_97qtgRe-bfuRbVkLVmXa34m06T7R6IJCbq42Xg/edit?gid=0#gid=0"",""Information!B5:S200""),4,0),"""")"),"")</f>
        <v/>
      </c>
      <c r="D94" s="90" t="s">
        <v>199</v>
      </c>
      <c r="E94" s="26" t="str">
        <f t="shared" si="2"/>
        <v>092/FS/2025</v>
      </c>
      <c r="F94" s="94"/>
      <c r="G94" s="31">
        <v>45911</v>
      </c>
      <c r="H94" s="93" t="s">
        <v>423</v>
      </c>
      <c r="I94" s="124">
        <v>4500000</v>
      </c>
      <c r="J94" s="125">
        <v>0.08</v>
      </c>
      <c r="K94" s="124">
        <f t="shared" si="8"/>
        <v>360000</v>
      </c>
      <c r="L94" s="126">
        <f t="shared" si="9"/>
        <v>4860000</v>
      </c>
      <c r="M94" s="127" t="s">
        <v>20</v>
      </c>
      <c r="N94" s="89"/>
      <c r="O94" s="35"/>
      <c r="P94" s="37"/>
      <c r="Q94" s="35"/>
      <c r="R94" s="41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</row>
    <row r="95" spans="1:41" ht="69" x14ac:dyDescent="0.25">
      <c r="A95" s="22">
        <f t="shared" si="12"/>
        <v>92</v>
      </c>
      <c r="B95" s="29" t="s">
        <v>66</v>
      </c>
      <c r="C95" s="24" t="str">
        <f ca="1">IFERROR(__xludf.DUMMYFUNCTION("IFERROR(VLOOKUP(B95,IMPORTRANGE(""https://docs.google.com/spreadsheets/d/1Hr4i_97qtgRe-bfuRbVkLVmXa34m06T7R6IJCbq42Xg/edit?gid=0#gid=0"",""Information!B5:S200""),4,0),"""")"),"")</f>
        <v/>
      </c>
      <c r="D95" s="90" t="s">
        <v>201</v>
      </c>
      <c r="E95" s="26" t="str">
        <f t="shared" si="2"/>
        <v>093/FS/2025</v>
      </c>
      <c r="F95" s="94"/>
      <c r="G95" s="31">
        <v>45912</v>
      </c>
      <c r="H95" s="93" t="s">
        <v>435</v>
      </c>
      <c r="I95" s="124">
        <v>3000000</v>
      </c>
      <c r="J95" s="125">
        <v>0.08</v>
      </c>
      <c r="K95" s="124">
        <f t="shared" si="8"/>
        <v>240000</v>
      </c>
      <c r="L95" s="126">
        <f t="shared" si="9"/>
        <v>3240000</v>
      </c>
      <c r="M95" s="127" t="s">
        <v>20</v>
      </c>
      <c r="N95" s="89"/>
      <c r="O95" s="35"/>
      <c r="P95" s="37"/>
      <c r="Q95" s="35"/>
      <c r="R95" s="41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</row>
    <row r="96" spans="1:41" ht="41.4" x14ac:dyDescent="0.25">
      <c r="A96" s="22">
        <f t="shared" si="12"/>
        <v>93</v>
      </c>
      <c r="B96" s="29" t="s">
        <v>68</v>
      </c>
      <c r="C96" s="24" t="str">
        <f ca="1">IFERROR(__xludf.DUMMYFUNCTION("IFERROR(VLOOKUP(B96,IMPORTRANGE(""https://docs.google.com/spreadsheets/d/1Hr4i_97qtgRe-bfuRbVkLVmXa34m06T7R6IJCbq42Xg/edit?gid=0#gid=0"",""Information!B5:S200""),4,0),"""")"),"")</f>
        <v/>
      </c>
      <c r="D96" s="90" t="s">
        <v>202</v>
      </c>
      <c r="E96" s="26" t="str">
        <f t="shared" si="2"/>
        <v>094/FS/2025</v>
      </c>
      <c r="F96" s="94"/>
      <c r="G96" s="31">
        <v>45911</v>
      </c>
      <c r="H96" s="93" t="s">
        <v>436</v>
      </c>
      <c r="I96" s="124">
        <v>8000000</v>
      </c>
      <c r="J96" s="125">
        <v>0.08</v>
      </c>
      <c r="K96" s="124">
        <f t="shared" si="8"/>
        <v>640000</v>
      </c>
      <c r="L96" s="126">
        <f t="shared" si="9"/>
        <v>8640000</v>
      </c>
      <c r="M96" s="127" t="s">
        <v>20</v>
      </c>
      <c r="N96" s="89"/>
      <c r="O96" s="35"/>
      <c r="P96" s="37"/>
      <c r="Q96" s="35"/>
      <c r="R96" s="41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</row>
    <row r="97" spans="1:41" ht="27.6" x14ac:dyDescent="0.25">
      <c r="A97" s="22">
        <f t="shared" si="12"/>
        <v>94</v>
      </c>
      <c r="B97" s="29" t="s">
        <v>72</v>
      </c>
      <c r="C97" s="24" t="str">
        <f ca="1">IFERROR(__xludf.DUMMYFUNCTION("IFERROR(VLOOKUP(B97,IMPORTRANGE(""https://docs.google.com/spreadsheets/d/1Hr4i_97qtgRe-bfuRbVkLVmXa34m06T7R6IJCbq42Xg/edit?gid=0#gid=0"",""Information!B5:S200""),4,0),"""")"),"")</f>
        <v/>
      </c>
      <c r="D97" s="90" t="s">
        <v>204</v>
      </c>
      <c r="E97" s="26" t="str">
        <f t="shared" si="2"/>
        <v>095/FS/2025</v>
      </c>
      <c r="F97" s="94"/>
      <c r="G97" s="31">
        <v>45911</v>
      </c>
      <c r="H97" s="93" t="s">
        <v>423</v>
      </c>
      <c r="I97" s="124">
        <v>3000000</v>
      </c>
      <c r="J97" s="125">
        <v>0</v>
      </c>
      <c r="K97" s="124">
        <f t="shared" si="8"/>
        <v>0</v>
      </c>
      <c r="L97" s="126">
        <f t="shared" si="9"/>
        <v>3000000</v>
      </c>
      <c r="M97" s="127" t="s">
        <v>20</v>
      </c>
      <c r="N97" s="89"/>
      <c r="O97" s="35"/>
      <c r="P97" s="37"/>
      <c r="Q97" s="35"/>
      <c r="R97" s="41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</row>
    <row r="98" spans="1:41" ht="27.6" x14ac:dyDescent="0.25">
      <c r="A98" s="22">
        <f t="shared" si="12"/>
        <v>95</v>
      </c>
      <c r="B98" s="29" t="s">
        <v>170</v>
      </c>
      <c r="C98" s="24" t="str">
        <f ca="1">IFERROR(__xludf.DUMMYFUNCTION("IFERROR(VLOOKUP(B98,IMPORTRANGE(""https://docs.google.com/spreadsheets/d/1Hr4i_97qtgRe-bfuRbVkLVmXa34m06T7R6IJCbq42Xg/edit?gid=0#gid=0"",""Information!B5:S200""),4,0),"""")"),"")</f>
        <v/>
      </c>
      <c r="D98" s="90" t="s">
        <v>206</v>
      </c>
      <c r="E98" s="26" t="str">
        <f t="shared" si="2"/>
        <v>096/FS/2025</v>
      </c>
      <c r="F98" s="94"/>
      <c r="G98" s="94"/>
      <c r="H98" s="93" t="s">
        <v>423</v>
      </c>
      <c r="I98" s="124">
        <v>3000000</v>
      </c>
      <c r="J98" s="125">
        <v>0.08</v>
      </c>
      <c r="K98" s="124">
        <f t="shared" si="8"/>
        <v>240000</v>
      </c>
      <c r="L98" s="126">
        <f t="shared" si="9"/>
        <v>3240000</v>
      </c>
      <c r="M98" s="127" t="s">
        <v>20</v>
      </c>
      <c r="N98" s="89"/>
      <c r="O98" s="35"/>
      <c r="P98" s="37"/>
      <c r="Q98" s="35"/>
      <c r="R98" s="41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</row>
    <row r="99" spans="1:41" ht="27.6" x14ac:dyDescent="0.25">
      <c r="A99" s="22">
        <f t="shared" si="12"/>
        <v>96</v>
      </c>
      <c r="B99" s="29" t="s">
        <v>74</v>
      </c>
      <c r="C99" s="24" t="str">
        <f ca="1">IFERROR(__xludf.DUMMYFUNCTION("IFERROR(VLOOKUP(B99,IMPORTRANGE(""https://docs.google.com/spreadsheets/d/1Hr4i_97qtgRe-bfuRbVkLVmXa34m06T7R6IJCbq42Xg/edit?gid=0#gid=0"",""Information!B5:S200""),4,0),"""")"),"")</f>
        <v/>
      </c>
      <c r="D99" s="90" t="s">
        <v>209</v>
      </c>
      <c r="E99" s="26" t="str">
        <f t="shared" si="2"/>
        <v>097/FS/2025</v>
      </c>
      <c r="F99" s="94"/>
      <c r="G99" s="94"/>
      <c r="H99" s="93" t="s">
        <v>423</v>
      </c>
      <c r="I99" s="126"/>
      <c r="J99" s="125">
        <v>0.08</v>
      </c>
      <c r="K99" s="124">
        <f t="shared" si="8"/>
        <v>0</v>
      </c>
      <c r="L99" s="126">
        <f t="shared" si="9"/>
        <v>0</v>
      </c>
      <c r="M99" s="127" t="s">
        <v>20</v>
      </c>
      <c r="N99" s="89"/>
      <c r="O99" s="35"/>
      <c r="P99" s="37"/>
      <c r="Q99" s="35"/>
      <c r="R99" s="41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</row>
    <row r="100" spans="1:41" ht="27.6" x14ac:dyDescent="0.25">
      <c r="A100" s="22">
        <f t="shared" si="12"/>
        <v>97</v>
      </c>
      <c r="B100" s="29" t="s">
        <v>76</v>
      </c>
      <c r="C100" s="24" t="str">
        <f ca="1">IFERROR(__xludf.DUMMYFUNCTION("IFERROR(VLOOKUP(B100,IMPORTRANGE(""https://docs.google.com/spreadsheets/d/1Hr4i_97qtgRe-bfuRbVkLVmXa34m06T7R6IJCbq42Xg/edit?gid=0#gid=0"",""Information!B5:S200""),4,0),"""")"),"")</f>
        <v/>
      </c>
      <c r="D100" s="90" t="s">
        <v>211</v>
      </c>
      <c r="E100" s="26" t="str">
        <f t="shared" si="2"/>
        <v>098/FS/2025</v>
      </c>
      <c r="F100" s="94"/>
      <c r="G100" s="94"/>
      <c r="H100" s="93" t="s">
        <v>423</v>
      </c>
      <c r="I100" s="126"/>
      <c r="J100" s="125">
        <v>0.08</v>
      </c>
      <c r="K100" s="124">
        <f t="shared" si="8"/>
        <v>0</v>
      </c>
      <c r="L100" s="126">
        <f t="shared" si="9"/>
        <v>0</v>
      </c>
      <c r="M100" s="127" t="s">
        <v>20</v>
      </c>
      <c r="N100" s="89"/>
      <c r="O100" s="35"/>
      <c r="P100" s="37"/>
      <c r="Q100" s="35"/>
      <c r="R100" s="41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</row>
    <row r="101" spans="1:41" ht="55.2" x14ac:dyDescent="0.25">
      <c r="A101" s="22">
        <f t="shared" si="12"/>
        <v>98</v>
      </c>
      <c r="B101" s="29" t="s">
        <v>78</v>
      </c>
      <c r="C101" s="24" t="str">
        <f ca="1">IFERROR(__xludf.DUMMYFUNCTION("IFERROR(VLOOKUP(B101,IMPORTRANGE(""https://docs.google.com/spreadsheets/d/1Hr4i_97qtgRe-bfuRbVkLVmXa34m06T7R6IJCbq42Xg/edit?gid=0#gid=0"",""Information!B5:S200""),4,0),"""")"),"")</f>
        <v/>
      </c>
      <c r="D101" s="90" t="s">
        <v>213</v>
      </c>
      <c r="E101" s="26" t="str">
        <f t="shared" si="2"/>
        <v>099/FS/2025</v>
      </c>
      <c r="F101" s="94"/>
      <c r="G101" s="94"/>
      <c r="H101" s="93" t="s">
        <v>437</v>
      </c>
      <c r="I101" s="124">
        <v>8000000</v>
      </c>
      <c r="J101" s="125">
        <v>0.08</v>
      </c>
      <c r="K101" s="124">
        <f t="shared" si="8"/>
        <v>640000</v>
      </c>
      <c r="L101" s="126">
        <f t="shared" si="9"/>
        <v>8640000</v>
      </c>
      <c r="M101" s="127" t="s">
        <v>20</v>
      </c>
      <c r="N101" s="89"/>
      <c r="O101" s="35"/>
      <c r="P101" s="37"/>
      <c r="Q101" s="35"/>
      <c r="R101" s="41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</row>
    <row r="102" spans="1:41" ht="41.4" x14ac:dyDescent="0.25">
      <c r="A102" s="22">
        <f t="shared" si="12"/>
        <v>99</v>
      </c>
      <c r="B102" s="29" t="s">
        <v>80</v>
      </c>
      <c r="C102" s="24" t="str">
        <f ca="1">IFERROR(__xludf.DUMMYFUNCTION("IFERROR(VLOOKUP(B102,IMPORTRANGE(""https://docs.google.com/spreadsheets/d/1Hr4i_97qtgRe-bfuRbVkLVmXa34m06T7R6IJCbq42Xg/edit?gid=0#gid=0"",""Information!B5:S200""),4,0),"""")"),"")</f>
        <v/>
      </c>
      <c r="D102" s="90" t="s">
        <v>215</v>
      </c>
      <c r="E102" s="26" t="str">
        <f t="shared" si="2"/>
        <v>100/FS/2025</v>
      </c>
      <c r="F102" s="94"/>
      <c r="G102" s="31">
        <v>45912</v>
      </c>
      <c r="H102" s="93" t="s">
        <v>438</v>
      </c>
      <c r="I102" s="124">
        <v>15000000</v>
      </c>
      <c r="J102" s="125">
        <v>0.08</v>
      </c>
      <c r="K102" s="124">
        <f t="shared" si="8"/>
        <v>1200000</v>
      </c>
      <c r="L102" s="126">
        <f t="shared" si="9"/>
        <v>16200000</v>
      </c>
      <c r="M102" s="127" t="s">
        <v>20</v>
      </c>
      <c r="N102" s="89"/>
      <c r="O102" s="35"/>
      <c r="P102" s="37"/>
      <c r="Q102" s="35"/>
      <c r="R102" s="41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spans="1:41" ht="41.4" x14ac:dyDescent="0.25">
      <c r="A103" s="22">
        <f t="shared" si="12"/>
        <v>100</v>
      </c>
      <c r="B103" s="29" t="s">
        <v>86</v>
      </c>
      <c r="C103" s="24" t="str">
        <f ca="1">IFERROR(__xludf.DUMMYFUNCTION("IFERROR(VLOOKUP(B103,IMPORTRANGE(""https://docs.google.com/spreadsheets/d/1Hr4i_97qtgRe-bfuRbVkLVmXa34m06T7R6IJCbq42Xg/edit?gid=0#gid=0"",""Information!B5:S200""),4,0),"""")"),"")</f>
        <v/>
      </c>
      <c r="D103" s="90" t="s">
        <v>216</v>
      </c>
      <c r="E103" s="26" t="str">
        <f t="shared" si="2"/>
        <v>101/FS/2025</v>
      </c>
      <c r="F103" s="94"/>
      <c r="G103" s="94"/>
      <c r="H103" s="93" t="s">
        <v>439</v>
      </c>
      <c r="I103" s="124">
        <v>9500000</v>
      </c>
      <c r="J103" s="125">
        <v>0.08</v>
      </c>
      <c r="K103" s="124">
        <f t="shared" si="8"/>
        <v>760000</v>
      </c>
      <c r="L103" s="126">
        <f t="shared" si="9"/>
        <v>10260000</v>
      </c>
      <c r="M103" s="127" t="s">
        <v>20</v>
      </c>
      <c r="N103" s="89"/>
      <c r="O103" s="35"/>
      <c r="P103" s="37"/>
      <c r="Q103" s="35"/>
      <c r="R103" s="41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</row>
    <row r="104" spans="1:41" ht="55.2" x14ac:dyDescent="0.25">
      <c r="A104" s="22">
        <f t="shared" si="12"/>
        <v>101</v>
      </c>
      <c r="B104" s="29" t="s">
        <v>88</v>
      </c>
      <c r="C104" s="24" t="str">
        <f ca="1">IFERROR(__xludf.DUMMYFUNCTION("IFERROR(VLOOKUP(B104,IMPORTRANGE(""https://docs.google.com/spreadsheets/d/1Hr4i_97qtgRe-bfuRbVkLVmXa34m06T7R6IJCbq42Xg/edit?gid=0#gid=0"",""Information!B5:S200""),4,0),"""")"),"")</f>
        <v/>
      </c>
      <c r="D104" s="90" t="s">
        <v>313</v>
      </c>
      <c r="E104" s="26" t="str">
        <f t="shared" si="2"/>
        <v>102/FS/2025</v>
      </c>
      <c r="F104" s="94"/>
      <c r="G104" s="31">
        <v>45943</v>
      </c>
      <c r="H104" s="93" t="s">
        <v>437</v>
      </c>
      <c r="I104" s="124">
        <v>2000000</v>
      </c>
      <c r="J104" s="125">
        <v>0.08</v>
      </c>
      <c r="K104" s="124">
        <f t="shared" si="8"/>
        <v>160000</v>
      </c>
      <c r="L104" s="126">
        <f t="shared" si="9"/>
        <v>2160000</v>
      </c>
      <c r="M104" s="127" t="s">
        <v>20</v>
      </c>
      <c r="N104" s="89"/>
      <c r="O104" s="35"/>
      <c r="P104" s="37"/>
      <c r="Q104" s="35"/>
      <c r="R104" s="41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</row>
    <row r="105" spans="1:41" ht="27.6" x14ac:dyDescent="0.25">
      <c r="A105" s="22">
        <f t="shared" si="12"/>
        <v>102</v>
      </c>
      <c r="B105" s="129" t="s">
        <v>90</v>
      </c>
      <c r="C105" s="24" t="str">
        <f ca="1">IFERROR(__xludf.DUMMYFUNCTION("IFERROR(VLOOKUP(B105,IMPORTRANGE(""https://docs.google.com/spreadsheets/d/1Hr4i_97qtgRe-bfuRbVkLVmXa34m06T7R6IJCbq42Xg/edit?gid=0#gid=0"",""Information!B5:S200""),4,0),"""")"),"")</f>
        <v/>
      </c>
      <c r="D105" s="90" t="s">
        <v>314</v>
      </c>
      <c r="E105" s="26" t="str">
        <f t="shared" si="2"/>
        <v>103/FS/2025</v>
      </c>
      <c r="F105" s="116"/>
      <c r="G105" s="31">
        <v>45915</v>
      </c>
      <c r="H105" s="128" t="s">
        <v>423</v>
      </c>
      <c r="I105" s="124">
        <v>3000000</v>
      </c>
      <c r="J105" s="125">
        <v>0.08</v>
      </c>
      <c r="K105" s="124">
        <f t="shared" si="8"/>
        <v>240000</v>
      </c>
      <c r="L105" s="126">
        <f t="shared" si="9"/>
        <v>3240000</v>
      </c>
      <c r="M105" s="127" t="s">
        <v>20</v>
      </c>
      <c r="N105" s="118"/>
      <c r="O105" s="55"/>
      <c r="P105" s="53"/>
      <c r="Q105" s="55"/>
      <c r="R105" s="49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</row>
    <row r="106" spans="1:41" ht="55.2" x14ac:dyDescent="0.25">
      <c r="A106" s="22">
        <f t="shared" si="12"/>
        <v>103</v>
      </c>
      <c r="B106" s="129" t="s">
        <v>92</v>
      </c>
      <c r="C106" s="24" t="str">
        <f ca="1">IFERROR(__xludf.DUMMYFUNCTION("IFERROR(VLOOKUP(B106,IMPORTRANGE(""https://docs.google.com/spreadsheets/d/1Hr4i_97qtgRe-bfuRbVkLVmXa34m06T7R6IJCbq42Xg/edit?gid=0#gid=0"",""Information!B5:S200""),4,0),"""")"),"")</f>
        <v/>
      </c>
      <c r="D106" s="90" t="s">
        <v>315</v>
      </c>
      <c r="E106" s="26" t="str">
        <f t="shared" si="2"/>
        <v>104/FS/2025</v>
      </c>
      <c r="F106" s="116"/>
      <c r="G106" s="31">
        <v>45985</v>
      </c>
      <c r="H106" s="128" t="s">
        <v>440</v>
      </c>
      <c r="I106" s="124">
        <v>5000000</v>
      </c>
      <c r="J106" s="125">
        <v>0.08</v>
      </c>
      <c r="K106" s="124">
        <f t="shared" si="8"/>
        <v>400000</v>
      </c>
      <c r="L106" s="126">
        <f t="shared" si="9"/>
        <v>5400000</v>
      </c>
      <c r="M106" s="127" t="s">
        <v>20</v>
      </c>
      <c r="N106" s="118"/>
      <c r="O106" s="55"/>
      <c r="P106" s="53"/>
      <c r="Q106" s="55"/>
      <c r="R106" s="49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</row>
    <row r="107" spans="1:41" ht="55.2" x14ac:dyDescent="0.25">
      <c r="A107" s="22">
        <f t="shared" si="12"/>
        <v>104</v>
      </c>
      <c r="B107" s="129" t="s">
        <v>94</v>
      </c>
      <c r="C107" s="24" t="str">
        <f ca="1">IFERROR(__xludf.DUMMYFUNCTION("IFERROR(VLOOKUP(B107,IMPORTRANGE(""https://docs.google.com/spreadsheets/d/1Hr4i_97qtgRe-bfuRbVkLVmXa34m06T7R6IJCbq42Xg/edit?gid=0#gid=0"",""Information!B5:S200""),4,0),"""")"),"")</f>
        <v/>
      </c>
      <c r="D107" s="90" t="s">
        <v>316</v>
      </c>
      <c r="E107" s="26" t="str">
        <f t="shared" si="2"/>
        <v>105/FS/2025</v>
      </c>
      <c r="F107" s="116"/>
      <c r="G107" s="131">
        <v>45909</v>
      </c>
      <c r="H107" s="128" t="s">
        <v>420</v>
      </c>
      <c r="I107" s="124">
        <v>3000000</v>
      </c>
      <c r="J107" s="125">
        <v>0.08</v>
      </c>
      <c r="K107" s="124">
        <f t="shared" si="8"/>
        <v>240000</v>
      </c>
      <c r="L107" s="126">
        <f t="shared" si="9"/>
        <v>3240000</v>
      </c>
      <c r="M107" s="127" t="s">
        <v>20</v>
      </c>
      <c r="N107" s="118"/>
      <c r="O107" s="55"/>
      <c r="P107" s="53"/>
      <c r="Q107" s="55"/>
      <c r="R107" s="49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</row>
    <row r="108" spans="1:41" ht="41.4" x14ac:dyDescent="0.25">
      <c r="A108" s="22">
        <f t="shared" si="12"/>
        <v>105</v>
      </c>
      <c r="B108" s="129" t="s">
        <v>98</v>
      </c>
      <c r="C108" s="24" t="str">
        <f ca="1">IFERROR(__xludf.DUMMYFUNCTION("IFERROR(VLOOKUP(B108,IMPORTRANGE(""https://docs.google.com/spreadsheets/d/1Hr4i_97qtgRe-bfuRbVkLVmXa34m06T7R6IJCbq42Xg/edit?gid=0#gid=0"",""Information!B5:S200""),4,0),"""")"),"")</f>
        <v/>
      </c>
      <c r="D108" s="90" t="s">
        <v>317</v>
      </c>
      <c r="E108" s="26" t="str">
        <f t="shared" si="2"/>
        <v>106/FS/2025</v>
      </c>
      <c r="F108" s="116"/>
      <c r="G108" s="131">
        <v>45945</v>
      </c>
      <c r="H108" s="128" t="s">
        <v>441</v>
      </c>
      <c r="I108" s="124">
        <v>3000000</v>
      </c>
      <c r="J108" s="125">
        <v>0.08</v>
      </c>
      <c r="K108" s="124">
        <f t="shared" si="8"/>
        <v>240000</v>
      </c>
      <c r="L108" s="126">
        <f t="shared" si="9"/>
        <v>3240000</v>
      </c>
      <c r="M108" s="127" t="s">
        <v>20</v>
      </c>
      <c r="N108" s="118"/>
      <c r="O108" s="55"/>
      <c r="P108" s="53"/>
      <c r="Q108" s="55"/>
      <c r="R108" s="49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</row>
    <row r="109" spans="1:41" ht="55.2" x14ac:dyDescent="0.25">
      <c r="A109" s="22">
        <f t="shared" si="12"/>
        <v>106</v>
      </c>
      <c r="B109" s="129" t="s">
        <v>104</v>
      </c>
      <c r="C109" s="24" t="str">
        <f ca="1">IFERROR(__xludf.DUMMYFUNCTION("IFERROR(VLOOKUP(B109,IMPORTRANGE(""https://docs.google.com/spreadsheets/d/1Hr4i_97qtgRe-bfuRbVkLVmXa34m06T7R6IJCbq42Xg/edit?gid=0#gid=0"",""Information!B5:S200""),4,0),"""")"),"")</f>
        <v/>
      </c>
      <c r="D109" s="90" t="s">
        <v>318</v>
      </c>
      <c r="E109" s="26" t="str">
        <f t="shared" si="2"/>
        <v>107/FS/2025</v>
      </c>
      <c r="F109" s="116"/>
      <c r="G109" s="116"/>
      <c r="H109" s="128" t="s">
        <v>437</v>
      </c>
      <c r="I109" s="124">
        <v>2000000</v>
      </c>
      <c r="J109" s="125">
        <v>0</v>
      </c>
      <c r="K109" s="124">
        <f t="shared" si="8"/>
        <v>0</v>
      </c>
      <c r="L109" s="126">
        <f t="shared" si="9"/>
        <v>2000000</v>
      </c>
      <c r="M109" s="127" t="s">
        <v>20</v>
      </c>
      <c r="N109" s="118"/>
      <c r="O109" s="55"/>
      <c r="P109" s="53"/>
      <c r="Q109" s="55"/>
      <c r="R109" s="49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</row>
    <row r="110" spans="1:41" ht="41.4" x14ac:dyDescent="0.25">
      <c r="A110" s="22">
        <f t="shared" si="12"/>
        <v>107</v>
      </c>
      <c r="B110" s="129" t="s">
        <v>108</v>
      </c>
      <c r="C110" s="24" t="str">
        <f ca="1">IFERROR(__xludf.DUMMYFUNCTION("IFERROR(VLOOKUP(B110,IMPORTRANGE(""https://docs.google.com/spreadsheets/d/1Hr4i_97qtgRe-bfuRbVkLVmXa34m06T7R6IJCbq42Xg/edit?gid=0#gid=0"",""Information!B5:S200""),4,0),"""")"),"")</f>
        <v/>
      </c>
      <c r="D110" s="90" t="s">
        <v>319</v>
      </c>
      <c r="E110" s="26" t="str">
        <f t="shared" si="2"/>
        <v>108/FS/2025</v>
      </c>
      <c r="F110" s="116"/>
      <c r="G110" s="116"/>
      <c r="H110" s="128" t="s">
        <v>442</v>
      </c>
      <c r="I110" s="124">
        <v>16000000</v>
      </c>
      <c r="J110" s="125">
        <v>0.08</v>
      </c>
      <c r="K110" s="124">
        <f t="shared" si="8"/>
        <v>1280000</v>
      </c>
      <c r="L110" s="126">
        <f t="shared" si="9"/>
        <v>17280000</v>
      </c>
      <c r="M110" s="127" t="s">
        <v>20</v>
      </c>
      <c r="N110" s="118"/>
      <c r="O110" s="55"/>
      <c r="P110" s="53"/>
      <c r="Q110" s="55"/>
      <c r="R110" s="49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</row>
    <row r="111" spans="1:41" ht="55.2" x14ac:dyDescent="0.25">
      <c r="A111" s="22">
        <f t="shared" si="12"/>
        <v>108</v>
      </c>
      <c r="B111" s="129" t="s">
        <v>110</v>
      </c>
      <c r="C111" s="24" t="str">
        <f ca="1">IFERROR(__xludf.DUMMYFUNCTION("IFERROR(VLOOKUP(B111,IMPORTRANGE(""https://docs.google.com/spreadsheets/d/1Hr4i_97qtgRe-bfuRbVkLVmXa34m06T7R6IJCbq42Xg/edit?gid=0#gid=0"",""Information!B5:S200""),4,0),"""")"),"")</f>
        <v/>
      </c>
      <c r="D111" s="90" t="s">
        <v>320</v>
      </c>
      <c r="E111" s="26" t="str">
        <f t="shared" si="2"/>
        <v>109/FS/2025</v>
      </c>
      <c r="F111" s="116"/>
      <c r="G111" s="131">
        <v>45909</v>
      </c>
      <c r="H111" s="128" t="s">
        <v>443</v>
      </c>
      <c r="I111" s="124">
        <v>3000000</v>
      </c>
      <c r="J111" s="125">
        <v>0.08</v>
      </c>
      <c r="K111" s="124">
        <f t="shared" si="8"/>
        <v>240000</v>
      </c>
      <c r="L111" s="126">
        <f t="shared" si="9"/>
        <v>3240000</v>
      </c>
      <c r="M111" s="127" t="s">
        <v>20</v>
      </c>
      <c r="N111" s="118"/>
      <c r="O111" s="55"/>
      <c r="P111" s="53"/>
      <c r="Q111" s="55"/>
      <c r="R111" s="49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</row>
    <row r="112" spans="1:41" ht="27.6" x14ac:dyDescent="0.25">
      <c r="A112" s="22">
        <f t="shared" si="12"/>
        <v>109</v>
      </c>
      <c r="B112" s="129" t="s">
        <v>118</v>
      </c>
      <c r="C112" s="24" t="str">
        <f ca="1">IFERROR(__xludf.DUMMYFUNCTION("IFERROR(VLOOKUP(B112,IMPORTRANGE(""https://docs.google.com/spreadsheets/d/1Hr4i_97qtgRe-bfuRbVkLVmXa34m06T7R6IJCbq42Xg/edit?gid=0#gid=0"",""Information!B5:S200""),4,0),"""")"),"")</f>
        <v/>
      </c>
      <c r="D112" s="90" t="s">
        <v>321</v>
      </c>
      <c r="E112" s="26" t="str">
        <f t="shared" si="2"/>
        <v>110/FS/2025</v>
      </c>
      <c r="F112" s="116"/>
      <c r="G112" s="116"/>
      <c r="H112" s="128" t="s">
        <v>423</v>
      </c>
      <c r="I112" s="126"/>
      <c r="J112" s="125">
        <v>0.08</v>
      </c>
      <c r="K112" s="124">
        <f t="shared" si="8"/>
        <v>0</v>
      </c>
      <c r="L112" s="126">
        <f t="shared" si="9"/>
        <v>0</v>
      </c>
      <c r="M112" s="127" t="s">
        <v>20</v>
      </c>
      <c r="N112" s="118"/>
      <c r="O112" s="55"/>
      <c r="P112" s="53"/>
      <c r="Q112" s="55"/>
      <c r="R112" s="49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</row>
    <row r="113" spans="1:41" ht="27.6" x14ac:dyDescent="0.25">
      <c r="A113" s="22">
        <f t="shared" si="12"/>
        <v>110</v>
      </c>
      <c r="B113" s="129" t="s">
        <v>120</v>
      </c>
      <c r="C113" s="24" t="str">
        <f ca="1">IFERROR(__xludf.DUMMYFUNCTION("IFERROR(VLOOKUP(B113,IMPORTRANGE(""https://docs.google.com/spreadsheets/d/1Hr4i_97qtgRe-bfuRbVkLVmXa34m06T7R6IJCbq42Xg/edit?gid=0#gid=0"",""Information!B5:S200""),4,0),"""")"),"")</f>
        <v/>
      </c>
      <c r="D113" s="90" t="s">
        <v>322</v>
      </c>
      <c r="E113" s="26" t="str">
        <f t="shared" si="2"/>
        <v>111/FS/2025</v>
      </c>
      <c r="F113" s="116"/>
      <c r="G113" s="116"/>
      <c r="H113" s="128" t="s">
        <v>423</v>
      </c>
      <c r="I113" s="124">
        <v>3500000</v>
      </c>
      <c r="J113" s="125">
        <v>0.08</v>
      </c>
      <c r="K113" s="124">
        <f t="shared" si="8"/>
        <v>280000</v>
      </c>
      <c r="L113" s="126">
        <f t="shared" si="9"/>
        <v>3780000</v>
      </c>
      <c r="M113" s="127" t="s">
        <v>20</v>
      </c>
      <c r="N113" s="118"/>
      <c r="O113" s="55"/>
      <c r="P113" s="53"/>
      <c r="Q113" s="55"/>
      <c r="R113" s="49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</row>
    <row r="114" spans="1:41" ht="165.6" x14ac:dyDescent="0.25">
      <c r="A114" s="22">
        <f t="shared" si="12"/>
        <v>111</v>
      </c>
      <c r="B114" s="129" t="s">
        <v>122</v>
      </c>
      <c r="C114" s="24" t="str">
        <f ca="1">IFERROR(__xludf.DUMMYFUNCTION("IFERROR(VLOOKUP(B114,IMPORTRANGE(""https://docs.google.com/spreadsheets/d/1Hr4i_97qtgRe-bfuRbVkLVmXa34m06T7R6IJCbq42Xg/edit?gid=0#gid=0"",""Information!B5:S200""),4,0),"""")"),"")</f>
        <v/>
      </c>
      <c r="D114" s="90" t="s">
        <v>323</v>
      </c>
      <c r="E114" s="26" t="str">
        <f t="shared" si="2"/>
        <v>112/FS/2025</v>
      </c>
      <c r="F114" s="116"/>
      <c r="G114" s="131">
        <v>45947</v>
      </c>
      <c r="H114" s="128" t="s">
        <v>444</v>
      </c>
      <c r="I114" s="124">
        <v>37000000</v>
      </c>
      <c r="J114" s="125">
        <v>0.08</v>
      </c>
      <c r="K114" s="124">
        <f t="shared" si="8"/>
        <v>2960000</v>
      </c>
      <c r="L114" s="126">
        <f t="shared" si="9"/>
        <v>39960000</v>
      </c>
      <c r="M114" s="127" t="s">
        <v>20</v>
      </c>
      <c r="N114" s="118"/>
      <c r="O114" s="55"/>
      <c r="P114" s="53"/>
      <c r="Q114" s="55"/>
      <c r="R114" s="49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</row>
    <row r="115" spans="1:41" ht="27.6" x14ac:dyDescent="0.25">
      <c r="A115" s="22">
        <f t="shared" si="12"/>
        <v>112</v>
      </c>
      <c r="B115" s="129" t="s">
        <v>126</v>
      </c>
      <c r="C115" s="24" t="str">
        <f ca="1">IFERROR(__xludf.DUMMYFUNCTION("IFERROR(VLOOKUP(B115,IMPORTRANGE(""https://docs.google.com/spreadsheets/d/1Hr4i_97qtgRe-bfuRbVkLVmXa34m06T7R6IJCbq42Xg/edit?gid=0#gid=0"",""Information!B5:S200""),4,0),"""")"),"")</f>
        <v/>
      </c>
      <c r="D115" s="90" t="s">
        <v>324</v>
      </c>
      <c r="E115" s="26" t="str">
        <f t="shared" si="2"/>
        <v>113/FS/2025</v>
      </c>
      <c r="F115" s="116"/>
      <c r="G115" s="31">
        <v>45910</v>
      </c>
      <c r="H115" s="128" t="s">
        <v>423</v>
      </c>
      <c r="I115" s="124">
        <v>5500000</v>
      </c>
      <c r="J115" s="125">
        <v>0.08</v>
      </c>
      <c r="K115" s="124">
        <f t="shared" si="8"/>
        <v>440000</v>
      </c>
      <c r="L115" s="126">
        <f t="shared" si="9"/>
        <v>5940000</v>
      </c>
      <c r="M115" s="127" t="s">
        <v>20</v>
      </c>
      <c r="N115" s="118"/>
      <c r="O115" s="55"/>
      <c r="P115" s="53"/>
      <c r="Q115" s="55"/>
      <c r="R115" s="49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</row>
    <row r="116" spans="1:41" ht="27.6" x14ac:dyDescent="0.25">
      <c r="A116" s="22">
        <f t="shared" si="12"/>
        <v>113</v>
      </c>
      <c r="B116" s="129" t="s">
        <v>128</v>
      </c>
      <c r="C116" s="24" t="str">
        <f ca="1">IFERROR(__xludf.DUMMYFUNCTION("IFERROR(VLOOKUP(B116,IMPORTRANGE(""https://docs.google.com/spreadsheets/d/1Hr4i_97qtgRe-bfuRbVkLVmXa34m06T7R6IJCbq42Xg/edit?gid=0#gid=0"",""Information!B5:S200""),4,0),"""")"),"")</f>
        <v/>
      </c>
      <c r="D116" s="90" t="s">
        <v>325</v>
      </c>
      <c r="E116" s="26" t="str">
        <f t="shared" si="2"/>
        <v>114/FS/2025</v>
      </c>
      <c r="F116" s="116"/>
      <c r="G116" s="131">
        <v>45875</v>
      </c>
      <c r="H116" s="128" t="s">
        <v>445</v>
      </c>
      <c r="I116" s="124">
        <v>4000000</v>
      </c>
      <c r="J116" s="125">
        <v>0.08</v>
      </c>
      <c r="K116" s="124">
        <f t="shared" si="8"/>
        <v>320000</v>
      </c>
      <c r="L116" s="126">
        <f t="shared" si="9"/>
        <v>4320000</v>
      </c>
      <c r="M116" s="127" t="s">
        <v>20</v>
      </c>
      <c r="N116" s="118"/>
      <c r="O116" s="55"/>
      <c r="P116" s="53"/>
      <c r="Q116" s="55"/>
      <c r="R116" s="49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</row>
    <row r="117" spans="1:41" ht="27.6" x14ac:dyDescent="0.25">
      <c r="A117" s="22">
        <f t="shared" si="12"/>
        <v>114</v>
      </c>
      <c r="B117" s="129" t="s">
        <v>130</v>
      </c>
      <c r="C117" s="24" t="str">
        <f ca="1">IFERROR(__xludf.DUMMYFUNCTION("IFERROR(VLOOKUP(B117,IMPORTRANGE(""https://docs.google.com/spreadsheets/d/1Hr4i_97qtgRe-bfuRbVkLVmXa34m06T7R6IJCbq42Xg/edit?gid=0#gid=0"",""Information!B5:S200""),4,0),"""")"),"")</f>
        <v/>
      </c>
      <c r="D117" s="90" t="s">
        <v>326</v>
      </c>
      <c r="E117" s="26" t="str">
        <f t="shared" si="2"/>
        <v>115/FS/2025</v>
      </c>
      <c r="F117" s="116"/>
      <c r="G117" s="116"/>
      <c r="H117" s="128" t="s">
        <v>423</v>
      </c>
      <c r="I117" s="126"/>
      <c r="J117" s="125">
        <v>0.08</v>
      </c>
      <c r="K117" s="124">
        <f t="shared" si="8"/>
        <v>0</v>
      </c>
      <c r="L117" s="126">
        <f t="shared" si="9"/>
        <v>0</v>
      </c>
      <c r="M117" s="127" t="s">
        <v>20</v>
      </c>
      <c r="N117" s="118"/>
      <c r="O117" s="55"/>
      <c r="P117" s="53"/>
      <c r="Q117" s="55"/>
      <c r="R117" s="49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</row>
    <row r="118" spans="1:41" ht="27.6" x14ac:dyDescent="0.25">
      <c r="A118" s="22">
        <f t="shared" si="12"/>
        <v>115</v>
      </c>
      <c r="B118" s="129" t="s">
        <v>132</v>
      </c>
      <c r="C118" s="24" t="str">
        <f ca="1">IFERROR(__xludf.DUMMYFUNCTION("IFERROR(VLOOKUP(B118,IMPORTRANGE(""https://docs.google.com/spreadsheets/d/1Hr4i_97qtgRe-bfuRbVkLVmXa34m06T7R6IJCbq42Xg/edit?gid=0#gid=0"",""Information!B5:S200""),4,0),"""")"),"")</f>
        <v/>
      </c>
      <c r="D118" s="90" t="s">
        <v>327</v>
      </c>
      <c r="E118" s="26" t="str">
        <f t="shared" si="2"/>
        <v>116/FS/2025</v>
      </c>
      <c r="F118" s="116"/>
      <c r="G118" s="131">
        <v>45916</v>
      </c>
      <c r="H118" s="128" t="s">
        <v>423</v>
      </c>
      <c r="I118" s="124">
        <v>5500000</v>
      </c>
      <c r="J118" s="125">
        <v>0.08</v>
      </c>
      <c r="K118" s="124">
        <f t="shared" si="8"/>
        <v>440000</v>
      </c>
      <c r="L118" s="126">
        <f t="shared" si="9"/>
        <v>5940000</v>
      </c>
      <c r="M118" s="127" t="s">
        <v>20</v>
      </c>
      <c r="N118" s="118"/>
      <c r="O118" s="55"/>
      <c r="P118" s="53"/>
      <c r="Q118" s="55"/>
      <c r="R118" s="49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</row>
    <row r="119" spans="1:41" ht="27.6" x14ac:dyDescent="0.25">
      <c r="A119" s="22">
        <f t="shared" si="12"/>
        <v>116</v>
      </c>
      <c r="B119" s="129" t="s">
        <v>188</v>
      </c>
      <c r="C119" s="24" t="str">
        <f ca="1">IFERROR(__xludf.DUMMYFUNCTION("IFERROR(VLOOKUP(B119,IMPORTRANGE(""https://docs.google.com/spreadsheets/d/1Hr4i_97qtgRe-bfuRbVkLVmXa34m06T7R6IJCbq42Xg/edit?gid=0#gid=0"",""Information!B5:S200""),4,0),"""")"),"")</f>
        <v/>
      </c>
      <c r="D119" s="90" t="s">
        <v>328</v>
      </c>
      <c r="E119" s="26" t="str">
        <f t="shared" si="2"/>
        <v>117/FS/2025</v>
      </c>
      <c r="F119" s="116"/>
      <c r="G119" s="116"/>
      <c r="H119" s="128" t="s">
        <v>423</v>
      </c>
      <c r="I119" s="126"/>
      <c r="J119" s="125">
        <v>0.08</v>
      </c>
      <c r="K119" s="124">
        <f t="shared" si="8"/>
        <v>0</v>
      </c>
      <c r="L119" s="126">
        <f t="shared" si="9"/>
        <v>0</v>
      </c>
      <c r="M119" s="127" t="s">
        <v>20</v>
      </c>
      <c r="N119" s="118"/>
      <c r="O119" s="55"/>
      <c r="P119" s="53"/>
      <c r="Q119" s="55"/>
      <c r="R119" s="49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</row>
    <row r="120" spans="1:41" ht="27.6" x14ac:dyDescent="0.25">
      <c r="A120" s="22">
        <f t="shared" si="12"/>
        <v>117</v>
      </c>
      <c r="B120" s="129" t="s">
        <v>134</v>
      </c>
      <c r="C120" s="24" t="str">
        <f ca="1">IFERROR(__xludf.DUMMYFUNCTION("IFERROR(VLOOKUP(B120,IMPORTRANGE(""https://docs.google.com/spreadsheets/d/1Hr4i_97qtgRe-bfuRbVkLVmXa34m06T7R6IJCbq42Xg/edit?gid=0#gid=0"",""Information!B5:S200""),4,0),"""")"),"")</f>
        <v/>
      </c>
      <c r="D120" s="90" t="s">
        <v>329</v>
      </c>
      <c r="E120" s="26" t="str">
        <f t="shared" si="2"/>
        <v>118/FS/2025</v>
      </c>
      <c r="F120" s="116"/>
      <c r="G120" s="31">
        <v>45910</v>
      </c>
      <c r="H120" s="128" t="s">
        <v>423</v>
      </c>
      <c r="I120" s="124">
        <v>5500000</v>
      </c>
      <c r="J120" s="125">
        <v>0.08</v>
      </c>
      <c r="K120" s="124">
        <f t="shared" si="8"/>
        <v>440000</v>
      </c>
      <c r="L120" s="126">
        <f t="shared" si="9"/>
        <v>5940000</v>
      </c>
      <c r="M120" s="127" t="s">
        <v>20</v>
      </c>
      <c r="N120" s="118"/>
      <c r="O120" s="55"/>
      <c r="P120" s="53"/>
      <c r="Q120" s="55"/>
      <c r="R120" s="49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</row>
    <row r="121" spans="1:41" ht="27.6" x14ac:dyDescent="0.25">
      <c r="A121" s="22">
        <f t="shared" si="12"/>
        <v>118</v>
      </c>
      <c r="B121" s="129" t="s">
        <v>136</v>
      </c>
      <c r="C121" s="24" t="str">
        <f ca="1">IFERROR(__xludf.DUMMYFUNCTION("IFERROR(VLOOKUP(B121,IMPORTRANGE(""https://docs.google.com/spreadsheets/d/1Hr4i_97qtgRe-bfuRbVkLVmXa34m06T7R6IJCbq42Xg/edit?gid=0#gid=0"",""Information!B5:S200""),4,0),"""")"),"")</f>
        <v/>
      </c>
      <c r="D121" s="90" t="s">
        <v>330</v>
      </c>
      <c r="E121" s="26" t="str">
        <f t="shared" si="2"/>
        <v>119/FS/2025</v>
      </c>
      <c r="F121" s="116"/>
      <c r="G121" s="116"/>
      <c r="H121" s="128" t="s">
        <v>423</v>
      </c>
      <c r="I121" s="126"/>
      <c r="J121" s="125">
        <v>0.08</v>
      </c>
      <c r="K121" s="124">
        <f t="shared" si="8"/>
        <v>0</v>
      </c>
      <c r="L121" s="126">
        <f t="shared" si="9"/>
        <v>0</v>
      </c>
      <c r="M121" s="127" t="s">
        <v>20</v>
      </c>
      <c r="N121" s="118"/>
      <c r="O121" s="55"/>
      <c r="P121" s="53"/>
      <c r="Q121" s="55"/>
      <c r="R121" s="49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</row>
    <row r="122" spans="1:41" ht="27.6" x14ac:dyDescent="0.25">
      <c r="A122" s="22">
        <f t="shared" si="12"/>
        <v>119</v>
      </c>
      <c r="B122" s="129" t="s">
        <v>138</v>
      </c>
      <c r="C122" s="24" t="str">
        <f ca="1">IFERROR(__xludf.DUMMYFUNCTION("IFERROR(VLOOKUP(B122,IMPORTRANGE(""https://docs.google.com/spreadsheets/d/1Hr4i_97qtgRe-bfuRbVkLVmXa34m06T7R6IJCbq42Xg/edit?gid=0#gid=0"",""Information!B5:S200""),4,0),"""")"),"")</f>
        <v/>
      </c>
      <c r="D122" s="90" t="s">
        <v>331</v>
      </c>
      <c r="E122" s="26" t="str">
        <f t="shared" si="2"/>
        <v>120/FS/2025</v>
      </c>
      <c r="F122" s="116"/>
      <c r="G122" s="31">
        <v>45910</v>
      </c>
      <c r="H122" s="128" t="s">
        <v>423</v>
      </c>
      <c r="I122" s="124">
        <v>1000000</v>
      </c>
      <c r="J122" s="125">
        <v>0.08</v>
      </c>
      <c r="K122" s="124">
        <f t="shared" si="8"/>
        <v>80000</v>
      </c>
      <c r="L122" s="126">
        <f t="shared" si="9"/>
        <v>1080000</v>
      </c>
      <c r="M122" s="127" t="s">
        <v>20</v>
      </c>
      <c r="N122" s="118"/>
      <c r="O122" s="55"/>
      <c r="P122" s="53"/>
      <c r="Q122" s="55"/>
      <c r="R122" s="49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</row>
    <row r="123" spans="1:41" ht="55.2" x14ac:dyDescent="0.25">
      <c r="A123" s="22">
        <f t="shared" si="12"/>
        <v>120</v>
      </c>
      <c r="B123" s="129" t="s">
        <v>142</v>
      </c>
      <c r="C123" s="24" t="str">
        <f ca="1">IFERROR(__xludf.DUMMYFUNCTION("IFERROR(VLOOKUP(B123,IMPORTRANGE(""https://docs.google.com/spreadsheets/d/1Hr4i_97qtgRe-bfuRbVkLVmXa34m06T7R6IJCbq42Xg/edit?gid=0#gid=0"",""Information!B5:S200""),4,0),"""")"),"")</f>
        <v/>
      </c>
      <c r="D123" s="90" t="s">
        <v>332</v>
      </c>
      <c r="E123" s="26" t="str">
        <f t="shared" si="2"/>
        <v>121/FS/2025</v>
      </c>
      <c r="F123" s="116"/>
      <c r="G123" s="131">
        <v>45911</v>
      </c>
      <c r="H123" s="128" t="s">
        <v>437</v>
      </c>
      <c r="I123" s="124">
        <v>2000000</v>
      </c>
      <c r="J123" s="125">
        <v>0.08</v>
      </c>
      <c r="K123" s="124">
        <f t="shared" si="8"/>
        <v>160000</v>
      </c>
      <c r="L123" s="126">
        <f t="shared" si="9"/>
        <v>2160000</v>
      </c>
      <c r="M123" s="127" t="s">
        <v>20</v>
      </c>
      <c r="N123" s="118"/>
      <c r="O123" s="55"/>
      <c r="P123" s="53"/>
      <c r="Q123" s="55"/>
      <c r="R123" s="49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</row>
    <row r="124" spans="1:41" ht="27.6" x14ac:dyDescent="0.25">
      <c r="A124" s="22">
        <f t="shared" si="12"/>
        <v>121</v>
      </c>
      <c r="B124" s="129" t="s">
        <v>144</v>
      </c>
      <c r="C124" s="24" t="str">
        <f ca="1">IFERROR(__xludf.DUMMYFUNCTION("IFERROR(VLOOKUP(B124,IMPORTRANGE(""https://docs.google.com/spreadsheets/d/1Hr4i_97qtgRe-bfuRbVkLVmXa34m06T7R6IJCbq42Xg/edit?gid=0#gid=0"",""Information!B5:S200""),4,0),"""")"),"")</f>
        <v/>
      </c>
      <c r="D124" s="90" t="s">
        <v>333</v>
      </c>
      <c r="E124" s="26" t="str">
        <f t="shared" si="2"/>
        <v>122/FS/2025</v>
      </c>
      <c r="F124" s="116"/>
      <c r="G124" s="31">
        <v>45910</v>
      </c>
      <c r="H124" s="128" t="s">
        <v>410</v>
      </c>
      <c r="I124" s="124">
        <v>1000000</v>
      </c>
      <c r="J124" s="125">
        <v>0.08</v>
      </c>
      <c r="K124" s="124">
        <f t="shared" si="8"/>
        <v>80000</v>
      </c>
      <c r="L124" s="126">
        <f t="shared" si="9"/>
        <v>1080000</v>
      </c>
      <c r="M124" s="127" t="s">
        <v>20</v>
      </c>
      <c r="N124" s="118"/>
      <c r="O124" s="55"/>
      <c r="P124" s="53"/>
      <c r="Q124" s="55"/>
      <c r="R124" s="49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</row>
    <row r="125" spans="1:41" ht="27.6" x14ac:dyDescent="0.25">
      <c r="A125" s="22">
        <f t="shared" si="12"/>
        <v>122</v>
      </c>
      <c r="B125" s="129" t="s">
        <v>148</v>
      </c>
      <c r="C125" s="24" t="str">
        <f ca="1">IFERROR(__xludf.DUMMYFUNCTION("IFERROR(VLOOKUP(B125,IMPORTRANGE(""https://docs.google.com/spreadsheets/d/1Hr4i_97qtgRe-bfuRbVkLVmXa34m06T7R6IJCbq42Xg/edit?gid=0#gid=0"",""Information!B5:S200""),4,0),"""")"),"")</f>
        <v/>
      </c>
      <c r="D125" s="90" t="s">
        <v>334</v>
      </c>
      <c r="E125" s="26" t="str">
        <f t="shared" si="2"/>
        <v>123/FS/2025</v>
      </c>
      <c r="F125" s="116"/>
      <c r="G125" s="116"/>
      <c r="H125" s="128" t="s">
        <v>423</v>
      </c>
      <c r="I125" s="124">
        <v>1000000</v>
      </c>
      <c r="J125" s="125">
        <v>0.08</v>
      </c>
      <c r="K125" s="124">
        <f t="shared" si="8"/>
        <v>80000</v>
      </c>
      <c r="L125" s="126">
        <f t="shared" si="9"/>
        <v>1080000</v>
      </c>
      <c r="M125" s="127" t="s">
        <v>20</v>
      </c>
      <c r="N125" s="118"/>
      <c r="O125" s="55"/>
      <c r="P125" s="53"/>
      <c r="Q125" s="55"/>
      <c r="R125" s="49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</row>
    <row r="126" spans="1:41" ht="41.4" x14ac:dyDescent="0.25">
      <c r="A126" s="22">
        <f t="shared" si="12"/>
        <v>123</v>
      </c>
      <c r="B126" s="129" t="s">
        <v>150</v>
      </c>
      <c r="C126" s="24" t="str">
        <f ca="1">IFERROR(__xludf.DUMMYFUNCTION("IFERROR(VLOOKUP(B126,IMPORTRANGE(""https://docs.google.com/spreadsheets/d/1Hr4i_97qtgRe-bfuRbVkLVmXa34m06T7R6IJCbq42Xg/edit?gid=0#gid=0"",""Information!B5:S200""),4,0),"""")"),"")</f>
        <v/>
      </c>
      <c r="D126" s="90" t="s">
        <v>335</v>
      </c>
      <c r="E126" s="26" t="str">
        <f t="shared" si="2"/>
        <v>124/FS/2025</v>
      </c>
      <c r="F126" s="116"/>
      <c r="G126" s="116"/>
      <c r="H126" s="128" t="s">
        <v>446</v>
      </c>
      <c r="I126" s="126"/>
      <c r="J126" s="125">
        <v>0.08</v>
      </c>
      <c r="K126" s="124">
        <f t="shared" si="8"/>
        <v>0</v>
      </c>
      <c r="L126" s="126">
        <f t="shared" si="9"/>
        <v>0</v>
      </c>
      <c r="M126" s="127" t="s">
        <v>20</v>
      </c>
      <c r="N126" s="118"/>
      <c r="O126" s="55"/>
      <c r="P126" s="53"/>
      <c r="Q126" s="55"/>
      <c r="R126" s="49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</row>
    <row r="127" spans="1:41" ht="41.4" x14ac:dyDescent="0.25">
      <c r="A127" s="22">
        <f t="shared" si="12"/>
        <v>124</v>
      </c>
      <c r="B127" s="129" t="s">
        <v>174</v>
      </c>
      <c r="C127" s="24" t="str">
        <f ca="1">IFERROR(__xludf.DUMMYFUNCTION("IFERROR(VLOOKUP(B127,IMPORTRANGE(""https://docs.google.com/spreadsheets/d/1Hr4i_97qtgRe-bfuRbVkLVmXa34m06T7R6IJCbq42Xg/edit?gid=0#gid=0"",""Information!B5:S200""),4,0),"""")"),"")</f>
        <v/>
      </c>
      <c r="D127" s="90" t="s">
        <v>336</v>
      </c>
      <c r="E127" s="26" t="str">
        <f t="shared" si="2"/>
        <v>125/FS/2025</v>
      </c>
      <c r="F127" s="116"/>
      <c r="G127" s="116"/>
      <c r="H127" s="128" t="s">
        <v>447</v>
      </c>
      <c r="I127" s="126"/>
      <c r="J127" s="125">
        <v>0.08</v>
      </c>
      <c r="K127" s="124">
        <f t="shared" si="8"/>
        <v>0</v>
      </c>
      <c r="L127" s="126">
        <f t="shared" si="9"/>
        <v>0</v>
      </c>
      <c r="M127" s="127" t="s">
        <v>20</v>
      </c>
      <c r="N127" s="118"/>
      <c r="O127" s="55"/>
      <c r="P127" s="53"/>
      <c r="Q127" s="55"/>
      <c r="R127" s="49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</row>
    <row r="128" spans="1:41" ht="27.6" x14ac:dyDescent="0.25">
      <c r="A128" s="22">
        <f t="shared" si="12"/>
        <v>125</v>
      </c>
      <c r="B128" s="129" t="s">
        <v>172</v>
      </c>
      <c r="C128" s="24" t="str">
        <f ca="1">IFERROR(__xludf.DUMMYFUNCTION("IFERROR(VLOOKUP(B128,IMPORTRANGE(""https://docs.google.com/spreadsheets/d/1Hr4i_97qtgRe-bfuRbVkLVmXa34m06T7R6IJCbq42Xg/edit?gid=0#gid=0"",""Information!B5:S200""),4,0),"""")"),"")</f>
        <v/>
      </c>
      <c r="D128" s="90" t="s">
        <v>337</v>
      </c>
      <c r="E128" s="26" t="str">
        <f t="shared" si="2"/>
        <v>126/FS/2025</v>
      </c>
      <c r="F128" s="116"/>
      <c r="G128" s="131">
        <v>45912</v>
      </c>
      <c r="H128" s="128" t="s">
        <v>423</v>
      </c>
      <c r="I128" s="124">
        <v>3000000</v>
      </c>
      <c r="J128" s="125">
        <v>0.08</v>
      </c>
      <c r="K128" s="124">
        <f t="shared" si="8"/>
        <v>240000</v>
      </c>
      <c r="L128" s="126">
        <f t="shared" si="9"/>
        <v>3240000</v>
      </c>
      <c r="M128" s="127" t="s">
        <v>20</v>
      </c>
      <c r="N128" s="118"/>
      <c r="O128" s="55"/>
      <c r="P128" s="53"/>
      <c r="Q128" s="55"/>
      <c r="R128" s="49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</row>
    <row r="129" spans="1:41" ht="27.6" x14ac:dyDescent="0.25">
      <c r="A129" s="22">
        <f t="shared" si="12"/>
        <v>126</v>
      </c>
      <c r="B129" s="129" t="s">
        <v>152</v>
      </c>
      <c r="C129" s="24" t="str">
        <f ca="1">IFERROR(__xludf.DUMMYFUNCTION("IFERROR(VLOOKUP(B129,IMPORTRANGE(""https://docs.google.com/spreadsheets/d/1Hr4i_97qtgRe-bfuRbVkLVmXa34m06T7R6IJCbq42Xg/edit?gid=0#gid=0"",""Information!B5:S200""),4,0),"""")"),"")</f>
        <v/>
      </c>
      <c r="D129" s="90" t="s">
        <v>338</v>
      </c>
      <c r="E129" s="26" t="str">
        <f t="shared" si="2"/>
        <v>127/FS/2025</v>
      </c>
      <c r="F129" s="116"/>
      <c r="G129" s="116"/>
      <c r="H129" s="128" t="s">
        <v>423</v>
      </c>
      <c r="I129" s="126"/>
      <c r="J129" s="125">
        <v>0.08</v>
      </c>
      <c r="K129" s="124">
        <f t="shared" si="8"/>
        <v>0</v>
      </c>
      <c r="L129" s="126">
        <f t="shared" si="9"/>
        <v>0</v>
      </c>
      <c r="M129" s="127" t="s">
        <v>20</v>
      </c>
      <c r="N129" s="118"/>
      <c r="O129" s="55"/>
      <c r="P129" s="53"/>
      <c r="Q129" s="55"/>
      <c r="R129" s="49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</row>
    <row r="130" spans="1:41" ht="27.6" x14ac:dyDescent="0.25">
      <c r="A130" s="22">
        <f t="shared" si="12"/>
        <v>127</v>
      </c>
      <c r="B130" s="129" t="s">
        <v>154</v>
      </c>
      <c r="C130" s="24" t="str">
        <f ca="1">IFERROR(__xludf.DUMMYFUNCTION("IFERROR(VLOOKUP(B130,IMPORTRANGE(""https://docs.google.com/spreadsheets/d/1Hr4i_97qtgRe-bfuRbVkLVmXa34m06T7R6IJCbq42Xg/edit?gid=0#gid=0"",""Information!B5:S200""),4,0),"""")"),"")</f>
        <v/>
      </c>
      <c r="D130" s="90" t="s">
        <v>339</v>
      </c>
      <c r="E130" s="26" t="str">
        <f t="shared" si="2"/>
        <v>128/FS/2025</v>
      </c>
      <c r="F130" s="116"/>
      <c r="G130" s="116"/>
      <c r="H130" s="128" t="s">
        <v>423</v>
      </c>
      <c r="I130" s="126"/>
      <c r="J130" s="125">
        <v>0.08</v>
      </c>
      <c r="K130" s="124">
        <f t="shared" si="8"/>
        <v>0</v>
      </c>
      <c r="L130" s="126">
        <f t="shared" si="9"/>
        <v>0</v>
      </c>
      <c r="M130" s="127" t="s">
        <v>20</v>
      </c>
      <c r="N130" s="118"/>
      <c r="O130" s="55"/>
      <c r="P130" s="53"/>
      <c r="Q130" s="55"/>
      <c r="R130" s="49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</row>
    <row r="131" spans="1:41" ht="27.6" x14ac:dyDescent="0.25">
      <c r="A131" s="22">
        <f t="shared" si="12"/>
        <v>128</v>
      </c>
      <c r="B131" s="129" t="s">
        <v>156</v>
      </c>
      <c r="C131" s="24" t="str">
        <f ca="1">IFERROR(__xludf.DUMMYFUNCTION("IFERROR(VLOOKUP(B131,IMPORTRANGE(""https://docs.google.com/spreadsheets/d/1Hr4i_97qtgRe-bfuRbVkLVmXa34m06T7R6IJCbq42Xg/edit?gid=0#gid=0"",""Information!B5:S200""),4,0),"""")"),"")</f>
        <v/>
      </c>
      <c r="D131" s="90" t="s">
        <v>340</v>
      </c>
      <c r="E131" s="26" t="str">
        <f t="shared" si="2"/>
        <v>129/FS/2025</v>
      </c>
      <c r="F131" s="116"/>
      <c r="G131" s="31">
        <v>45910</v>
      </c>
      <c r="H131" s="128" t="s">
        <v>423</v>
      </c>
      <c r="I131" s="124">
        <v>8000000</v>
      </c>
      <c r="J131" s="125">
        <v>0.08</v>
      </c>
      <c r="K131" s="124">
        <f t="shared" si="8"/>
        <v>640000</v>
      </c>
      <c r="L131" s="126">
        <f t="shared" si="9"/>
        <v>8640000</v>
      </c>
      <c r="M131" s="127" t="s">
        <v>20</v>
      </c>
      <c r="N131" s="118"/>
      <c r="O131" s="55"/>
      <c r="P131" s="53"/>
      <c r="Q131" s="55"/>
      <c r="R131" s="49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</row>
    <row r="132" spans="1:41" ht="27.6" x14ac:dyDescent="0.25">
      <c r="A132" s="22">
        <f t="shared" si="12"/>
        <v>129</v>
      </c>
      <c r="B132" s="129" t="s">
        <v>160</v>
      </c>
      <c r="C132" s="24" t="str">
        <f ca="1">IFERROR(__xludf.DUMMYFUNCTION("IFERROR(VLOOKUP(B132,IMPORTRANGE(""https://docs.google.com/spreadsheets/d/1Hr4i_97qtgRe-bfuRbVkLVmXa34m06T7R6IJCbq42Xg/edit?gid=0#gid=0"",""Information!B5:S200""),4,0),"""")"),"")</f>
        <v/>
      </c>
      <c r="D132" s="90" t="s">
        <v>341</v>
      </c>
      <c r="E132" s="26" t="str">
        <f t="shared" si="2"/>
        <v>130/FS/2025</v>
      </c>
      <c r="F132" s="116"/>
      <c r="G132" s="116"/>
      <c r="H132" s="128" t="s">
        <v>423</v>
      </c>
      <c r="I132" s="124">
        <v>1000000</v>
      </c>
      <c r="J132" s="125">
        <v>0.08</v>
      </c>
      <c r="K132" s="124">
        <f t="shared" si="8"/>
        <v>80000</v>
      </c>
      <c r="L132" s="126">
        <f t="shared" si="9"/>
        <v>1080000</v>
      </c>
      <c r="M132" s="127" t="s">
        <v>20</v>
      </c>
      <c r="N132" s="118"/>
      <c r="O132" s="55"/>
      <c r="P132" s="53"/>
      <c r="Q132" s="55"/>
      <c r="R132" s="49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</row>
    <row r="133" spans="1:41" ht="27.6" x14ac:dyDescent="0.25">
      <c r="A133" s="22">
        <f t="shared" si="12"/>
        <v>130</v>
      </c>
      <c r="B133" s="129" t="s">
        <v>162</v>
      </c>
      <c r="C133" s="24" t="str">
        <f ca="1">IFERROR(__xludf.DUMMYFUNCTION("IFERROR(VLOOKUP(B133,IMPORTRANGE(""https://docs.google.com/spreadsheets/d/1Hr4i_97qtgRe-bfuRbVkLVmXa34m06T7R6IJCbq42Xg/edit?gid=0#gid=0"",""Information!B5:S200""),4,0),"""")"),"")</f>
        <v/>
      </c>
      <c r="D133" s="90" t="s">
        <v>342</v>
      </c>
      <c r="E133" s="26" t="str">
        <f t="shared" si="2"/>
        <v>131/FS/2025</v>
      </c>
      <c r="F133" s="116"/>
      <c r="G133" s="116"/>
      <c r="H133" s="128" t="s">
        <v>423</v>
      </c>
      <c r="I133" s="126"/>
      <c r="J133" s="125">
        <v>0.08</v>
      </c>
      <c r="K133" s="124">
        <f t="shared" si="8"/>
        <v>0</v>
      </c>
      <c r="L133" s="126">
        <f t="shared" si="9"/>
        <v>0</v>
      </c>
      <c r="M133" s="127" t="s">
        <v>20</v>
      </c>
      <c r="N133" s="118"/>
      <c r="O133" s="55"/>
      <c r="P133" s="53"/>
      <c r="Q133" s="55"/>
      <c r="R133" s="49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</row>
    <row r="134" spans="1:41" ht="27.6" x14ac:dyDescent="0.25">
      <c r="A134" s="22">
        <f t="shared" si="12"/>
        <v>131</v>
      </c>
      <c r="B134" s="129" t="s">
        <v>168</v>
      </c>
      <c r="C134" s="24" t="str">
        <f ca="1">IFERROR(__xludf.DUMMYFUNCTION("IFERROR(VLOOKUP(B134,IMPORTRANGE(""https://docs.google.com/spreadsheets/d/1Hr4i_97qtgRe-bfuRbVkLVmXa34m06T7R6IJCbq42Xg/edit?gid=0#gid=0"",""Information!B5:S200""),4,0),"""")"),"")</f>
        <v/>
      </c>
      <c r="D134" s="90" t="s">
        <v>343</v>
      </c>
      <c r="E134" s="26" t="str">
        <f t="shared" si="2"/>
        <v>132/FS/2025</v>
      </c>
      <c r="F134" s="116"/>
      <c r="G134" s="116"/>
      <c r="H134" s="128" t="s">
        <v>423</v>
      </c>
      <c r="I134" s="126"/>
      <c r="J134" s="125">
        <v>0.08</v>
      </c>
      <c r="K134" s="124">
        <f t="shared" si="8"/>
        <v>0</v>
      </c>
      <c r="L134" s="126">
        <f t="shared" si="9"/>
        <v>0</v>
      </c>
      <c r="M134" s="127" t="s">
        <v>20</v>
      </c>
      <c r="N134" s="118"/>
      <c r="O134" s="55"/>
      <c r="P134" s="53"/>
      <c r="Q134" s="55"/>
      <c r="R134" s="49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</row>
    <row r="135" spans="1:41" ht="27.6" x14ac:dyDescent="0.25">
      <c r="A135" s="22">
        <f>IF(D135="","",SUBTOTAL(3,$D$4:D137))</f>
        <v>134</v>
      </c>
      <c r="B135" s="129" t="s">
        <v>205</v>
      </c>
      <c r="C135" s="24" t="str">
        <f ca="1">IFERROR(__xludf.DUMMYFUNCTION("IFERROR(VLOOKUP(B135,IMPORTRANGE(""https://docs.google.com/spreadsheets/d/1Hr4i_97qtgRe-bfuRbVkLVmXa34m06T7R6IJCbq42Xg/edit?gid=0#gid=0"",""Information!B5:S200""),4,0),"""")"),"")</f>
        <v/>
      </c>
      <c r="D135" s="90" t="s">
        <v>344</v>
      </c>
      <c r="E135" s="26" t="str">
        <f t="shared" si="2"/>
        <v>133/FS/2025</v>
      </c>
      <c r="F135" s="116"/>
      <c r="G135" s="131">
        <v>45909</v>
      </c>
      <c r="H135" s="128" t="s">
        <v>423</v>
      </c>
      <c r="I135" s="124">
        <v>3000000</v>
      </c>
      <c r="J135" s="125">
        <v>0.08</v>
      </c>
      <c r="K135" s="124">
        <f t="shared" si="8"/>
        <v>240000</v>
      </c>
      <c r="L135" s="126">
        <f t="shared" si="9"/>
        <v>3240000</v>
      </c>
      <c r="M135" s="127" t="s">
        <v>20</v>
      </c>
      <c r="N135" s="118"/>
      <c r="O135" s="55"/>
      <c r="P135" s="53"/>
      <c r="Q135" s="55"/>
      <c r="R135" s="49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</row>
    <row r="136" spans="1:41" ht="27.6" x14ac:dyDescent="0.25">
      <c r="A136" s="22">
        <f t="shared" ref="A136:A282" si="13">IF(D136="","",SUBTOTAL(3,$D$4:D136))</f>
        <v>133</v>
      </c>
      <c r="B136" s="129" t="s">
        <v>164</v>
      </c>
      <c r="C136" s="24" t="str">
        <f ca="1">IFERROR(__xludf.DUMMYFUNCTION("IFERROR(VLOOKUP(B136,IMPORTRANGE(""https://docs.google.com/spreadsheets/d/1Hr4i_97qtgRe-bfuRbVkLVmXa34m06T7R6IJCbq42Xg/edit?gid=0#gid=0"",""Information!B5:S200""),4,0),"""")"),"")</f>
        <v/>
      </c>
      <c r="D136" s="90" t="s">
        <v>345</v>
      </c>
      <c r="E136" s="26" t="str">
        <f t="shared" si="2"/>
        <v>134/FS/2025</v>
      </c>
      <c r="F136" s="116"/>
      <c r="G136" s="116"/>
      <c r="H136" s="128" t="s">
        <v>410</v>
      </c>
      <c r="I136" s="124">
        <v>5500000</v>
      </c>
      <c r="J136" s="125">
        <v>0.08</v>
      </c>
      <c r="K136" s="124">
        <f t="shared" si="8"/>
        <v>440000</v>
      </c>
      <c r="L136" s="126">
        <f t="shared" si="9"/>
        <v>5940000</v>
      </c>
      <c r="M136" s="127" t="s">
        <v>20</v>
      </c>
      <c r="N136" s="118"/>
      <c r="O136" s="55"/>
      <c r="P136" s="53"/>
      <c r="Q136" s="55"/>
      <c r="R136" s="49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</row>
    <row r="137" spans="1:41" ht="55.2" x14ac:dyDescent="0.25">
      <c r="A137" s="22">
        <f t="shared" si="13"/>
        <v>134</v>
      </c>
      <c r="B137" s="129" t="s">
        <v>166</v>
      </c>
      <c r="C137" s="24" t="str">
        <f ca="1">IFERROR(__xludf.DUMMYFUNCTION("IFERROR(VLOOKUP(B137,IMPORTRANGE(""https://docs.google.com/spreadsheets/d/1Hr4i_97qtgRe-bfuRbVkLVmXa34m06T7R6IJCbq42Xg/edit?gid=0#gid=0"",""Information!B5:S200""),4,0),"""")"),"")</f>
        <v/>
      </c>
      <c r="D137" s="90" t="s">
        <v>346</v>
      </c>
      <c r="E137" s="26" t="str">
        <f t="shared" si="2"/>
        <v>135/FS/2025</v>
      </c>
      <c r="F137" s="116"/>
      <c r="G137" s="131">
        <v>45909</v>
      </c>
      <c r="H137" s="128" t="s">
        <v>448</v>
      </c>
      <c r="I137" s="124">
        <v>14500000</v>
      </c>
      <c r="J137" s="125">
        <v>0.08</v>
      </c>
      <c r="K137" s="124">
        <f t="shared" si="8"/>
        <v>1160000</v>
      </c>
      <c r="L137" s="126">
        <f t="shared" si="9"/>
        <v>15660000</v>
      </c>
      <c r="M137" s="127" t="s">
        <v>20</v>
      </c>
      <c r="N137" s="118"/>
      <c r="O137" s="55"/>
      <c r="P137" s="53"/>
      <c r="Q137" s="55"/>
      <c r="R137" s="49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</row>
    <row r="138" spans="1:41" ht="27.6" x14ac:dyDescent="0.25">
      <c r="A138" s="22">
        <f t="shared" si="13"/>
        <v>135</v>
      </c>
      <c r="B138" s="129" t="s">
        <v>128</v>
      </c>
      <c r="C138" s="24" t="str">
        <f ca="1">IFERROR(__xludf.DUMMYFUNCTION("IFERROR(VLOOKUP(B138,IMPORTRANGE(""https://docs.google.com/spreadsheets/d/1Hr4i_97qtgRe-bfuRbVkLVmXa34m06T7R6IJCbq42Xg/edit?gid=0#gid=0"",""Information!B5:S200""),4,0),"""")"),"")</f>
        <v/>
      </c>
      <c r="D138" s="90" t="s">
        <v>347</v>
      </c>
      <c r="E138" s="26" t="str">
        <f t="shared" si="2"/>
        <v>136/FS/2025</v>
      </c>
      <c r="F138" s="116"/>
      <c r="G138" s="131">
        <v>45904</v>
      </c>
      <c r="H138" s="128" t="s">
        <v>449</v>
      </c>
      <c r="I138" s="124">
        <v>4000000</v>
      </c>
      <c r="J138" s="125">
        <v>0.08</v>
      </c>
      <c r="K138" s="124">
        <f t="shared" si="8"/>
        <v>320000</v>
      </c>
      <c r="L138" s="126">
        <f t="shared" si="9"/>
        <v>4320000</v>
      </c>
      <c r="M138" s="127" t="s">
        <v>20</v>
      </c>
      <c r="N138" s="118"/>
      <c r="O138" s="55"/>
      <c r="P138" s="53"/>
      <c r="Q138" s="55"/>
      <c r="R138" s="49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</row>
    <row r="139" spans="1:41" ht="27.6" x14ac:dyDescent="0.25">
      <c r="A139" s="22">
        <f t="shared" si="13"/>
        <v>136</v>
      </c>
      <c r="B139" s="132" t="s">
        <v>50</v>
      </c>
      <c r="C139" s="24" t="str">
        <f ca="1">IFERROR(__xludf.DUMMYFUNCTION("IFERROR(VLOOKUP(B139,IMPORTRANGE(""https://docs.google.com/spreadsheets/d/1Hr4i_97qtgRe-bfuRbVkLVmXa34m06T7R6IJCbq42Xg/edit?gid=0#gid=0"",""Information!B5:S200""),4,0),"""")"),"")</f>
        <v/>
      </c>
      <c r="D139" s="133" t="s">
        <v>348</v>
      </c>
      <c r="E139" s="26" t="str">
        <f t="shared" si="2"/>
        <v>137/FS/2025</v>
      </c>
      <c r="F139" s="134"/>
      <c r="G139" s="135">
        <v>45912</v>
      </c>
      <c r="H139" s="36" t="s">
        <v>450</v>
      </c>
      <c r="I139" s="124">
        <v>6000000</v>
      </c>
      <c r="J139" s="125">
        <v>0.08</v>
      </c>
      <c r="K139" s="124">
        <f t="shared" si="8"/>
        <v>480000</v>
      </c>
      <c r="L139" s="126">
        <f t="shared" si="9"/>
        <v>6480000</v>
      </c>
      <c r="M139" s="127" t="s">
        <v>20</v>
      </c>
      <c r="N139" s="118"/>
      <c r="O139" s="55"/>
      <c r="P139" s="53"/>
      <c r="Q139" s="55"/>
      <c r="R139" s="49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</row>
    <row r="140" spans="1:41" ht="41.4" x14ac:dyDescent="0.25">
      <c r="A140" s="22">
        <f t="shared" si="13"/>
        <v>137</v>
      </c>
      <c r="B140" s="129" t="s">
        <v>160</v>
      </c>
      <c r="C140" s="24" t="str">
        <f ca="1">IFERROR(__xludf.DUMMYFUNCTION("IFERROR(VLOOKUP(B140,IMPORTRANGE(""https://docs.google.com/spreadsheets/d/1Hr4i_97qtgRe-bfuRbVkLVmXa34m06T7R6IJCbq42Xg/edit?gid=0#gid=0"",""Information!B5:S200""),4,0),"""")"),"")</f>
        <v/>
      </c>
      <c r="D140" s="90" t="s">
        <v>349</v>
      </c>
      <c r="E140" s="26" t="str">
        <f t="shared" si="2"/>
        <v>138/FS/2025</v>
      </c>
      <c r="F140" s="116"/>
      <c r="G140" s="131">
        <v>45940</v>
      </c>
      <c r="H140" s="128" t="s">
        <v>451</v>
      </c>
      <c r="I140" s="124">
        <v>2000000</v>
      </c>
      <c r="J140" s="125">
        <v>0.08</v>
      </c>
      <c r="K140" s="124">
        <f t="shared" si="8"/>
        <v>160000</v>
      </c>
      <c r="L140" s="126">
        <f t="shared" si="9"/>
        <v>2160000</v>
      </c>
      <c r="M140" s="127" t="s">
        <v>20</v>
      </c>
      <c r="N140" s="118"/>
      <c r="O140" s="55"/>
      <c r="P140" s="53"/>
      <c r="Q140" s="55"/>
      <c r="R140" s="49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</row>
    <row r="141" spans="1:41" ht="55.2" x14ac:dyDescent="0.25">
      <c r="A141" s="22">
        <f t="shared" si="13"/>
        <v>138</v>
      </c>
      <c r="B141" s="129" t="s">
        <v>108</v>
      </c>
      <c r="C141" s="24" t="str">
        <f ca="1">IFERROR(__xludf.DUMMYFUNCTION("IFERROR(VLOOKUP(B141,IMPORTRANGE(""https://docs.google.com/spreadsheets/d/1Hr4i_97qtgRe-bfuRbVkLVmXa34m06T7R6IJCbq42Xg/edit?gid=0#gid=0"",""Information!B5:S200""),4,0),"""")"),"")</f>
        <v/>
      </c>
      <c r="D141" s="90" t="s">
        <v>350</v>
      </c>
      <c r="E141" s="26" t="str">
        <f t="shared" si="2"/>
        <v>139/FS/2025</v>
      </c>
      <c r="F141" s="116"/>
      <c r="G141" s="131">
        <v>45939</v>
      </c>
      <c r="H141" s="136" t="s">
        <v>452</v>
      </c>
      <c r="I141" s="124">
        <v>5311668</v>
      </c>
      <c r="J141" s="125">
        <v>0.1</v>
      </c>
      <c r="K141" s="124">
        <f t="shared" si="8"/>
        <v>531166.80000000005</v>
      </c>
      <c r="L141" s="126">
        <f t="shared" si="9"/>
        <v>5842834.7999999998</v>
      </c>
      <c r="M141" s="127" t="s">
        <v>20</v>
      </c>
      <c r="N141" s="118"/>
      <c r="O141" s="55"/>
      <c r="P141" s="53"/>
      <c r="Q141" s="55"/>
      <c r="R141" s="49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</row>
    <row r="142" spans="1:41" ht="27.6" x14ac:dyDescent="0.25">
      <c r="A142" s="22">
        <f t="shared" si="13"/>
        <v>139</v>
      </c>
      <c r="B142" s="129" t="s">
        <v>132</v>
      </c>
      <c r="C142" s="24" t="str">
        <f ca="1">IFERROR(__xludf.DUMMYFUNCTION("IFERROR(VLOOKUP(B142,IMPORTRANGE(""https://docs.google.com/spreadsheets/d/1Hr4i_97qtgRe-bfuRbVkLVmXa34m06T7R6IJCbq42Xg/edit?gid=0#gid=0"",""Information!B5:S200""),4,0),"""")"),"")</f>
        <v/>
      </c>
      <c r="D142" s="90" t="s">
        <v>351</v>
      </c>
      <c r="E142" s="26" t="str">
        <f t="shared" si="2"/>
        <v>140/FS/2025</v>
      </c>
      <c r="F142" s="116"/>
      <c r="G142" s="131">
        <v>45948</v>
      </c>
      <c r="H142" s="128" t="s">
        <v>453</v>
      </c>
      <c r="I142" s="124">
        <v>6500000</v>
      </c>
      <c r="J142" s="125">
        <v>0.08</v>
      </c>
      <c r="K142" s="124">
        <f t="shared" si="8"/>
        <v>520000</v>
      </c>
      <c r="L142" s="126">
        <f t="shared" si="9"/>
        <v>7020000</v>
      </c>
      <c r="M142" s="127" t="s">
        <v>20</v>
      </c>
      <c r="N142" s="118"/>
      <c r="O142" s="55"/>
      <c r="P142" s="53"/>
      <c r="Q142" s="55"/>
      <c r="R142" s="49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</row>
    <row r="143" spans="1:41" ht="27.6" x14ac:dyDescent="0.25">
      <c r="A143" s="22">
        <f t="shared" si="13"/>
        <v>140</v>
      </c>
      <c r="B143" s="129" t="s">
        <v>21</v>
      </c>
      <c r="C143" s="24" t="str">
        <f ca="1">IFERROR(__xludf.DUMMYFUNCTION("IFERROR(VLOOKUP(B143,IMPORTRANGE(""https://docs.google.com/spreadsheets/d/1Hr4i_97qtgRe-bfuRbVkLVmXa34m06T7R6IJCbq42Xg/edit?gid=0#gid=0"",""Information!B5:S200""),4,0),"""")"),"")</f>
        <v/>
      </c>
      <c r="D143" s="90" t="s">
        <v>352</v>
      </c>
      <c r="E143" s="26" t="str">
        <f t="shared" si="2"/>
        <v>141/FS/2025</v>
      </c>
      <c r="F143" s="116"/>
      <c r="G143" s="131">
        <v>45947</v>
      </c>
      <c r="H143" s="136" t="s">
        <v>453</v>
      </c>
      <c r="I143" s="124">
        <v>3500000</v>
      </c>
      <c r="J143" s="125">
        <v>0.08</v>
      </c>
      <c r="K143" s="124">
        <f t="shared" si="8"/>
        <v>280000</v>
      </c>
      <c r="L143" s="126">
        <f t="shared" si="9"/>
        <v>3780000</v>
      </c>
      <c r="M143" s="127" t="s">
        <v>20</v>
      </c>
      <c r="N143" s="118"/>
      <c r="O143" s="55"/>
      <c r="P143" s="53"/>
      <c r="Q143" s="55"/>
      <c r="R143" s="49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</row>
    <row r="144" spans="1:41" ht="27.6" x14ac:dyDescent="0.25">
      <c r="A144" s="22">
        <f t="shared" si="13"/>
        <v>141</v>
      </c>
      <c r="B144" s="129" t="s">
        <v>90</v>
      </c>
      <c r="C144" s="24" t="str">
        <f ca="1">IFERROR(__xludf.DUMMYFUNCTION("IFERROR(VLOOKUP(B144,IMPORTRANGE(""https://docs.google.com/spreadsheets/d/1Hr4i_97qtgRe-bfuRbVkLVmXa34m06T7R6IJCbq42Xg/edit?gid=0#gid=0"",""Information!B5:S200""),4,0),"""")"),"")</f>
        <v/>
      </c>
      <c r="D144" s="90" t="s">
        <v>353</v>
      </c>
      <c r="E144" s="26" t="str">
        <f t="shared" si="2"/>
        <v>142/FS/2025</v>
      </c>
      <c r="F144" s="116"/>
      <c r="G144" s="131">
        <v>45944</v>
      </c>
      <c r="H144" s="136" t="s">
        <v>453</v>
      </c>
      <c r="I144" s="124">
        <v>3000000</v>
      </c>
      <c r="J144" s="125">
        <v>0.08</v>
      </c>
      <c r="K144" s="124">
        <f t="shared" si="8"/>
        <v>240000</v>
      </c>
      <c r="L144" s="126">
        <f t="shared" si="9"/>
        <v>3240000</v>
      </c>
      <c r="M144" s="127" t="s">
        <v>20</v>
      </c>
      <c r="N144" s="118"/>
      <c r="O144" s="55"/>
      <c r="P144" s="53"/>
      <c r="Q144" s="55"/>
      <c r="R144" s="49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</row>
    <row r="145" spans="1:41" ht="27.6" x14ac:dyDescent="0.25">
      <c r="A145" s="22">
        <f t="shared" si="13"/>
        <v>142</v>
      </c>
      <c r="B145" s="129" t="s">
        <v>94</v>
      </c>
      <c r="C145" s="24" t="str">
        <f ca="1">IFERROR(__xludf.DUMMYFUNCTION("IFERROR(VLOOKUP(B145,IMPORTRANGE(""https://docs.google.com/spreadsheets/d/1Hr4i_97qtgRe-bfuRbVkLVmXa34m06T7R6IJCbq42Xg/edit?gid=0#gid=0"",""Information!B5:S200""),4,0),"""")"),"")</f>
        <v/>
      </c>
      <c r="D145" s="90" t="s">
        <v>354</v>
      </c>
      <c r="E145" s="26" t="str">
        <f t="shared" si="2"/>
        <v>143/FS/2025</v>
      </c>
      <c r="F145" s="116"/>
      <c r="G145" s="131">
        <v>45940</v>
      </c>
      <c r="H145" s="136" t="s">
        <v>454</v>
      </c>
      <c r="I145" s="124">
        <v>1500000</v>
      </c>
      <c r="J145" s="125">
        <v>0.08</v>
      </c>
      <c r="K145" s="124">
        <f t="shared" si="8"/>
        <v>120000</v>
      </c>
      <c r="L145" s="126">
        <f t="shared" si="9"/>
        <v>1620000</v>
      </c>
      <c r="M145" s="127" t="s">
        <v>20</v>
      </c>
      <c r="N145" s="118"/>
      <c r="O145" s="55"/>
      <c r="P145" s="53"/>
      <c r="Q145" s="55"/>
      <c r="R145" s="49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</row>
    <row r="146" spans="1:41" ht="27.6" x14ac:dyDescent="0.25">
      <c r="A146" s="22">
        <f t="shared" si="13"/>
        <v>143</v>
      </c>
      <c r="B146" s="129" t="s">
        <v>148</v>
      </c>
      <c r="C146" s="24" t="str">
        <f ca="1">IFERROR(__xludf.DUMMYFUNCTION("IFERROR(VLOOKUP(B146,IMPORTRANGE(""https://docs.google.com/spreadsheets/d/1Hr4i_97qtgRe-bfuRbVkLVmXa34m06T7R6IJCbq42Xg/edit?gid=0#gid=0"",""Information!B5:S200""),4,0),"""")"),"")</f>
        <v/>
      </c>
      <c r="D146" s="90" t="s">
        <v>355</v>
      </c>
      <c r="E146" s="26" t="str">
        <f t="shared" si="2"/>
        <v>144/FS/2025</v>
      </c>
      <c r="F146" s="116"/>
      <c r="G146" s="131">
        <v>45940</v>
      </c>
      <c r="H146" s="136" t="s">
        <v>454</v>
      </c>
      <c r="I146" s="124">
        <v>1000000</v>
      </c>
      <c r="J146" s="125">
        <v>0.08</v>
      </c>
      <c r="K146" s="124">
        <f t="shared" si="8"/>
        <v>80000</v>
      </c>
      <c r="L146" s="126">
        <f t="shared" si="9"/>
        <v>1080000</v>
      </c>
      <c r="M146" s="127" t="s">
        <v>20</v>
      </c>
      <c r="N146" s="118"/>
      <c r="O146" s="55"/>
      <c r="P146" s="53"/>
      <c r="Q146" s="55"/>
      <c r="R146" s="49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</row>
    <row r="147" spans="1:41" ht="41.4" x14ac:dyDescent="0.25">
      <c r="A147" s="22">
        <f t="shared" si="13"/>
        <v>144</v>
      </c>
      <c r="B147" s="129" t="s">
        <v>86</v>
      </c>
      <c r="C147" s="24" t="str">
        <f ca="1">IFERROR(__xludf.DUMMYFUNCTION("IFERROR(VLOOKUP(B147,IMPORTRANGE(""https://docs.google.com/spreadsheets/d/1Hr4i_97qtgRe-bfuRbVkLVmXa34m06T7R6IJCbq42Xg/edit?gid=0#gid=0"",""Information!B5:S200""),4,0),"""")"),"")</f>
        <v/>
      </c>
      <c r="D147" s="90" t="s">
        <v>357</v>
      </c>
      <c r="E147" s="26" t="str">
        <f t="shared" si="2"/>
        <v>145/FS/2025</v>
      </c>
      <c r="F147" s="116"/>
      <c r="G147" s="131">
        <v>45940</v>
      </c>
      <c r="H147" s="136" t="s">
        <v>455</v>
      </c>
      <c r="I147" s="124">
        <v>7500000</v>
      </c>
      <c r="J147" s="125">
        <v>0.08</v>
      </c>
      <c r="K147" s="124">
        <f t="shared" si="8"/>
        <v>600000</v>
      </c>
      <c r="L147" s="126">
        <f t="shared" si="9"/>
        <v>8100000</v>
      </c>
      <c r="M147" s="127" t="s">
        <v>20</v>
      </c>
      <c r="N147" s="118"/>
      <c r="O147" s="55"/>
      <c r="P147" s="53"/>
      <c r="Q147" s="55"/>
      <c r="R147" s="49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</row>
    <row r="148" spans="1:41" ht="41.4" x14ac:dyDescent="0.25">
      <c r="A148" s="22">
        <f t="shared" si="13"/>
        <v>145</v>
      </c>
      <c r="B148" s="129" t="s">
        <v>82</v>
      </c>
      <c r="C148" s="24" t="str">
        <f ca="1">IFERROR(__xludf.DUMMYFUNCTION("IFERROR(VLOOKUP(B148,IMPORTRANGE(""https://docs.google.com/spreadsheets/d/1Hr4i_97qtgRe-bfuRbVkLVmXa34m06T7R6IJCbq42Xg/edit?gid=0#gid=0"",""Information!B5:S200""),4,0),"""")"),"")</f>
        <v/>
      </c>
      <c r="D148" s="90" t="s">
        <v>358</v>
      </c>
      <c r="E148" s="26" t="str">
        <f t="shared" si="2"/>
        <v>146/FS/2025</v>
      </c>
      <c r="F148" s="116"/>
      <c r="G148" s="131">
        <v>45940</v>
      </c>
      <c r="H148" s="136" t="s">
        <v>455</v>
      </c>
      <c r="I148" s="124">
        <v>7500000</v>
      </c>
      <c r="J148" s="125">
        <v>0.08</v>
      </c>
      <c r="K148" s="124">
        <f t="shared" si="8"/>
        <v>600000</v>
      </c>
      <c r="L148" s="126">
        <f t="shared" si="9"/>
        <v>8100000</v>
      </c>
      <c r="M148" s="127" t="s">
        <v>20</v>
      </c>
      <c r="N148" s="118"/>
      <c r="O148" s="55"/>
      <c r="P148" s="53"/>
      <c r="Q148" s="55"/>
      <c r="R148" s="49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</row>
    <row r="149" spans="1:41" ht="41.4" x14ac:dyDescent="0.25">
      <c r="A149" s="22">
        <f t="shared" si="13"/>
        <v>146</v>
      </c>
      <c r="B149" s="129" t="s">
        <v>166</v>
      </c>
      <c r="C149" s="24" t="str">
        <f ca="1">IFERROR(__xludf.DUMMYFUNCTION("IFERROR(VLOOKUP(B149,IMPORTRANGE(""https://docs.google.com/spreadsheets/d/1Hr4i_97qtgRe-bfuRbVkLVmXa34m06T7R6IJCbq42Xg/edit?gid=0#gid=0"",""Information!B5:S200""),4,0),"""")"),"")</f>
        <v/>
      </c>
      <c r="D149" s="90" t="s">
        <v>359</v>
      </c>
      <c r="E149" s="26" t="str">
        <f t="shared" si="2"/>
        <v>147/FS/2025</v>
      </c>
      <c r="F149" s="116"/>
      <c r="G149" s="131">
        <v>45940</v>
      </c>
      <c r="H149" s="136" t="s">
        <v>455</v>
      </c>
      <c r="I149" s="124">
        <v>5500000</v>
      </c>
      <c r="J149" s="125">
        <v>0.08</v>
      </c>
      <c r="K149" s="124">
        <f t="shared" si="8"/>
        <v>440000</v>
      </c>
      <c r="L149" s="126">
        <f t="shared" si="9"/>
        <v>5940000</v>
      </c>
      <c r="M149" s="127" t="s">
        <v>20</v>
      </c>
      <c r="N149" s="118"/>
      <c r="O149" s="55"/>
      <c r="P149" s="53"/>
      <c r="Q149" s="55"/>
      <c r="R149" s="49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</row>
    <row r="150" spans="1:41" ht="27.6" x14ac:dyDescent="0.25">
      <c r="A150" s="22">
        <f t="shared" si="13"/>
        <v>147</v>
      </c>
      <c r="B150" s="129" t="s">
        <v>158</v>
      </c>
      <c r="C150" s="24" t="str">
        <f ca="1">IFERROR(__xludf.DUMMYFUNCTION("IFERROR(VLOOKUP(B150,IMPORTRANGE(""https://docs.google.com/spreadsheets/d/1Hr4i_97qtgRe-bfuRbVkLVmXa34m06T7R6IJCbq42Xg/edit?gid=0#gid=0"",""Information!B5:S200""),4,0),"""")"),"")</f>
        <v/>
      </c>
      <c r="D150" s="90" t="s">
        <v>360</v>
      </c>
      <c r="E150" s="26" t="str">
        <f t="shared" si="2"/>
        <v>148/FS/2025</v>
      </c>
      <c r="F150" s="116"/>
      <c r="G150" s="131">
        <v>45941</v>
      </c>
      <c r="H150" s="93" t="s">
        <v>453</v>
      </c>
      <c r="I150" s="124">
        <v>3000000</v>
      </c>
      <c r="J150" s="125">
        <v>0.08</v>
      </c>
      <c r="K150" s="124">
        <f t="shared" si="8"/>
        <v>240000</v>
      </c>
      <c r="L150" s="126">
        <f t="shared" si="9"/>
        <v>3240000</v>
      </c>
      <c r="M150" s="127" t="s">
        <v>20</v>
      </c>
      <c r="N150" s="118"/>
      <c r="O150" s="55"/>
      <c r="P150" s="53"/>
      <c r="Q150" s="55"/>
      <c r="R150" s="49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</row>
    <row r="151" spans="1:41" ht="27.6" x14ac:dyDescent="0.25">
      <c r="A151" s="22">
        <f t="shared" si="13"/>
        <v>148</v>
      </c>
      <c r="B151" s="129" t="s">
        <v>46</v>
      </c>
      <c r="C151" s="24" t="str">
        <f ca="1">IFERROR(__xludf.DUMMYFUNCTION("IFERROR(VLOOKUP(B151,IMPORTRANGE(""https://docs.google.com/spreadsheets/d/1Hr4i_97qtgRe-bfuRbVkLVmXa34m06T7R6IJCbq42Xg/edit?gid=0#gid=0"",""Information!B5:S200""),4,0),"""")"),"")</f>
        <v/>
      </c>
      <c r="D151" s="90" t="s">
        <v>361</v>
      </c>
      <c r="E151" s="26" t="str">
        <f t="shared" si="2"/>
        <v>149/FS/2025</v>
      </c>
      <c r="F151" s="116"/>
      <c r="G151" s="131">
        <v>45943</v>
      </c>
      <c r="H151" s="93" t="s">
        <v>453</v>
      </c>
      <c r="I151" s="124">
        <v>1000000</v>
      </c>
      <c r="J151" s="125">
        <v>0.08</v>
      </c>
      <c r="K151" s="124">
        <f t="shared" si="8"/>
        <v>80000</v>
      </c>
      <c r="L151" s="126">
        <f t="shared" si="9"/>
        <v>1080000</v>
      </c>
      <c r="M151" s="127" t="s">
        <v>20</v>
      </c>
      <c r="N151" s="118"/>
      <c r="O151" s="55"/>
      <c r="P151" s="53"/>
      <c r="Q151" s="55"/>
      <c r="R151" s="49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</row>
    <row r="152" spans="1:41" ht="27.6" x14ac:dyDescent="0.25">
      <c r="A152" s="22">
        <f t="shared" si="13"/>
        <v>149</v>
      </c>
      <c r="B152" s="129" t="s">
        <v>134</v>
      </c>
      <c r="C152" s="24" t="str">
        <f ca="1">IFERROR(__xludf.DUMMYFUNCTION("IFERROR(VLOOKUP(B152,IMPORTRANGE(""https://docs.google.com/spreadsheets/d/1Hr4i_97qtgRe-bfuRbVkLVmXa34m06T7R6IJCbq42Xg/edit?gid=0#gid=0"",""Information!B5:S200""),4,0),"""")"),"")</f>
        <v/>
      </c>
      <c r="D152" s="90" t="s">
        <v>362</v>
      </c>
      <c r="E152" s="26" t="str">
        <f t="shared" si="2"/>
        <v>150/FS/2025</v>
      </c>
      <c r="F152" s="116"/>
      <c r="G152" s="131">
        <v>45943</v>
      </c>
      <c r="H152" s="93" t="s">
        <v>453</v>
      </c>
      <c r="I152" s="124">
        <v>5500000</v>
      </c>
      <c r="J152" s="125">
        <v>0.08</v>
      </c>
      <c r="K152" s="124">
        <f t="shared" si="8"/>
        <v>440000</v>
      </c>
      <c r="L152" s="126">
        <f t="shared" si="9"/>
        <v>5940000</v>
      </c>
      <c r="M152" s="127" t="s">
        <v>20</v>
      </c>
      <c r="N152" s="118"/>
      <c r="O152" s="55"/>
      <c r="P152" s="53"/>
      <c r="Q152" s="55"/>
      <c r="R152" s="49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</row>
    <row r="153" spans="1:41" ht="27.6" x14ac:dyDescent="0.25">
      <c r="A153" s="22">
        <f t="shared" si="13"/>
        <v>150</v>
      </c>
      <c r="B153" s="129" t="s">
        <v>207</v>
      </c>
      <c r="C153" s="24" t="str">
        <f ca="1">IFERROR(__xludf.DUMMYFUNCTION("IFERROR(VLOOKUP(B153,IMPORTRANGE(""https://docs.google.com/spreadsheets/d/1Hr4i_97qtgRe-bfuRbVkLVmXa34m06T7R6IJCbq42Xg/edit?gid=0#gid=0"",""Information!B5:S200""),4,0),"""")"),"")</f>
        <v/>
      </c>
      <c r="D153" s="90" t="s">
        <v>363</v>
      </c>
      <c r="E153" s="26" t="str">
        <f t="shared" si="2"/>
        <v>151/FS/2025</v>
      </c>
      <c r="F153" s="116"/>
      <c r="G153" s="131">
        <v>45945</v>
      </c>
      <c r="H153" s="93" t="s">
        <v>456</v>
      </c>
      <c r="I153" s="124">
        <v>7000000</v>
      </c>
      <c r="J153" s="125">
        <v>0.08</v>
      </c>
      <c r="K153" s="124">
        <f t="shared" si="8"/>
        <v>560000</v>
      </c>
      <c r="L153" s="126">
        <f t="shared" si="9"/>
        <v>7560000</v>
      </c>
      <c r="M153" s="127" t="s">
        <v>20</v>
      </c>
      <c r="N153" s="118"/>
      <c r="O153" s="55"/>
      <c r="P153" s="53"/>
      <c r="Q153" s="55"/>
      <c r="R153" s="49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</row>
    <row r="154" spans="1:41" ht="13.8" x14ac:dyDescent="0.25">
      <c r="A154" s="22">
        <f t="shared" si="13"/>
        <v>151</v>
      </c>
      <c r="B154" s="129" t="s">
        <v>312</v>
      </c>
      <c r="C154" s="24" t="str">
        <f ca="1">IFERROR(__xludf.DUMMYFUNCTION("IFERROR(VLOOKUP(B154,IMPORTRANGE(""https://docs.google.com/spreadsheets/d/1Hr4i_97qtgRe-bfuRbVkLVmXa34m06T7R6IJCbq42Xg/edit?gid=0#gid=0"",""Information!B5:S200""),4,0),"""")"),"")</f>
        <v/>
      </c>
      <c r="D154" s="90" t="s">
        <v>364</v>
      </c>
      <c r="E154" s="26" t="str">
        <f t="shared" si="2"/>
        <v>152/FS/2025</v>
      </c>
      <c r="F154" s="116"/>
      <c r="G154" s="131">
        <v>45945</v>
      </c>
      <c r="H154" s="136" t="s">
        <v>457</v>
      </c>
      <c r="I154" s="124">
        <v>1552500</v>
      </c>
      <c r="J154" s="125">
        <v>0.1</v>
      </c>
      <c r="K154" s="124">
        <f t="shared" si="8"/>
        <v>155250</v>
      </c>
      <c r="L154" s="126">
        <f t="shared" si="9"/>
        <v>1707750</v>
      </c>
      <c r="M154" s="127" t="s">
        <v>20</v>
      </c>
      <c r="N154" s="118"/>
      <c r="O154" s="55"/>
      <c r="P154" s="53"/>
      <c r="Q154" s="55"/>
      <c r="R154" s="49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</row>
    <row r="155" spans="1:41" ht="13.8" x14ac:dyDescent="0.25">
      <c r="A155" s="22">
        <f t="shared" si="13"/>
        <v>152</v>
      </c>
      <c r="B155" s="129" t="s">
        <v>311</v>
      </c>
      <c r="C155" s="24" t="str">
        <f ca="1">IFERROR(__xludf.DUMMYFUNCTION("IFERROR(VLOOKUP(B155,IMPORTRANGE(""https://docs.google.com/spreadsheets/d/1Hr4i_97qtgRe-bfuRbVkLVmXa34m06T7R6IJCbq42Xg/edit?gid=0#gid=0"",""Information!B5:S200""),4,0),"""")"),"")</f>
        <v/>
      </c>
      <c r="D155" s="90" t="s">
        <v>365</v>
      </c>
      <c r="E155" s="26" t="str">
        <f t="shared" si="2"/>
        <v>153/FS/2025</v>
      </c>
      <c r="F155" s="116"/>
      <c r="G155" s="131">
        <v>45945</v>
      </c>
      <c r="H155" s="136" t="s">
        <v>457</v>
      </c>
      <c r="I155" s="124">
        <v>1552500</v>
      </c>
      <c r="J155" s="125">
        <v>0.1</v>
      </c>
      <c r="K155" s="124">
        <f t="shared" si="8"/>
        <v>155250</v>
      </c>
      <c r="L155" s="126">
        <f t="shared" si="9"/>
        <v>1707750</v>
      </c>
      <c r="M155" s="127" t="s">
        <v>20</v>
      </c>
      <c r="N155" s="118"/>
      <c r="O155" s="55"/>
      <c r="P155" s="53"/>
      <c r="Q155" s="55"/>
      <c r="R155" s="49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</row>
    <row r="156" spans="1:41" ht="55.2" x14ac:dyDescent="0.25">
      <c r="A156" s="22">
        <f t="shared" si="13"/>
        <v>153</v>
      </c>
      <c r="B156" s="129" t="s">
        <v>50</v>
      </c>
      <c r="C156" s="24" t="str">
        <f ca="1">IFERROR(__xludf.DUMMYFUNCTION("IFERROR(VLOOKUP(B156,IMPORTRANGE(""https://docs.google.com/spreadsheets/d/1Hr4i_97qtgRe-bfuRbVkLVmXa34m06T7R6IJCbq42Xg/edit?gid=0#gid=0"",""Information!B5:S200""),4,0),"""")"),"")</f>
        <v/>
      </c>
      <c r="D156" s="90" t="s">
        <v>366</v>
      </c>
      <c r="E156" s="26" t="str">
        <f t="shared" si="2"/>
        <v>154/FS/2025</v>
      </c>
      <c r="F156" s="116"/>
      <c r="G156" s="131">
        <v>45945</v>
      </c>
      <c r="H156" s="136" t="s">
        <v>458</v>
      </c>
      <c r="I156" s="124">
        <v>8000000</v>
      </c>
      <c r="J156" s="125">
        <v>0.08</v>
      </c>
      <c r="K156" s="124">
        <f t="shared" si="8"/>
        <v>640000</v>
      </c>
      <c r="L156" s="126">
        <f t="shared" si="9"/>
        <v>8640000</v>
      </c>
      <c r="M156" s="127" t="s">
        <v>20</v>
      </c>
      <c r="N156" s="118"/>
      <c r="O156" s="55"/>
      <c r="P156" s="53"/>
      <c r="Q156" s="55"/>
      <c r="R156" s="49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</row>
    <row r="157" spans="1:41" ht="55.2" x14ac:dyDescent="0.25">
      <c r="A157" s="22">
        <f t="shared" si="13"/>
        <v>154</v>
      </c>
      <c r="B157" s="129" t="s">
        <v>44</v>
      </c>
      <c r="C157" s="24" t="str">
        <f ca="1">IFERROR(__xludf.DUMMYFUNCTION("IFERROR(VLOOKUP(B157,IMPORTRANGE(""https://docs.google.com/spreadsheets/d/1Hr4i_97qtgRe-bfuRbVkLVmXa34m06T7R6IJCbq42Xg/edit?gid=0#gid=0"",""Information!B5:S200""),4,0),"""")"),"")</f>
        <v/>
      </c>
      <c r="D157" s="90" t="s">
        <v>367</v>
      </c>
      <c r="E157" s="26" t="str">
        <f t="shared" si="2"/>
        <v>155/FS/2025</v>
      </c>
      <c r="F157" s="116"/>
      <c r="G157" s="131">
        <v>45960</v>
      </c>
      <c r="H157" s="93" t="s">
        <v>459</v>
      </c>
      <c r="I157" s="124">
        <v>10000000</v>
      </c>
      <c r="J157" s="125">
        <v>0.08</v>
      </c>
      <c r="K157" s="124">
        <f t="shared" si="8"/>
        <v>800000</v>
      </c>
      <c r="L157" s="126">
        <f t="shared" si="9"/>
        <v>10800000</v>
      </c>
      <c r="M157" s="127" t="s">
        <v>20</v>
      </c>
      <c r="N157" s="118"/>
      <c r="O157" s="55"/>
      <c r="P157" s="53"/>
      <c r="Q157" s="55"/>
      <c r="R157" s="49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</row>
    <row r="158" spans="1:41" ht="55.2" x14ac:dyDescent="0.25">
      <c r="A158" s="22">
        <f t="shared" si="13"/>
        <v>155</v>
      </c>
      <c r="B158" s="129" t="s">
        <v>184</v>
      </c>
      <c r="C158" s="24" t="str">
        <f ca="1">IFERROR(__xludf.DUMMYFUNCTION("IFERROR(VLOOKUP(B158,IMPORTRANGE(""https://docs.google.com/spreadsheets/d/1Hr4i_97qtgRe-bfuRbVkLVmXa34m06T7R6IJCbq42Xg/edit?gid=0#gid=0"",""Information!B5:S200""),4,0),"""")"),"")</f>
        <v/>
      </c>
      <c r="D158" s="90" t="s">
        <v>368</v>
      </c>
      <c r="E158" s="26" t="str">
        <f t="shared" si="2"/>
        <v>156/FS/2025</v>
      </c>
      <c r="F158" s="116"/>
      <c r="G158" s="131">
        <v>45960</v>
      </c>
      <c r="H158" s="93" t="s">
        <v>459</v>
      </c>
      <c r="I158" s="124">
        <v>10000000</v>
      </c>
      <c r="J158" s="125">
        <v>0.08</v>
      </c>
      <c r="K158" s="124">
        <f t="shared" si="8"/>
        <v>800000</v>
      </c>
      <c r="L158" s="126">
        <f t="shared" si="9"/>
        <v>10800000</v>
      </c>
      <c r="M158" s="127" t="s">
        <v>20</v>
      </c>
      <c r="N158" s="118"/>
      <c r="O158" s="55"/>
      <c r="P158" s="53"/>
      <c r="Q158" s="55"/>
      <c r="R158" s="49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</row>
    <row r="159" spans="1:41" ht="27.6" x14ac:dyDescent="0.25">
      <c r="A159" s="22">
        <f t="shared" si="13"/>
        <v>156</v>
      </c>
      <c r="B159" s="129" t="s">
        <v>62</v>
      </c>
      <c r="C159" s="24" t="str">
        <f ca="1">IFERROR(__xludf.DUMMYFUNCTION("IFERROR(VLOOKUP(B159,IMPORTRANGE(""https://docs.google.com/spreadsheets/d/1Hr4i_97qtgRe-bfuRbVkLVmXa34m06T7R6IJCbq42Xg/edit?gid=0#gid=0"",""Information!B5:S200""),4,0),"""")"),"")</f>
        <v/>
      </c>
      <c r="D159" s="90" t="s">
        <v>369</v>
      </c>
      <c r="E159" s="26" t="str">
        <f t="shared" si="2"/>
        <v>157/FS/2025</v>
      </c>
      <c r="F159" s="116"/>
      <c r="G159" s="131">
        <v>45947</v>
      </c>
      <c r="H159" s="93" t="s">
        <v>453</v>
      </c>
      <c r="I159" s="124">
        <v>3500000</v>
      </c>
      <c r="J159" s="125">
        <v>0.08</v>
      </c>
      <c r="K159" s="124">
        <f t="shared" si="8"/>
        <v>280000</v>
      </c>
      <c r="L159" s="126">
        <f t="shared" si="9"/>
        <v>3780000</v>
      </c>
      <c r="M159" s="127" t="s">
        <v>20</v>
      </c>
      <c r="N159" s="118"/>
      <c r="O159" s="55"/>
      <c r="P159" s="53"/>
      <c r="Q159" s="55"/>
      <c r="R159" s="49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</row>
    <row r="160" spans="1:41" ht="27.6" x14ac:dyDescent="0.25">
      <c r="A160" s="22">
        <f t="shared" si="13"/>
        <v>157</v>
      </c>
      <c r="B160" s="129" t="s">
        <v>68</v>
      </c>
      <c r="C160" s="24" t="str">
        <f ca="1">IFERROR(__xludf.DUMMYFUNCTION("IFERROR(VLOOKUP(B160,IMPORTRANGE(""https://docs.google.com/spreadsheets/d/1Hr4i_97qtgRe-bfuRbVkLVmXa34m06T7R6IJCbq42Xg/edit?gid=0#gid=0"",""Information!B5:S200""),4,0),"""")"),"")</f>
        <v/>
      </c>
      <c r="D160" s="90" t="s">
        <v>370</v>
      </c>
      <c r="E160" s="26" t="str">
        <f t="shared" si="2"/>
        <v>158/FS/2025</v>
      </c>
      <c r="F160" s="116"/>
      <c r="G160" s="131">
        <v>45947</v>
      </c>
      <c r="H160" s="93" t="s">
        <v>453</v>
      </c>
      <c r="I160" s="124">
        <v>7000000</v>
      </c>
      <c r="J160" s="125">
        <v>0.08</v>
      </c>
      <c r="K160" s="124">
        <f t="shared" si="8"/>
        <v>560000</v>
      </c>
      <c r="L160" s="126">
        <f t="shared" si="9"/>
        <v>7560000</v>
      </c>
      <c r="M160" s="127" t="s">
        <v>20</v>
      </c>
      <c r="N160" s="118"/>
      <c r="O160" s="55"/>
      <c r="P160" s="53"/>
      <c r="Q160" s="55"/>
      <c r="R160" s="49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</row>
    <row r="161" spans="1:41" ht="27.6" x14ac:dyDescent="0.25">
      <c r="A161" s="22">
        <f t="shared" si="13"/>
        <v>158</v>
      </c>
      <c r="B161" s="129" t="s">
        <v>48</v>
      </c>
      <c r="C161" s="24" t="str">
        <f ca="1">IFERROR(__xludf.DUMMYFUNCTION("IFERROR(VLOOKUP(B161,IMPORTRANGE(""https://docs.google.com/spreadsheets/d/1Hr4i_97qtgRe-bfuRbVkLVmXa34m06T7R6IJCbq42Xg/edit?gid=0#gid=0"",""Information!B5:S200""),4,0),"""")"),"")</f>
        <v/>
      </c>
      <c r="D161" s="90" t="s">
        <v>371</v>
      </c>
      <c r="E161" s="26" t="str">
        <f t="shared" si="2"/>
        <v>159/FS/2025</v>
      </c>
      <c r="F161" s="116"/>
      <c r="G161" s="131">
        <v>45947</v>
      </c>
      <c r="H161" s="93" t="s">
        <v>453</v>
      </c>
      <c r="I161" s="124">
        <v>3000000</v>
      </c>
      <c r="J161" s="125">
        <v>0.08</v>
      </c>
      <c r="K161" s="124">
        <f t="shared" si="8"/>
        <v>240000</v>
      </c>
      <c r="L161" s="126">
        <f t="shared" si="9"/>
        <v>3240000</v>
      </c>
      <c r="M161" s="127" t="s">
        <v>20</v>
      </c>
      <c r="N161" s="118"/>
      <c r="O161" s="55"/>
      <c r="P161" s="53"/>
      <c r="Q161" s="55"/>
      <c r="R161" s="49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</row>
    <row r="162" spans="1:41" ht="27.6" x14ac:dyDescent="0.25">
      <c r="A162" s="22">
        <f t="shared" si="13"/>
        <v>159</v>
      </c>
      <c r="B162" s="129" t="s">
        <v>205</v>
      </c>
      <c r="C162" s="24" t="str">
        <f ca="1">IFERROR(__xludf.DUMMYFUNCTION("IFERROR(VLOOKUP(B162,IMPORTRANGE(""https://docs.google.com/spreadsheets/d/1Hr4i_97qtgRe-bfuRbVkLVmXa34m06T7R6IJCbq42Xg/edit?gid=0#gid=0"",""Information!B5:S200""),4,0),"""")"),"")</f>
        <v/>
      </c>
      <c r="D162" s="90" t="s">
        <v>372</v>
      </c>
      <c r="E162" s="26" t="str">
        <f t="shared" si="2"/>
        <v>160/FS/2025</v>
      </c>
      <c r="F162" s="116"/>
      <c r="G162" s="131">
        <v>45947</v>
      </c>
      <c r="H162" s="93" t="s">
        <v>453</v>
      </c>
      <c r="I162" s="124">
        <v>4000000</v>
      </c>
      <c r="J162" s="125">
        <v>0.08</v>
      </c>
      <c r="K162" s="124">
        <f t="shared" si="8"/>
        <v>320000</v>
      </c>
      <c r="L162" s="126">
        <f t="shared" si="9"/>
        <v>4320000</v>
      </c>
      <c r="M162" s="127" t="s">
        <v>20</v>
      </c>
      <c r="N162" s="118"/>
      <c r="O162" s="55"/>
      <c r="P162" s="53"/>
      <c r="Q162" s="55"/>
      <c r="R162" s="49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</row>
    <row r="163" spans="1:41" ht="27.6" x14ac:dyDescent="0.25">
      <c r="A163" s="22">
        <f t="shared" si="13"/>
        <v>160</v>
      </c>
      <c r="B163" s="129" t="s">
        <v>104</v>
      </c>
      <c r="C163" s="24" t="str">
        <f ca="1">IFERROR(__xludf.DUMMYFUNCTION("IFERROR(VLOOKUP(B163,IMPORTRANGE(""https://docs.google.com/spreadsheets/d/1Hr4i_97qtgRe-bfuRbVkLVmXa34m06T7R6IJCbq42Xg/edit?gid=0#gid=0"",""Information!B5:S200""),4,0),"""")"),"")</f>
        <v/>
      </c>
      <c r="D163" s="90" t="s">
        <v>373</v>
      </c>
      <c r="E163" s="26" t="str">
        <f t="shared" si="2"/>
        <v>161/FS/2025</v>
      </c>
      <c r="F163" s="116"/>
      <c r="G163" s="131">
        <v>45947</v>
      </c>
      <c r="H163" s="93" t="s">
        <v>454</v>
      </c>
      <c r="I163" s="124">
        <v>1000000</v>
      </c>
      <c r="J163" s="125">
        <v>0.08</v>
      </c>
      <c r="K163" s="124">
        <f t="shared" si="8"/>
        <v>80000</v>
      </c>
      <c r="L163" s="126">
        <f t="shared" si="9"/>
        <v>1080000</v>
      </c>
      <c r="M163" s="127" t="s">
        <v>20</v>
      </c>
      <c r="N163" s="118"/>
      <c r="O163" s="55"/>
      <c r="P163" s="53"/>
      <c r="Q163" s="55"/>
      <c r="R163" s="49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</row>
    <row r="164" spans="1:41" ht="27.6" x14ac:dyDescent="0.25">
      <c r="A164" s="22">
        <f t="shared" si="13"/>
        <v>161</v>
      </c>
      <c r="B164" s="129" t="s">
        <v>21</v>
      </c>
      <c r="C164" s="24" t="str">
        <f ca="1">IFERROR(__xludf.DUMMYFUNCTION("IFERROR(VLOOKUP(B164,IMPORTRANGE(""https://docs.google.com/spreadsheets/d/1Hr4i_97qtgRe-bfuRbVkLVmXa34m06T7R6IJCbq42Xg/edit?gid=0#gid=0"",""Information!B5:S200""),4,0),"""")"),"")</f>
        <v/>
      </c>
      <c r="D164" s="90" t="s">
        <v>374</v>
      </c>
      <c r="E164" s="26" t="str">
        <f t="shared" si="2"/>
        <v>162/FS/2025</v>
      </c>
      <c r="F164" s="116"/>
      <c r="G164" s="131">
        <v>45947</v>
      </c>
      <c r="H164" s="93" t="s">
        <v>453</v>
      </c>
      <c r="I164" s="124">
        <v>1000000</v>
      </c>
      <c r="J164" s="125">
        <v>0.08</v>
      </c>
      <c r="K164" s="124">
        <f t="shared" si="8"/>
        <v>80000</v>
      </c>
      <c r="L164" s="126">
        <f t="shared" si="9"/>
        <v>1080000</v>
      </c>
      <c r="M164" s="127" t="s">
        <v>20</v>
      </c>
      <c r="N164" s="118"/>
      <c r="O164" s="55"/>
      <c r="P164" s="53"/>
      <c r="Q164" s="55"/>
      <c r="R164" s="49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</row>
    <row r="165" spans="1:41" ht="27.6" x14ac:dyDescent="0.25">
      <c r="A165" s="22">
        <f t="shared" si="13"/>
        <v>162</v>
      </c>
      <c r="B165" s="129" t="s">
        <v>150</v>
      </c>
      <c r="C165" s="24" t="str">
        <f ca="1">IFERROR(__xludf.DUMMYFUNCTION("IFERROR(VLOOKUP(B165,IMPORTRANGE(""https://docs.google.com/spreadsheets/d/1Hr4i_97qtgRe-bfuRbVkLVmXa34m06T7R6IJCbq42Xg/edit?gid=0#gid=0"",""Information!B5:S200""),4,0),"""")"),"")</f>
        <v/>
      </c>
      <c r="D165" s="90" t="s">
        <v>375</v>
      </c>
      <c r="E165" s="26" t="str">
        <f t="shared" si="2"/>
        <v>163/FS/2025</v>
      </c>
      <c r="F165" s="116"/>
      <c r="G165" s="131">
        <v>45948</v>
      </c>
      <c r="H165" s="93" t="s">
        <v>453</v>
      </c>
      <c r="I165" s="124">
        <v>3000000</v>
      </c>
      <c r="J165" s="125">
        <v>0.08</v>
      </c>
      <c r="K165" s="124">
        <f t="shared" si="8"/>
        <v>240000</v>
      </c>
      <c r="L165" s="126">
        <f t="shared" si="9"/>
        <v>3240000</v>
      </c>
      <c r="M165" s="127" t="s">
        <v>20</v>
      </c>
      <c r="N165" s="118"/>
      <c r="O165" s="55"/>
      <c r="P165" s="53"/>
      <c r="Q165" s="55"/>
      <c r="R165" s="49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</row>
    <row r="166" spans="1:41" ht="27.6" x14ac:dyDescent="0.25">
      <c r="A166" s="22">
        <f t="shared" si="13"/>
        <v>163</v>
      </c>
      <c r="B166" s="129" t="s">
        <v>16</v>
      </c>
      <c r="C166" s="24" t="str">
        <f ca="1">IFERROR(__xludf.DUMMYFUNCTION("IFERROR(VLOOKUP(B166,IMPORTRANGE(""https://docs.google.com/spreadsheets/d/1Hr4i_97qtgRe-bfuRbVkLVmXa34m06T7R6IJCbq42Xg/edit?gid=0#gid=0"",""Information!B5:S200""),4,0),"""")"),"")</f>
        <v/>
      </c>
      <c r="D166" s="90" t="s">
        <v>376</v>
      </c>
      <c r="E166" s="26" t="str">
        <f t="shared" si="2"/>
        <v>164/FS/2025</v>
      </c>
      <c r="F166" s="116"/>
      <c r="G166" s="131">
        <v>45950</v>
      </c>
      <c r="H166" s="93" t="s">
        <v>453</v>
      </c>
      <c r="I166" s="124">
        <v>6000000</v>
      </c>
      <c r="J166" s="125">
        <v>0.08</v>
      </c>
      <c r="K166" s="124">
        <f t="shared" si="8"/>
        <v>480000</v>
      </c>
      <c r="L166" s="126">
        <f t="shared" si="9"/>
        <v>6480000</v>
      </c>
      <c r="M166" s="127" t="s">
        <v>20</v>
      </c>
      <c r="N166" s="118"/>
      <c r="O166" s="55"/>
      <c r="P166" s="53"/>
      <c r="Q166" s="55"/>
      <c r="R166" s="49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</row>
    <row r="167" spans="1:41" ht="27.6" x14ac:dyDescent="0.25">
      <c r="A167" s="22">
        <f t="shared" si="13"/>
        <v>164</v>
      </c>
      <c r="B167" s="129" t="s">
        <v>176</v>
      </c>
      <c r="C167" s="24" t="str">
        <f ca="1">IFERROR(__xludf.DUMMYFUNCTION("IFERROR(VLOOKUP(B167,IMPORTRANGE(""https://docs.google.com/spreadsheets/d/1Hr4i_97qtgRe-bfuRbVkLVmXa34m06T7R6IJCbq42Xg/edit?gid=0#gid=0"",""Information!B5:S200""),4,0),"""")"),"")</f>
        <v/>
      </c>
      <c r="D167" s="90" t="s">
        <v>377</v>
      </c>
      <c r="E167" s="26" t="str">
        <f t="shared" si="2"/>
        <v>165/FS/2025</v>
      </c>
      <c r="F167" s="116"/>
      <c r="G167" s="131">
        <v>45950</v>
      </c>
      <c r="H167" s="93" t="s">
        <v>454</v>
      </c>
      <c r="I167" s="124">
        <v>1000000</v>
      </c>
      <c r="J167" s="125">
        <v>0.08</v>
      </c>
      <c r="K167" s="124">
        <f t="shared" si="8"/>
        <v>80000</v>
      </c>
      <c r="L167" s="126">
        <f t="shared" si="9"/>
        <v>1080000</v>
      </c>
      <c r="M167" s="127" t="s">
        <v>20</v>
      </c>
      <c r="N167" s="118"/>
      <c r="O167" s="55"/>
      <c r="P167" s="53"/>
      <c r="Q167" s="55"/>
      <c r="R167" s="49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</row>
    <row r="168" spans="1:41" ht="27.6" x14ac:dyDescent="0.25">
      <c r="A168" s="22">
        <f t="shared" si="13"/>
        <v>165</v>
      </c>
      <c r="B168" s="129" t="s">
        <v>126</v>
      </c>
      <c r="C168" s="24" t="str">
        <f ca="1">IFERROR(__xludf.DUMMYFUNCTION("IFERROR(VLOOKUP(B168,IMPORTRANGE(""https://docs.google.com/spreadsheets/d/1Hr4i_97qtgRe-bfuRbVkLVmXa34m06T7R6IJCbq42Xg/edit?gid=0#gid=0"",""Information!B5:S200""),4,0),"""")"),"")</f>
        <v/>
      </c>
      <c r="D168" s="90" t="s">
        <v>378</v>
      </c>
      <c r="E168" s="26" t="str">
        <f t="shared" si="2"/>
        <v>166/FS/2025</v>
      </c>
      <c r="F168" s="116"/>
      <c r="G168" s="131">
        <v>45950</v>
      </c>
      <c r="H168" s="93" t="s">
        <v>453</v>
      </c>
      <c r="I168" s="124">
        <v>5500000</v>
      </c>
      <c r="J168" s="125">
        <v>0.08</v>
      </c>
      <c r="K168" s="124">
        <f t="shared" si="8"/>
        <v>440000</v>
      </c>
      <c r="L168" s="126">
        <f t="shared" si="9"/>
        <v>5940000</v>
      </c>
      <c r="M168" s="127" t="s">
        <v>20</v>
      </c>
      <c r="N168" s="118"/>
      <c r="O168" s="55"/>
      <c r="P168" s="53"/>
      <c r="Q168" s="55"/>
      <c r="R168" s="49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</row>
    <row r="169" spans="1:41" ht="41.4" x14ac:dyDescent="0.25">
      <c r="A169" s="22">
        <f t="shared" si="13"/>
        <v>166</v>
      </c>
      <c r="B169" s="129" t="s">
        <v>128</v>
      </c>
      <c r="C169" s="24" t="str">
        <f ca="1">IFERROR(__xludf.DUMMYFUNCTION("IFERROR(VLOOKUP(B169,IMPORTRANGE(""https://docs.google.com/spreadsheets/d/1Hr4i_97qtgRe-bfuRbVkLVmXa34m06T7R6IJCbq42Xg/edit?gid=0#gid=0"",""Information!B5:S200""),4,0),"""")"),"")</f>
        <v/>
      </c>
      <c r="D169" s="90" t="s">
        <v>380</v>
      </c>
      <c r="E169" s="26" t="str">
        <f t="shared" si="2"/>
        <v>167/FS/2025</v>
      </c>
      <c r="F169" s="116"/>
      <c r="G169" s="131">
        <v>45950</v>
      </c>
      <c r="H169" s="128" t="s">
        <v>460</v>
      </c>
      <c r="I169" s="124">
        <v>4000000</v>
      </c>
      <c r="J169" s="125">
        <v>0.08</v>
      </c>
      <c r="K169" s="124">
        <f t="shared" si="8"/>
        <v>320000</v>
      </c>
      <c r="L169" s="126">
        <f t="shared" si="9"/>
        <v>4320000</v>
      </c>
      <c r="M169" s="127" t="s">
        <v>20</v>
      </c>
      <c r="N169" s="118"/>
      <c r="O169" s="55"/>
      <c r="P169" s="53"/>
      <c r="Q169" s="55"/>
      <c r="R169" s="49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</row>
    <row r="170" spans="1:41" ht="27.6" x14ac:dyDescent="0.25">
      <c r="A170" s="22">
        <f t="shared" si="13"/>
        <v>167</v>
      </c>
      <c r="B170" s="129" t="s">
        <v>172</v>
      </c>
      <c r="C170" s="24" t="str">
        <f ca="1">IFERROR(__xludf.DUMMYFUNCTION("IFERROR(VLOOKUP(B170,IMPORTRANGE(""https://docs.google.com/spreadsheets/d/1Hr4i_97qtgRe-bfuRbVkLVmXa34m06T7R6IJCbq42Xg/edit?gid=0#gid=0"",""Information!B5:S200""),4,0),"""")"),"")</f>
        <v/>
      </c>
      <c r="D170" s="90" t="s">
        <v>381</v>
      </c>
      <c r="E170" s="26" t="str">
        <f t="shared" si="2"/>
        <v>168/FS/2025</v>
      </c>
      <c r="F170" s="116"/>
      <c r="G170" s="131">
        <v>45951</v>
      </c>
      <c r="H170" s="93" t="s">
        <v>453</v>
      </c>
      <c r="I170" s="124">
        <v>3000000</v>
      </c>
      <c r="J170" s="125">
        <v>0.08</v>
      </c>
      <c r="K170" s="124">
        <f t="shared" si="8"/>
        <v>240000</v>
      </c>
      <c r="L170" s="126">
        <f t="shared" si="9"/>
        <v>3240000</v>
      </c>
      <c r="M170" s="127" t="s">
        <v>20</v>
      </c>
      <c r="N170" s="118"/>
      <c r="O170" s="55"/>
      <c r="P170" s="53"/>
      <c r="Q170" s="55"/>
      <c r="R170" s="49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</row>
    <row r="171" spans="1:41" ht="27.6" x14ac:dyDescent="0.25">
      <c r="A171" s="22">
        <f t="shared" si="13"/>
        <v>168</v>
      </c>
      <c r="B171" s="129" t="s">
        <v>170</v>
      </c>
      <c r="C171" s="24" t="str">
        <f ca="1">IFERROR(__xludf.DUMMYFUNCTION("IFERROR(VLOOKUP(B171,IMPORTRANGE(""https://docs.google.com/spreadsheets/d/1Hr4i_97qtgRe-bfuRbVkLVmXa34m06T7R6IJCbq42Xg/edit?gid=0#gid=0"",""Information!B5:S200""),4,0),"""")"),"")</f>
        <v/>
      </c>
      <c r="D171" s="90" t="s">
        <v>383</v>
      </c>
      <c r="E171" s="26" t="str">
        <f t="shared" si="2"/>
        <v>169/FS/2025</v>
      </c>
      <c r="F171" s="116"/>
      <c r="G171" s="131">
        <v>45951</v>
      </c>
      <c r="H171" s="93" t="s">
        <v>453</v>
      </c>
      <c r="I171" s="124">
        <v>3500000</v>
      </c>
      <c r="J171" s="125">
        <v>0.08</v>
      </c>
      <c r="K171" s="124">
        <f t="shared" si="8"/>
        <v>280000</v>
      </c>
      <c r="L171" s="126">
        <f t="shared" si="9"/>
        <v>3780000</v>
      </c>
      <c r="M171" s="127" t="s">
        <v>20</v>
      </c>
      <c r="N171" s="118"/>
      <c r="O171" s="55"/>
      <c r="P171" s="53"/>
      <c r="Q171" s="55"/>
      <c r="R171" s="49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</row>
    <row r="172" spans="1:41" ht="41.4" x14ac:dyDescent="0.25">
      <c r="A172" s="22">
        <f t="shared" si="13"/>
        <v>169</v>
      </c>
      <c r="B172" s="129" t="s">
        <v>112</v>
      </c>
      <c r="C172" s="24" t="str">
        <f ca="1">IFERROR(__xludf.DUMMYFUNCTION("IFERROR(VLOOKUP(B172,IMPORTRANGE(""https://docs.google.com/spreadsheets/d/1Hr4i_97qtgRe-bfuRbVkLVmXa34m06T7R6IJCbq42Xg/edit?gid=0#gid=0"",""Information!B5:S200""),4,0),"""")"),"")</f>
        <v/>
      </c>
      <c r="D172" s="90" t="s">
        <v>384</v>
      </c>
      <c r="E172" s="26" t="str">
        <f t="shared" si="2"/>
        <v>170/FS/2025</v>
      </c>
      <c r="F172" s="116"/>
      <c r="G172" s="131">
        <v>45966</v>
      </c>
      <c r="H172" s="93" t="s">
        <v>461</v>
      </c>
      <c r="I172" s="124">
        <v>10500000</v>
      </c>
      <c r="J172" s="125">
        <v>0.08</v>
      </c>
      <c r="K172" s="124">
        <f t="shared" si="8"/>
        <v>840000</v>
      </c>
      <c r="L172" s="126">
        <f t="shared" si="9"/>
        <v>11340000</v>
      </c>
      <c r="M172" s="127" t="s">
        <v>20</v>
      </c>
      <c r="N172" s="118"/>
      <c r="O172" s="55"/>
      <c r="P172" s="53"/>
      <c r="Q172" s="55"/>
      <c r="R172" s="49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</row>
    <row r="173" spans="1:41" ht="27.6" x14ac:dyDescent="0.25">
      <c r="A173" s="22">
        <f t="shared" si="13"/>
        <v>170</v>
      </c>
      <c r="B173" s="129" t="s">
        <v>144</v>
      </c>
      <c r="C173" s="24" t="str">
        <f ca="1">IFERROR(__xludf.DUMMYFUNCTION("IFERROR(VLOOKUP(B173,IMPORTRANGE(""https://docs.google.com/spreadsheets/d/1Hr4i_97qtgRe-bfuRbVkLVmXa34m06T7R6IJCbq42Xg/edit?gid=0#gid=0"",""Information!B5:S200""),4,0),"""")"),"")</f>
        <v/>
      </c>
      <c r="D173" s="90" t="s">
        <v>385</v>
      </c>
      <c r="E173" s="26" t="str">
        <f t="shared" si="2"/>
        <v>171/FS/2025</v>
      </c>
      <c r="F173" s="116"/>
      <c r="G173" s="131">
        <v>45952</v>
      </c>
      <c r="H173" s="93" t="s">
        <v>454</v>
      </c>
      <c r="I173" s="124">
        <v>1000000</v>
      </c>
      <c r="J173" s="125">
        <v>0.08</v>
      </c>
      <c r="K173" s="124">
        <f t="shared" si="8"/>
        <v>80000</v>
      </c>
      <c r="L173" s="126">
        <f t="shared" si="9"/>
        <v>1080000</v>
      </c>
      <c r="M173" s="127" t="s">
        <v>20</v>
      </c>
      <c r="N173" s="118"/>
      <c r="O173" s="55"/>
      <c r="P173" s="53"/>
      <c r="Q173" s="55"/>
      <c r="R173" s="49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</row>
    <row r="174" spans="1:41" ht="41.4" x14ac:dyDescent="0.25">
      <c r="A174" s="22">
        <f t="shared" si="13"/>
        <v>171</v>
      </c>
      <c r="B174" s="129" t="s">
        <v>26</v>
      </c>
      <c r="C174" s="24" t="str">
        <f ca="1">IFERROR(__xludf.DUMMYFUNCTION("IFERROR(VLOOKUP(B174,IMPORTRANGE(""https://docs.google.com/spreadsheets/d/1Hr4i_97qtgRe-bfuRbVkLVmXa34m06T7R6IJCbq42Xg/edit?gid=0#gid=0"",""Information!B5:S200""),4,0),"""")"),"")</f>
        <v/>
      </c>
      <c r="D174" s="90" t="s">
        <v>386</v>
      </c>
      <c r="E174" s="26" t="str">
        <f t="shared" si="2"/>
        <v>172/FS/2025</v>
      </c>
      <c r="F174" s="116"/>
      <c r="G174" s="131">
        <v>45952</v>
      </c>
      <c r="H174" s="93" t="s">
        <v>462</v>
      </c>
      <c r="I174" s="124">
        <v>7000000</v>
      </c>
      <c r="J174" s="125">
        <v>0.08</v>
      </c>
      <c r="K174" s="124">
        <f t="shared" si="8"/>
        <v>560000</v>
      </c>
      <c r="L174" s="126">
        <f t="shared" si="9"/>
        <v>7560000</v>
      </c>
      <c r="M174" s="127" t="s">
        <v>20</v>
      </c>
      <c r="N174" s="118"/>
      <c r="O174" s="55"/>
      <c r="P174" s="53"/>
      <c r="Q174" s="55"/>
      <c r="R174" s="49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</row>
    <row r="175" spans="1:41" ht="27.6" x14ac:dyDescent="0.25">
      <c r="A175" s="22">
        <f t="shared" si="13"/>
        <v>172</v>
      </c>
      <c r="B175" s="129" t="s">
        <v>168</v>
      </c>
      <c r="C175" s="24" t="str">
        <f ca="1">IFERROR(__xludf.DUMMYFUNCTION("IFERROR(VLOOKUP(B175,IMPORTRANGE(""https://docs.google.com/spreadsheets/d/1Hr4i_97qtgRe-bfuRbVkLVmXa34m06T7R6IJCbq42Xg/edit?gid=0#gid=0"",""Information!B5:S200""),4,0),"""")"),"")</f>
        <v/>
      </c>
      <c r="D175" s="90" t="s">
        <v>387</v>
      </c>
      <c r="E175" s="26" t="str">
        <f t="shared" si="2"/>
        <v>173/FS/2025</v>
      </c>
      <c r="F175" s="116"/>
      <c r="G175" s="131">
        <v>45952</v>
      </c>
      <c r="H175" s="93" t="s">
        <v>454</v>
      </c>
      <c r="I175" s="124">
        <v>1000000</v>
      </c>
      <c r="J175" s="125">
        <v>0.08</v>
      </c>
      <c r="K175" s="124">
        <f t="shared" si="8"/>
        <v>80000</v>
      </c>
      <c r="L175" s="126">
        <f t="shared" si="9"/>
        <v>1080000</v>
      </c>
      <c r="M175" s="127" t="s">
        <v>20</v>
      </c>
      <c r="N175" s="118"/>
      <c r="O175" s="55"/>
      <c r="P175" s="53"/>
      <c r="Q175" s="55"/>
      <c r="R175" s="49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</row>
    <row r="176" spans="1:41" ht="27.6" x14ac:dyDescent="0.25">
      <c r="A176" s="22">
        <f t="shared" si="13"/>
        <v>173</v>
      </c>
      <c r="B176" s="129" t="s">
        <v>138</v>
      </c>
      <c r="C176" s="24" t="str">
        <f ca="1">IFERROR(__xludf.DUMMYFUNCTION("IFERROR(VLOOKUP(B176,IMPORTRANGE(""https://docs.google.com/spreadsheets/d/1Hr4i_97qtgRe-bfuRbVkLVmXa34m06T7R6IJCbq42Xg/edit?gid=0#gid=0"",""Information!B5:S200""),4,0),"""")"),"")</f>
        <v/>
      </c>
      <c r="D176" s="90" t="s">
        <v>388</v>
      </c>
      <c r="E176" s="26" t="str">
        <f t="shared" si="2"/>
        <v>174/FS/2025</v>
      </c>
      <c r="F176" s="116"/>
      <c r="G176" s="131">
        <v>45952</v>
      </c>
      <c r="H176" s="93" t="s">
        <v>454</v>
      </c>
      <c r="I176" s="124">
        <v>1000000</v>
      </c>
      <c r="J176" s="125">
        <v>0.08</v>
      </c>
      <c r="K176" s="124">
        <f t="shared" si="8"/>
        <v>80000</v>
      </c>
      <c r="L176" s="126">
        <f t="shared" si="9"/>
        <v>1080000</v>
      </c>
      <c r="M176" s="127" t="s">
        <v>20</v>
      </c>
      <c r="N176" s="118"/>
      <c r="O176" s="55"/>
      <c r="P176" s="53"/>
      <c r="Q176" s="55"/>
      <c r="R176" s="49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</row>
    <row r="177" spans="1:41" ht="27.6" x14ac:dyDescent="0.25">
      <c r="A177" s="22">
        <f t="shared" si="13"/>
        <v>174</v>
      </c>
      <c r="B177" s="129" t="s">
        <v>120</v>
      </c>
      <c r="C177" s="24" t="str">
        <f ca="1">IFERROR(__xludf.DUMMYFUNCTION("IFERROR(VLOOKUP(B177,IMPORTRANGE(""https://docs.google.com/spreadsheets/d/1Hr4i_97qtgRe-bfuRbVkLVmXa34m06T7R6IJCbq42Xg/edit?gid=0#gid=0"",""Information!B5:S200""),4,0),"""")"),"")</f>
        <v/>
      </c>
      <c r="D177" s="90" t="s">
        <v>389</v>
      </c>
      <c r="E177" s="26" t="str">
        <f t="shared" si="2"/>
        <v>175/FS/2025</v>
      </c>
      <c r="F177" s="116"/>
      <c r="G177" s="131">
        <v>45957</v>
      </c>
      <c r="H177" s="93" t="s">
        <v>453</v>
      </c>
      <c r="I177" s="124">
        <v>6000000</v>
      </c>
      <c r="J177" s="125">
        <v>0.08</v>
      </c>
      <c r="K177" s="124">
        <f t="shared" si="8"/>
        <v>480000</v>
      </c>
      <c r="L177" s="126">
        <f t="shared" si="9"/>
        <v>6480000</v>
      </c>
      <c r="M177" s="127" t="s">
        <v>20</v>
      </c>
      <c r="N177" s="118"/>
      <c r="O177" s="55"/>
      <c r="P177" s="53"/>
      <c r="Q177" s="55"/>
      <c r="R177" s="49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</row>
    <row r="178" spans="1:41" ht="41.4" x14ac:dyDescent="0.25">
      <c r="A178" s="22">
        <f t="shared" si="13"/>
        <v>175</v>
      </c>
      <c r="B178" s="129" t="s">
        <v>80</v>
      </c>
      <c r="C178" s="24" t="str">
        <f ca="1">IFERROR(__xludf.DUMMYFUNCTION("IFERROR(VLOOKUP(B178,IMPORTRANGE(""https://docs.google.com/spreadsheets/d/1Hr4i_97qtgRe-bfuRbVkLVmXa34m06T7R6IJCbq42Xg/edit?gid=0#gid=0"",""Information!B5:S200""),4,0),"""")"),"")</f>
        <v/>
      </c>
      <c r="D178" s="90" t="s">
        <v>390</v>
      </c>
      <c r="E178" s="26" t="str">
        <f t="shared" si="2"/>
        <v>176/FS/2025</v>
      </c>
      <c r="F178" s="116"/>
      <c r="G178" s="131">
        <v>45957</v>
      </c>
      <c r="H178" s="93" t="s">
        <v>463</v>
      </c>
      <c r="I178" s="124">
        <v>7000000</v>
      </c>
      <c r="J178" s="125">
        <v>0.08</v>
      </c>
      <c r="K178" s="124">
        <f t="shared" si="8"/>
        <v>560000</v>
      </c>
      <c r="L178" s="126">
        <f t="shared" si="9"/>
        <v>7560000</v>
      </c>
      <c r="M178" s="127" t="s">
        <v>20</v>
      </c>
      <c r="N178" s="118"/>
      <c r="O178" s="55"/>
      <c r="P178" s="53"/>
      <c r="Q178" s="55"/>
      <c r="R178" s="49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</row>
    <row r="179" spans="1:41" ht="41.4" x14ac:dyDescent="0.25">
      <c r="A179" s="22">
        <f t="shared" si="13"/>
        <v>176</v>
      </c>
      <c r="B179" s="129" t="s">
        <v>142</v>
      </c>
      <c r="C179" s="24" t="str">
        <f ca="1">IFERROR(__xludf.DUMMYFUNCTION("IFERROR(VLOOKUP(B179,IMPORTRANGE(""https://docs.google.com/spreadsheets/d/1Hr4i_97qtgRe-bfuRbVkLVmXa34m06T7R6IJCbq42Xg/edit?gid=0#gid=0"",""Information!B5:S200""),4,0),"""")"),"")</f>
        <v/>
      </c>
      <c r="D179" s="130" t="s">
        <v>391</v>
      </c>
      <c r="E179" s="26" t="str">
        <f t="shared" si="2"/>
        <v>177/FS/2025</v>
      </c>
      <c r="F179" s="116"/>
      <c r="G179" s="131">
        <v>45961</v>
      </c>
      <c r="H179" s="93" t="s">
        <v>464</v>
      </c>
      <c r="I179" s="124">
        <v>4000000</v>
      </c>
      <c r="J179" s="125">
        <v>0.08</v>
      </c>
      <c r="K179" s="124">
        <f t="shared" si="8"/>
        <v>320000</v>
      </c>
      <c r="L179" s="126">
        <f t="shared" si="9"/>
        <v>4320000</v>
      </c>
      <c r="M179" s="127" t="s">
        <v>20</v>
      </c>
      <c r="N179" s="118"/>
      <c r="O179" s="55"/>
      <c r="P179" s="53"/>
      <c r="Q179" s="55"/>
      <c r="R179" s="49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</row>
    <row r="180" spans="1:41" ht="27.6" x14ac:dyDescent="0.25">
      <c r="A180" s="22">
        <f t="shared" si="13"/>
        <v>177</v>
      </c>
      <c r="B180" s="129" t="s">
        <v>64</v>
      </c>
      <c r="C180" s="24" t="str">
        <f ca="1">IFERROR(__xludf.DUMMYFUNCTION("IFERROR(VLOOKUP(B180,IMPORTRANGE(""https://docs.google.com/spreadsheets/d/1Hr4i_97qtgRe-bfuRbVkLVmXa34m06T7R6IJCbq42Xg/edit?gid=0#gid=0"",""Information!B5:S200""),4,0),"""")"),"")</f>
        <v/>
      </c>
      <c r="D180" s="130" t="s">
        <v>392</v>
      </c>
      <c r="E180" s="26" t="str">
        <f t="shared" si="2"/>
        <v>178/FS/2025</v>
      </c>
      <c r="F180" s="116"/>
      <c r="G180" s="131">
        <v>45959</v>
      </c>
      <c r="H180" s="93" t="s">
        <v>453</v>
      </c>
      <c r="I180" s="124">
        <v>4500000</v>
      </c>
      <c r="J180" s="125">
        <v>0.08</v>
      </c>
      <c r="K180" s="124">
        <f t="shared" si="8"/>
        <v>360000</v>
      </c>
      <c r="L180" s="126">
        <f t="shared" si="9"/>
        <v>4860000</v>
      </c>
      <c r="M180" s="127" t="s">
        <v>20</v>
      </c>
      <c r="N180" s="118"/>
      <c r="O180" s="55"/>
      <c r="P180" s="53"/>
      <c r="Q180" s="55"/>
      <c r="R180" s="49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</row>
    <row r="181" spans="1:41" ht="27.6" x14ac:dyDescent="0.25">
      <c r="A181" s="22">
        <f t="shared" si="13"/>
        <v>178</v>
      </c>
      <c r="B181" s="129" t="s">
        <v>34</v>
      </c>
      <c r="C181" s="24" t="str">
        <f ca="1">IFERROR(__xludf.DUMMYFUNCTION("IFERROR(VLOOKUP(B181,IMPORTRANGE(""https://docs.google.com/spreadsheets/d/1Hr4i_97qtgRe-bfuRbVkLVmXa34m06T7R6IJCbq42Xg/edit?gid=0#gid=0"",""Information!B5:S200""),4,0),"""")"),"")</f>
        <v/>
      </c>
      <c r="D181" s="130" t="s">
        <v>393</v>
      </c>
      <c r="E181" s="26" t="str">
        <f t="shared" si="2"/>
        <v>179/FS/2025</v>
      </c>
      <c r="F181" s="116"/>
      <c r="G181" s="131">
        <v>45959</v>
      </c>
      <c r="H181" s="93" t="s">
        <v>454</v>
      </c>
      <c r="I181" s="124">
        <v>1000000</v>
      </c>
      <c r="J181" s="125">
        <v>0.08</v>
      </c>
      <c r="K181" s="124">
        <f t="shared" si="8"/>
        <v>80000</v>
      </c>
      <c r="L181" s="126">
        <f t="shared" si="9"/>
        <v>1080000</v>
      </c>
      <c r="M181" s="127" t="s">
        <v>20</v>
      </c>
      <c r="N181" s="118"/>
      <c r="O181" s="55"/>
      <c r="P181" s="53"/>
      <c r="Q181" s="55"/>
      <c r="R181" s="49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</row>
    <row r="182" spans="1:41" ht="27.6" x14ac:dyDescent="0.25">
      <c r="A182" s="22">
        <f t="shared" si="13"/>
        <v>179</v>
      </c>
      <c r="B182" s="129" t="s">
        <v>156</v>
      </c>
      <c r="C182" s="24" t="str">
        <f ca="1">IFERROR(__xludf.DUMMYFUNCTION("IFERROR(VLOOKUP(B182,IMPORTRANGE(""https://docs.google.com/spreadsheets/d/1Hr4i_97qtgRe-bfuRbVkLVmXa34m06T7R6IJCbq42Xg/edit?gid=0#gid=0"",""Information!B5:S200""),4,0),"""")"),"")</f>
        <v/>
      </c>
      <c r="D182" s="130" t="s">
        <v>465</v>
      </c>
      <c r="E182" s="26" t="str">
        <f t="shared" si="2"/>
        <v>180/FS/2025</v>
      </c>
      <c r="F182" s="116"/>
      <c r="G182" s="131">
        <v>45959</v>
      </c>
      <c r="H182" s="93" t="s">
        <v>453</v>
      </c>
      <c r="I182" s="124">
        <v>8000000</v>
      </c>
      <c r="J182" s="125">
        <v>0.08</v>
      </c>
      <c r="K182" s="124">
        <f t="shared" si="8"/>
        <v>640000</v>
      </c>
      <c r="L182" s="126">
        <f t="shared" si="9"/>
        <v>8640000</v>
      </c>
      <c r="M182" s="127" t="s">
        <v>20</v>
      </c>
      <c r="N182" s="118"/>
      <c r="O182" s="55"/>
      <c r="P182" s="53"/>
      <c r="Q182" s="55"/>
      <c r="R182" s="49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</row>
    <row r="183" spans="1:41" ht="41.4" x14ac:dyDescent="0.25">
      <c r="A183" s="22">
        <f t="shared" si="13"/>
        <v>180</v>
      </c>
      <c r="B183" s="129" t="s">
        <v>48</v>
      </c>
      <c r="C183" s="24" t="str">
        <f ca="1">IFERROR(__xludf.DUMMYFUNCTION("IFERROR(VLOOKUP(B183,IMPORTRANGE(""https://docs.google.com/spreadsheets/d/1Hr4i_97qtgRe-bfuRbVkLVmXa34m06T7R6IJCbq42Xg/edit?gid=0#gid=0"",""Information!B5:S200""),4,0),"""")"),"")</f>
        <v/>
      </c>
      <c r="D183" s="130" t="s">
        <v>466</v>
      </c>
      <c r="E183" s="26" t="str">
        <f t="shared" si="2"/>
        <v>181/FS/2025</v>
      </c>
      <c r="F183" s="116"/>
      <c r="G183" s="131">
        <v>45962</v>
      </c>
      <c r="H183" s="136" t="s">
        <v>467</v>
      </c>
      <c r="I183" s="124">
        <v>3000000</v>
      </c>
      <c r="J183" s="125">
        <v>0.08</v>
      </c>
      <c r="K183" s="124">
        <f t="shared" si="8"/>
        <v>240000</v>
      </c>
      <c r="L183" s="126">
        <f t="shared" si="9"/>
        <v>3240000</v>
      </c>
      <c r="M183" s="127" t="s">
        <v>20</v>
      </c>
      <c r="N183" s="118"/>
      <c r="O183" s="55"/>
      <c r="P183" s="53"/>
      <c r="Q183" s="55"/>
      <c r="R183" s="49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</row>
    <row r="184" spans="1:41" ht="69" x14ac:dyDescent="0.25">
      <c r="A184" s="22">
        <f t="shared" si="13"/>
        <v>181</v>
      </c>
      <c r="B184" s="129" t="s">
        <v>203</v>
      </c>
      <c r="C184" s="24" t="str">
        <f ca="1">IFERROR(__xludf.DUMMYFUNCTION("IFERROR(VLOOKUP(B184,IMPORTRANGE(""https://docs.google.com/spreadsheets/d/1Hr4i_97qtgRe-bfuRbVkLVmXa34m06T7R6IJCbq42Xg/edit?gid=0#gid=0"",""Information!B5:S200""),4,0),"""")"),"")</f>
        <v/>
      </c>
      <c r="D184" s="130" t="s">
        <v>468</v>
      </c>
      <c r="E184" s="26" t="str">
        <f t="shared" si="2"/>
        <v>182/FS/2025</v>
      </c>
      <c r="F184" s="116"/>
      <c r="G184" s="131">
        <v>45971</v>
      </c>
      <c r="H184" s="93" t="s">
        <v>469</v>
      </c>
      <c r="I184" s="124">
        <v>30000000</v>
      </c>
      <c r="J184" s="125">
        <v>0.08</v>
      </c>
      <c r="K184" s="124">
        <f t="shared" si="8"/>
        <v>2400000</v>
      </c>
      <c r="L184" s="126">
        <f t="shared" si="9"/>
        <v>32400000</v>
      </c>
      <c r="M184" s="127" t="s">
        <v>20</v>
      </c>
      <c r="N184" s="118"/>
      <c r="O184" s="55"/>
      <c r="P184" s="53"/>
      <c r="Q184" s="55"/>
      <c r="R184" s="49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</row>
    <row r="185" spans="1:41" ht="55.2" x14ac:dyDescent="0.25">
      <c r="A185" s="22">
        <f t="shared" si="13"/>
        <v>182</v>
      </c>
      <c r="B185" s="129" t="s">
        <v>128</v>
      </c>
      <c r="C185" s="24" t="str">
        <f ca="1">IFERROR(__xludf.DUMMYFUNCTION("IFERROR(VLOOKUP(B185,IMPORTRANGE(""https://docs.google.com/spreadsheets/d/1Hr4i_97qtgRe-bfuRbVkLVmXa34m06T7R6IJCbq42Xg/edit?gid=0#gid=0"",""Information!B5:S200""),4,0),"""")"),"")</f>
        <v/>
      </c>
      <c r="D185" s="130" t="s">
        <v>470</v>
      </c>
      <c r="E185" s="26" t="str">
        <f t="shared" si="2"/>
        <v>183/FS/2025</v>
      </c>
      <c r="F185" s="116"/>
      <c r="G185" s="131">
        <v>45965</v>
      </c>
      <c r="H185" s="128" t="s">
        <v>471</v>
      </c>
      <c r="I185" s="124">
        <v>4000000</v>
      </c>
      <c r="J185" s="125">
        <v>0.08</v>
      </c>
      <c r="K185" s="124">
        <f t="shared" si="8"/>
        <v>320000</v>
      </c>
      <c r="L185" s="126">
        <f t="shared" si="9"/>
        <v>4320000</v>
      </c>
      <c r="M185" s="127" t="s">
        <v>20</v>
      </c>
      <c r="N185" s="118"/>
      <c r="O185" s="55"/>
      <c r="P185" s="53"/>
      <c r="Q185" s="55"/>
      <c r="R185" s="49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</row>
    <row r="186" spans="1:41" ht="41.4" x14ac:dyDescent="0.25">
      <c r="A186" s="22">
        <f t="shared" si="13"/>
        <v>183</v>
      </c>
      <c r="B186" s="129" t="s">
        <v>48</v>
      </c>
      <c r="C186" s="24" t="str">
        <f ca="1">IFERROR(__xludf.DUMMYFUNCTION("IFERROR(VLOOKUP(B186,IMPORTRANGE(""https://docs.google.com/spreadsheets/d/1Hr4i_97qtgRe-bfuRbVkLVmXa34m06T7R6IJCbq42Xg/edit?gid=0#gid=0"",""Information!B5:S200""),4,0),"""")"),"")</f>
        <v/>
      </c>
      <c r="D186" s="130" t="s">
        <v>472</v>
      </c>
      <c r="E186" s="26" t="str">
        <f t="shared" si="2"/>
        <v>184/FS/2025</v>
      </c>
      <c r="F186" s="116"/>
      <c r="G186" s="131">
        <v>45966</v>
      </c>
      <c r="H186" s="93" t="s">
        <v>473</v>
      </c>
      <c r="I186" s="124">
        <v>3500000</v>
      </c>
      <c r="J186" s="125">
        <v>0.08</v>
      </c>
      <c r="K186" s="124">
        <f t="shared" si="8"/>
        <v>280000</v>
      </c>
      <c r="L186" s="126">
        <f t="shared" si="9"/>
        <v>3780000</v>
      </c>
      <c r="M186" s="127" t="s">
        <v>20</v>
      </c>
      <c r="N186" s="118"/>
      <c r="O186" s="55"/>
      <c r="P186" s="53"/>
      <c r="Q186" s="55"/>
      <c r="R186" s="49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</row>
    <row r="187" spans="1:41" ht="27.6" x14ac:dyDescent="0.25">
      <c r="A187" s="22">
        <f t="shared" si="13"/>
        <v>184</v>
      </c>
      <c r="B187" s="129" t="s">
        <v>110</v>
      </c>
      <c r="C187" s="24" t="str">
        <f ca="1">IFERROR(__xludf.DUMMYFUNCTION("IFERROR(VLOOKUP(B187,IMPORTRANGE(""https://docs.google.com/spreadsheets/d/1Hr4i_97qtgRe-bfuRbVkLVmXa34m06T7R6IJCbq42Xg/edit?gid=0#gid=0"",""Information!B5:S200""),4,0),"""")"),"")</f>
        <v/>
      </c>
      <c r="D187" s="130" t="s">
        <v>474</v>
      </c>
      <c r="E187" s="26" t="str">
        <f t="shared" si="2"/>
        <v>185/FS/2025</v>
      </c>
      <c r="F187" s="116"/>
      <c r="G187" s="131">
        <v>45967</v>
      </c>
      <c r="H187" s="136" t="s">
        <v>410</v>
      </c>
      <c r="I187" s="124">
        <v>1500000</v>
      </c>
      <c r="J187" s="125">
        <v>0.08</v>
      </c>
      <c r="K187" s="124">
        <f t="shared" si="8"/>
        <v>120000</v>
      </c>
      <c r="L187" s="126">
        <f t="shared" si="9"/>
        <v>1620000</v>
      </c>
      <c r="M187" s="127" t="s">
        <v>20</v>
      </c>
      <c r="N187" s="118"/>
      <c r="O187" s="55"/>
      <c r="P187" s="53"/>
      <c r="Q187" s="55"/>
      <c r="R187" s="49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</row>
    <row r="188" spans="1:41" ht="41.4" x14ac:dyDescent="0.25">
      <c r="A188" s="22">
        <f t="shared" si="13"/>
        <v>185</v>
      </c>
      <c r="B188" s="129" t="s">
        <v>36</v>
      </c>
      <c r="C188" s="24" t="str">
        <f ca="1">IFERROR(__xludf.DUMMYFUNCTION("IFERROR(VLOOKUP(B188,IMPORTRANGE(""https://docs.google.com/spreadsheets/d/1Hr4i_97qtgRe-bfuRbVkLVmXa34m06T7R6IJCbq42Xg/edit?gid=0#gid=0"",""Information!B5:S200""),4,0),"""")"),"")</f>
        <v/>
      </c>
      <c r="D188" s="130" t="s">
        <v>475</v>
      </c>
      <c r="E188" s="26" t="str">
        <f t="shared" si="2"/>
        <v>186/FS/2025</v>
      </c>
      <c r="F188" s="116"/>
      <c r="G188" s="116"/>
      <c r="H188" s="93" t="s">
        <v>476</v>
      </c>
      <c r="I188" s="124">
        <v>12500000</v>
      </c>
      <c r="J188" s="125">
        <v>0.08</v>
      </c>
      <c r="K188" s="124">
        <f t="shared" si="8"/>
        <v>1000000</v>
      </c>
      <c r="L188" s="126">
        <f t="shared" si="9"/>
        <v>13500000</v>
      </c>
      <c r="M188" s="127" t="s">
        <v>20</v>
      </c>
      <c r="N188" s="118"/>
      <c r="O188" s="55"/>
      <c r="P188" s="53"/>
      <c r="Q188" s="55"/>
      <c r="R188" s="49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</row>
    <row r="189" spans="1:41" ht="27.6" x14ac:dyDescent="0.25">
      <c r="A189" s="22">
        <f t="shared" si="13"/>
        <v>186</v>
      </c>
      <c r="B189" s="129" t="s">
        <v>477</v>
      </c>
      <c r="C189" s="137" t="s">
        <v>478</v>
      </c>
      <c r="D189" s="130" t="s">
        <v>479</v>
      </c>
      <c r="E189" s="26" t="str">
        <f t="shared" si="2"/>
        <v>187/FS/2025</v>
      </c>
      <c r="F189" s="116"/>
      <c r="G189" s="131">
        <v>45969</v>
      </c>
      <c r="H189" s="136" t="s">
        <v>480</v>
      </c>
      <c r="I189" s="124">
        <v>1500000</v>
      </c>
      <c r="J189" s="125">
        <v>0.08</v>
      </c>
      <c r="K189" s="124">
        <f t="shared" si="8"/>
        <v>120000</v>
      </c>
      <c r="L189" s="126">
        <f t="shared" si="9"/>
        <v>1620000</v>
      </c>
      <c r="M189" s="127" t="s">
        <v>20</v>
      </c>
      <c r="N189" s="118"/>
      <c r="O189" s="55"/>
      <c r="P189" s="53"/>
      <c r="Q189" s="55"/>
      <c r="R189" s="49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</row>
    <row r="190" spans="1:41" ht="27.6" x14ac:dyDescent="0.25">
      <c r="A190" s="22">
        <f t="shared" si="13"/>
        <v>187</v>
      </c>
      <c r="B190" s="129" t="s">
        <v>76</v>
      </c>
      <c r="C190" s="24" t="str">
        <f ca="1">IFERROR(__xludf.DUMMYFUNCTION("IFERROR(VLOOKUP(B190,IMPORTRANGE(""https://docs.google.com/spreadsheets/d/1Hr4i_97qtgRe-bfuRbVkLVmXa34m06T7R6IJCbq42Xg/edit?gid=0#gid=0"",""Information!B5:S200""),4,0),"""")"),"")</f>
        <v/>
      </c>
      <c r="D190" s="130" t="s">
        <v>481</v>
      </c>
      <c r="E190" s="26" t="str">
        <f t="shared" si="2"/>
        <v>188/FS/2025</v>
      </c>
      <c r="F190" s="116"/>
      <c r="G190" s="116"/>
      <c r="H190" s="128" t="s">
        <v>453</v>
      </c>
      <c r="I190" s="126"/>
      <c r="J190" s="125">
        <v>0.08</v>
      </c>
      <c r="K190" s="124">
        <f t="shared" si="8"/>
        <v>0</v>
      </c>
      <c r="L190" s="126">
        <f t="shared" si="9"/>
        <v>0</v>
      </c>
      <c r="M190" s="127" t="s">
        <v>20</v>
      </c>
      <c r="N190" s="118"/>
      <c r="O190" s="55"/>
      <c r="P190" s="53"/>
      <c r="Q190" s="55"/>
      <c r="R190" s="49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</row>
    <row r="191" spans="1:41" ht="41.4" x14ac:dyDescent="0.25">
      <c r="A191" s="22">
        <f t="shared" si="13"/>
        <v>188</v>
      </c>
      <c r="B191" s="129" t="s">
        <v>40</v>
      </c>
      <c r="C191" s="24" t="str">
        <f ca="1">IFERROR(__xludf.DUMMYFUNCTION("IFERROR(VLOOKUP(B191,IMPORTRANGE(""https://docs.google.com/spreadsheets/d/1Hr4i_97qtgRe-bfuRbVkLVmXa34m06T7R6IJCbq42Xg/edit?gid=0#gid=0"",""Information!B5:S200""),4,0),"""")"),"")</f>
        <v/>
      </c>
      <c r="D191" s="130" t="s">
        <v>482</v>
      </c>
      <c r="E191" s="26" t="str">
        <f t="shared" si="2"/>
        <v>189/FS/2025</v>
      </c>
      <c r="F191" s="116"/>
      <c r="G191" s="131">
        <v>45972</v>
      </c>
      <c r="H191" s="93" t="s">
        <v>483</v>
      </c>
      <c r="I191" s="124">
        <v>4000000</v>
      </c>
      <c r="J191" s="125">
        <v>0.08</v>
      </c>
      <c r="K191" s="124">
        <f t="shared" si="8"/>
        <v>320000</v>
      </c>
      <c r="L191" s="126">
        <f t="shared" si="9"/>
        <v>4320000</v>
      </c>
      <c r="M191" s="127" t="s">
        <v>20</v>
      </c>
      <c r="N191" s="118"/>
      <c r="O191" s="55"/>
      <c r="P191" s="53"/>
      <c r="Q191" s="55"/>
      <c r="R191" s="49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</row>
    <row r="192" spans="1:41" ht="27.6" x14ac:dyDescent="0.25">
      <c r="A192" s="22">
        <f t="shared" si="13"/>
        <v>189</v>
      </c>
      <c r="B192" s="129" t="s">
        <v>52</v>
      </c>
      <c r="C192" s="24" t="str">
        <f ca="1">IFERROR(__xludf.DUMMYFUNCTION("IFERROR(VLOOKUP(B192,IMPORTRANGE(""https://docs.google.com/spreadsheets/d/1Hr4i_97qtgRe-bfuRbVkLVmXa34m06T7R6IJCbq42Xg/edit?gid=0#gid=0"",""Information!B5:S200""),4,0),"""")"),"")</f>
        <v/>
      </c>
      <c r="D192" s="130" t="s">
        <v>484</v>
      </c>
      <c r="E192" s="26" t="str">
        <f t="shared" si="2"/>
        <v>190/FS/2025</v>
      </c>
      <c r="F192" s="116"/>
      <c r="G192" s="131">
        <v>45972</v>
      </c>
      <c r="H192" s="128" t="s">
        <v>453</v>
      </c>
      <c r="I192" s="124">
        <v>6000000</v>
      </c>
      <c r="J192" s="125">
        <v>0.08</v>
      </c>
      <c r="K192" s="124">
        <f t="shared" si="8"/>
        <v>480000</v>
      </c>
      <c r="L192" s="126">
        <f t="shared" si="9"/>
        <v>6480000</v>
      </c>
      <c r="M192" s="127" t="s">
        <v>20</v>
      </c>
      <c r="N192" s="118"/>
      <c r="O192" s="55"/>
      <c r="P192" s="53"/>
      <c r="Q192" s="55"/>
      <c r="R192" s="49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</row>
    <row r="193" spans="1:41" ht="27.6" x14ac:dyDescent="0.25">
      <c r="A193" s="22">
        <f t="shared" si="13"/>
        <v>190</v>
      </c>
      <c r="B193" s="129" t="s">
        <v>108</v>
      </c>
      <c r="C193" s="24" t="str">
        <f ca="1">IFERROR(__xludf.DUMMYFUNCTION("IFERROR(VLOOKUP(B193,IMPORTRANGE(""https://docs.google.com/spreadsheets/d/1Hr4i_97qtgRe-bfuRbVkLVmXa34m06T7R6IJCbq42Xg/edit?gid=0#gid=0"",""Information!B5:S200""),4,0),"""")"),"")</f>
        <v/>
      </c>
      <c r="D193" s="130" t="s">
        <v>485</v>
      </c>
      <c r="E193" s="26" t="str">
        <f t="shared" si="2"/>
        <v>191/FS/2025</v>
      </c>
      <c r="F193" s="116"/>
      <c r="G193" s="131">
        <v>45993</v>
      </c>
      <c r="H193" s="136" t="s">
        <v>486</v>
      </c>
      <c r="I193" s="124">
        <v>3645000</v>
      </c>
      <c r="J193" s="125">
        <v>0.1</v>
      </c>
      <c r="K193" s="124">
        <f t="shared" si="8"/>
        <v>364500</v>
      </c>
      <c r="L193" s="126">
        <f t="shared" si="9"/>
        <v>4009500</v>
      </c>
      <c r="M193" s="127" t="s">
        <v>20</v>
      </c>
      <c r="N193" s="118"/>
      <c r="O193" s="55"/>
      <c r="P193" s="53"/>
      <c r="Q193" s="55"/>
      <c r="R193" s="49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</row>
    <row r="194" spans="1:41" ht="27.6" x14ac:dyDescent="0.25">
      <c r="A194" s="22">
        <f t="shared" si="13"/>
        <v>191</v>
      </c>
      <c r="B194" s="129" t="s">
        <v>30</v>
      </c>
      <c r="C194" s="24" t="str">
        <f ca="1">IFERROR(__xludf.DUMMYFUNCTION("IFERROR(VLOOKUP(B194,IMPORTRANGE(""https://docs.google.com/spreadsheets/d/1Hr4i_97qtgRe-bfuRbVkLVmXa34m06T7R6IJCbq42Xg/edit?gid=0#gid=0"",""Information!B5:S200""),4,0),"""")"),"")</f>
        <v/>
      </c>
      <c r="D194" s="130" t="s">
        <v>487</v>
      </c>
      <c r="E194" s="26" t="str">
        <f t="shared" si="2"/>
        <v>192/FS/2025</v>
      </c>
      <c r="F194" s="116"/>
      <c r="G194" s="131">
        <v>45994</v>
      </c>
      <c r="H194" s="128" t="s">
        <v>488</v>
      </c>
      <c r="I194" s="124">
        <v>4000000</v>
      </c>
      <c r="J194" s="125">
        <v>0.08</v>
      </c>
      <c r="K194" s="124">
        <f t="shared" si="8"/>
        <v>320000</v>
      </c>
      <c r="L194" s="126">
        <f t="shared" si="9"/>
        <v>4320000</v>
      </c>
      <c r="M194" s="127" t="s">
        <v>20</v>
      </c>
      <c r="N194" s="118"/>
      <c r="O194" s="55"/>
      <c r="P194" s="53"/>
      <c r="Q194" s="55"/>
      <c r="R194" s="49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</row>
    <row r="195" spans="1:41" ht="69" x14ac:dyDescent="0.25">
      <c r="A195" s="22">
        <f t="shared" si="13"/>
        <v>192</v>
      </c>
      <c r="B195" s="129" t="s">
        <v>122</v>
      </c>
      <c r="C195" s="24" t="str">
        <f ca="1">IFERROR(__xludf.DUMMYFUNCTION("IFERROR(VLOOKUP(B195,IMPORTRANGE(""https://docs.google.com/spreadsheets/d/1Hr4i_97qtgRe-bfuRbVkLVmXa34m06T7R6IJCbq42Xg/edit?gid=0#gid=0"",""Information!B5:S200""),4,0),"""")"),"")</f>
        <v/>
      </c>
      <c r="D195" s="90" t="s">
        <v>489</v>
      </c>
      <c r="E195" s="26" t="str">
        <f t="shared" si="2"/>
        <v>193/FS/2025</v>
      </c>
      <c r="F195" s="116"/>
      <c r="G195" s="131">
        <v>45996</v>
      </c>
      <c r="H195" s="128" t="s">
        <v>469</v>
      </c>
      <c r="I195" s="124">
        <v>16000000</v>
      </c>
      <c r="J195" s="125">
        <v>0.08</v>
      </c>
      <c r="K195" s="124">
        <f t="shared" si="8"/>
        <v>1280000</v>
      </c>
      <c r="L195" s="126">
        <f t="shared" si="9"/>
        <v>17280000</v>
      </c>
      <c r="M195" s="127" t="s">
        <v>20</v>
      </c>
      <c r="N195" s="118"/>
      <c r="O195" s="55"/>
      <c r="P195" s="53"/>
      <c r="Q195" s="55"/>
      <c r="R195" s="49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</row>
    <row r="196" spans="1:41" ht="41.4" x14ac:dyDescent="0.25">
      <c r="A196" s="22">
        <f t="shared" si="13"/>
        <v>193</v>
      </c>
      <c r="B196" s="129" t="s">
        <v>150</v>
      </c>
      <c r="C196" s="24" t="str">
        <f ca="1">IFERROR(__xludf.DUMMYFUNCTION("IFERROR(VLOOKUP(B196,IMPORTRANGE(""https://docs.google.com/spreadsheets/d/1Hr4i_97qtgRe-bfuRbVkLVmXa34m06T7R6IJCbq42Xg/edit?gid=0#gid=0"",""Information!B5:S200""),4,0),"""")"),"")</f>
        <v/>
      </c>
      <c r="D196" s="130" t="s">
        <v>490</v>
      </c>
      <c r="E196" s="26" t="str">
        <f t="shared" si="2"/>
        <v>194/FS/2025</v>
      </c>
      <c r="F196" s="116"/>
      <c r="G196" s="131">
        <v>45997</v>
      </c>
      <c r="H196" s="128" t="s">
        <v>491</v>
      </c>
      <c r="I196" s="124">
        <v>3000000</v>
      </c>
      <c r="J196" s="125">
        <v>0.08</v>
      </c>
      <c r="K196" s="124">
        <f t="shared" si="8"/>
        <v>240000</v>
      </c>
      <c r="L196" s="126">
        <f t="shared" si="9"/>
        <v>3240000</v>
      </c>
      <c r="M196" s="127" t="s">
        <v>20</v>
      </c>
      <c r="N196" s="118"/>
      <c r="O196" s="55"/>
      <c r="P196" s="53"/>
      <c r="Q196" s="55"/>
      <c r="R196" s="49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</row>
    <row r="197" spans="1:41" ht="55.2" x14ac:dyDescent="0.25">
      <c r="A197" s="22">
        <f t="shared" si="13"/>
        <v>194</v>
      </c>
      <c r="B197" s="129" t="s">
        <v>210</v>
      </c>
      <c r="C197" s="24" t="str">
        <f ca="1">IFERROR(__xludf.DUMMYFUNCTION("IFERROR(VLOOKUP(B197,IMPORTRANGE(""https://docs.google.com/spreadsheets/d/1Hr4i_97qtgRe-bfuRbVkLVmXa34m06T7R6IJCbq42Xg/edit?gid=0#gid=0"",""Information!B5:S200""),4,0),"""")"),"")</f>
        <v/>
      </c>
      <c r="D197" s="130" t="s">
        <v>492</v>
      </c>
      <c r="E197" s="26" t="str">
        <f t="shared" si="2"/>
        <v>195/FS/2025</v>
      </c>
      <c r="F197" s="116"/>
      <c r="G197" s="131">
        <v>45971</v>
      </c>
      <c r="H197" s="136" t="s">
        <v>493</v>
      </c>
      <c r="I197" s="124">
        <v>2500000</v>
      </c>
      <c r="J197" s="125"/>
      <c r="K197" s="124"/>
      <c r="L197" s="126">
        <f t="shared" si="9"/>
        <v>2500000</v>
      </c>
      <c r="M197" s="127" t="s">
        <v>20</v>
      </c>
      <c r="N197" s="118"/>
      <c r="O197" s="55"/>
      <c r="P197" s="53"/>
      <c r="Q197" s="55"/>
      <c r="R197" s="49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</row>
    <row r="198" spans="1:41" ht="55.2" x14ac:dyDescent="0.25">
      <c r="A198" s="22">
        <f t="shared" si="13"/>
        <v>195</v>
      </c>
      <c r="B198" s="129" t="s">
        <v>210</v>
      </c>
      <c r="C198" s="24" t="str">
        <f ca="1">IFERROR(__xludf.DUMMYFUNCTION("IFERROR(VLOOKUP(B198,IMPORTRANGE(""https://docs.google.com/spreadsheets/d/1Hr4i_97qtgRe-bfuRbVkLVmXa34m06T7R6IJCbq42Xg/edit?gid=0#gid=0"",""Information!B5:S200""),4,0),"""")"),"")</f>
        <v/>
      </c>
      <c r="D198" s="130" t="s">
        <v>494</v>
      </c>
      <c r="E198" s="26" t="str">
        <f t="shared" si="2"/>
        <v>196/FS/2025</v>
      </c>
      <c r="F198" s="116"/>
      <c r="G198" s="131">
        <v>45996</v>
      </c>
      <c r="H198" s="136" t="s">
        <v>495</v>
      </c>
      <c r="I198" s="124">
        <v>2500000</v>
      </c>
      <c r="J198" s="125"/>
      <c r="K198" s="124"/>
      <c r="L198" s="126">
        <f t="shared" si="9"/>
        <v>2500000</v>
      </c>
      <c r="M198" s="127" t="s">
        <v>20</v>
      </c>
      <c r="N198" s="118"/>
      <c r="O198" s="55"/>
      <c r="P198" s="53"/>
      <c r="Q198" s="55"/>
      <c r="R198" s="49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</row>
    <row r="199" spans="1:41" ht="55.2" x14ac:dyDescent="0.25">
      <c r="A199" s="22">
        <f t="shared" si="13"/>
        <v>196</v>
      </c>
      <c r="B199" s="129" t="s">
        <v>128</v>
      </c>
      <c r="C199" s="24" t="str">
        <f ca="1">IFERROR(__xludf.DUMMYFUNCTION("IFERROR(VLOOKUP(B199,IMPORTRANGE(""https://docs.google.com/spreadsheets/d/1Hr4i_97qtgRe-bfuRbVkLVmXa34m06T7R6IJCbq42Xg/edit?gid=0#gid=0"",""Information!B5:S200""),4,0),"""")"),"")</f>
        <v/>
      </c>
      <c r="D199" s="130" t="s">
        <v>496</v>
      </c>
      <c r="E199" s="26" t="str">
        <f t="shared" si="2"/>
        <v>197/FS/2025</v>
      </c>
      <c r="F199" s="116"/>
      <c r="G199" s="131">
        <v>45999</v>
      </c>
      <c r="H199" s="128" t="s">
        <v>497</v>
      </c>
      <c r="I199" s="124">
        <v>4000000</v>
      </c>
      <c r="J199" s="125">
        <v>0.08</v>
      </c>
      <c r="K199" s="124">
        <v>240000</v>
      </c>
      <c r="L199" s="126">
        <v>3240000</v>
      </c>
      <c r="M199" s="127" t="s">
        <v>20</v>
      </c>
      <c r="N199" s="118"/>
      <c r="O199" s="55"/>
      <c r="P199" s="53"/>
      <c r="Q199" s="55"/>
      <c r="R199" s="49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</row>
    <row r="200" spans="1:41" ht="55.2" x14ac:dyDescent="0.25">
      <c r="A200" s="22">
        <f t="shared" si="13"/>
        <v>197</v>
      </c>
      <c r="B200" s="129" t="s">
        <v>50</v>
      </c>
      <c r="C200" s="24" t="str">
        <f ca="1">IFERROR(__xludf.DUMMYFUNCTION("IFERROR(VLOOKUP(B200,IMPORTRANGE(""https://docs.google.com/spreadsheets/d/1Hr4i_97qtgRe-bfuRbVkLVmXa34m06T7R6IJCbq42Xg/edit?gid=0#gid=0"",""Information!B5:S200""),4,0),"""")"),"")</f>
        <v/>
      </c>
      <c r="D200" s="130" t="s">
        <v>498</v>
      </c>
      <c r="E200" s="26" t="str">
        <f t="shared" si="2"/>
        <v>198/FS/2025</v>
      </c>
      <c r="F200" s="116"/>
      <c r="G200" s="131">
        <v>46000</v>
      </c>
      <c r="H200" s="136" t="s">
        <v>499</v>
      </c>
      <c r="I200" s="124">
        <v>6000000</v>
      </c>
      <c r="J200" s="125">
        <v>0.08</v>
      </c>
      <c r="K200" s="124">
        <f t="shared" ref="K200:K201" si="14">I200*J200</f>
        <v>480000</v>
      </c>
      <c r="L200" s="126">
        <f t="shared" ref="L200:L282" si="15">I200+K200-P200</f>
        <v>6480000</v>
      </c>
      <c r="M200" s="127" t="s">
        <v>20</v>
      </c>
      <c r="N200" s="118"/>
      <c r="O200" s="55"/>
      <c r="P200" s="53"/>
      <c r="Q200" s="55"/>
      <c r="R200" s="49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</row>
    <row r="201" spans="1:41" ht="41.4" x14ac:dyDescent="0.25">
      <c r="A201" s="22">
        <f t="shared" si="13"/>
        <v>198</v>
      </c>
      <c r="B201" s="129" t="s">
        <v>80</v>
      </c>
      <c r="C201" s="24" t="str">
        <f ca="1">IFERROR(__xludf.DUMMYFUNCTION("IFERROR(VLOOKUP(B201,IMPORTRANGE(""https://docs.google.com/spreadsheets/d/1Hr4i_97qtgRe-bfuRbVkLVmXa34m06T7R6IJCbq42Xg/edit?gid=0#gid=0"",""Information!B5:S200""),4,0),"""")"),"")</f>
        <v/>
      </c>
      <c r="D201" s="130" t="s">
        <v>500</v>
      </c>
      <c r="E201" s="26" t="str">
        <f t="shared" si="2"/>
        <v>199/FS/2025</v>
      </c>
      <c r="F201" s="116"/>
      <c r="G201" s="131">
        <v>46000</v>
      </c>
      <c r="H201" s="136" t="s">
        <v>501</v>
      </c>
      <c r="I201" s="124">
        <v>6000000</v>
      </c>
      <c r="J201" s="125">
        <v>0.08</v>
      </c>
      <c r="K201" s="124">
        <f t="shared" si="14"/>
        <v>480000</v>
      </c>
      <c r="L201" s="126">
        <f t="shared" si="15"/>
        <v>6480000</v>
      </c>
      <c r="M201" s="127" t="s">
        <v>20</v>
      </c>
      <c r="N201" s="118"/>
      <c r="O201" s="55"/>
      <c r="P201" s="53"/>
      <c r="Q201" s="55"/>
      <c r="R201" s="49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</row>
    <row r="202" spans="1:41" ht="27.6" x14ac:dyDescent="0.25">
      <c r="A202" s="22">
        <f t="shared" si="13"/>
        <v>199</v>
      </c>
      <c r="B202" s="129" t="s">
        <v>168</v>
      </c>
      <c r="C202" s="24" t="str">
        <f ca="1">IFERROR(__xludf.DUMMYFUNCTION("IFERROR(VLOOKUP(B202,IMPORTRANGE(""https://docs.google.com/spreadsheets/d/1Hr4i_97qtgRe-bfuRbVkLVmXa34m06T7R6IJCbq42Xg/edit?gid=0#gid=0"",""Information!B5:S200""),4,0),"""")"),"")</f>
        <v/>
      </c>
      <c r="D202" s="130" t="s">
        <v>502</v>
      </c>
      <c r="E202" s="26" t="str">
        <f t="shared" si="2"/>
        <v>200/FS/2025</v>
      </c>
      <c r="F202" s="116"/>
      <c r="G202" s="131">
        <v>45973</v>
      </c>
      <c r="H202" s="136" t="s">
        <v>503</v>
      </c>
      <c r="I202" s="124">
        <v>5467500</v>
      </c>
      <c r="J202" s="125">
        <v>0.1</v>
      </c>
      <c r="K202" s="126">
        <f>1822500*J202</f>
        <v>182250</v>
      </c>
      <c r="L202" s="126">
        <f t="shared" si="15"/>
        <v>5649750</v>
      </c>
      <c r="M202" s="127" t="s">
        <v>20</v>
      </c>
      <c r="N202" s="118"/>
      <c r="O202" s="55"/>
      <c r="P202" s="53"/>
      <c r="Q202" s="55"/>
      <c r="R202" s="49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</row>
    <row r="203" spans="1:41" ht="15.6" x14ac:dyDescent="0.25">
      <c r="A203" s="22">
        <f t="shared" si="13"/>
        <v>200</v>
      </c>
      <c r="B203" s="129" t="s">
        <v>168</v>
      </c>
      <c r="C203" s="24" t="str">
        <f ca="1">IFERROR(__xludf.DUMMYFUNCTION("IFERROR(VLOOKUP(B203,IMPORTRANGE(""https://docs.google.com/spreadsheets/d/1Hr4i_97qtgRe-bfuRbVkLVmXa34m06T7R6IJCbq42Xg/edit?gid=0#gid=0"",""Information!B5:S200""),4,0),"""")"),"")</f>
        <v/>
      </c>
      <c r="D203" s="130" t="s">
        <v>504</v>
      </c>
      <c r="E203" s="26" t="str">
        <f t="shared" si="2"/>
        <v>201/FS/2025</v>
      </c>
      <c r="F203" s="116"/>
      <c r="G203" s="131">
        <v>46001</v>
      </c>
      <c r="H203" s="136" t="s">
        <v>505</v>
      </c>
      <c r="I203" s="138">
        <v>1822500</v>
      </c>
      <c r="J203" s="125">
        <v>0.1</v>
      </c>
      <c r="K203" s="126">
        <f t="shared" ref="K203:K218" si="16">I203*J203</f>
        <v>182250</v>
      </c>
      <c r="L203" s="126">
        <f t="shared" si="15"/>
        <v>2004750</v>
      </c>
      <c r="M203" s="127" t="s">
        <v>20</v>
      </c>
      <c r="N203" s="118"/>
      <c r="O203" s="55"/>
      <c r="P203" s="53"/>
      <c r="Q203" s="55"/>
      <c r="R203" s="49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</row>
    <row r="204" spans="1:41" ht="27.6" x14ac:dyDescent="0.25">
      <c r="A204" s="22">
        <f t="shared" si="13"/>
        <v>201</v>
      </c>
      <c r="B204" s="129" t="s">
        <v>44</v>
      </c>
      <c r="C204" s="24" t="str">
        <f ca="1">IFERROR(__xludf.DUMMYFUNCTION("IFERROR(VLOOKUP(B204,IMPORTRANGE(""https://docs.google.com/spreadsheets/d/1Hr4i_97qtgRe-bfuRbVkLVmXa34m06T7R6IJCbq42Xg/edit?gid=0#gid=0"",""Information!B5:S200""),4,0),"""")"),"")</f>
        <v/>
      </c>
      <c r="D204" s="130" t="s">
        <v>506</v>
      </c>
      <c r="E204" s="26" t="str">
        <f t="shared" si="2"/>
        <v>202/FS/2025</v>
      </c>
      <c r="F204" s="116"/>
      <c r="G204" s="131">
        <v>46001</v>
      </c>
      <c r="H204" s="136" t="s">
        <v>507</v>
      </c>
      <c r="I204" s="124">
        <v>10000000</v>
      </c>
      <c r="J204" s="125">
        <v>0.08</v>
      </c>
      <c r="K204" s="126">
        <f t="shared" si="16"/>
        <v>800000</v>
      </c>
      <c r="L204" s="126">
        <f t="shared" si="15"/>
        <v>10800000</v>
      </c>
      <c r="M204" s="127" t="s">
        <v>20</v>
      </c>
      <c r="N204" s="118"/>
      <c r="O204" s="55"/>
      <c r="P204" s="53"/>
      <c r="Q204" s="55"/>
      <c r="R204" s="49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</row>
    <row r="205" spans="1:41" ht="27.6" x14ac:dyDescent="0.25">
      <c r="A205" s="22">
        <f t="shared" si="13"/>
        <v>202</v>
      </c>
      <c r="B205" s="129" t="s">
        <v>184</v>
      </c>
      <c r="C205" s="24" t="str">
        <f ca="1">IFERROR(__xludf.DUMMYFUNCTION("IFERROR(VLOOKUP(B205,IMPORTRANGE(""https://docs.google.com/spreadsheets/d/1Hr4i_97qtgRe-bfuRbVkLVmXa34m06T7R6IJCbq42Xg/edit?gid=0#gid=0"",""Information!B5:S200""),4,0),"""")"),"")</f>
        <v/>
      </c>
      <c r="D205" s="130" t="s">
        <v>508</v>
      </c>
      <c r="E205" s="26" t="str">
        <f t="shared" si="2"/>
        <v>203/FS/2025</v>
      </c>
      <c r="F205" s="116"/>
      <c r="G205" s="131">
        <v>46001</v>
      </c>
      <c r="H205" s="136" t="s">
        <v>507</v>
      </c>
      <c r="I205" s="124">
        <v>14000000</v>
      </c>
      <c r="J205" s="125">
        <v>0.08</v>
      </c>
      <c r="K205" s="126">
        <f t="shared" si="16"/>
        <v>1120000</v>
      </c>
      <c r="L205" s="126">
        <f t="shared" si="15"/>
        <v>15120000</v>
      </c>
      <c r="M205" s="127" t="s">
        <v>20</v>
      </c>
      <c r="N205" s="118"/>
      <c r="O205" s="55"/>
      <c r="P205" s="53"/>
      <c r="Q205" s="55"/>
      <c r="R205" s="49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</row>
    <row r="206" spans="1:41" ht="41.4" x14ac:dyDescent="0.25">
      <c r="A206" s="22">
        <f t="shared" si="13"/>
        <v>203</v>
      </c>
      <c r="B206" s="129" t="s">
        <v>398</v>
      </c>
      <c r="C206" s="137" t="s">
        <v>509</v>
      </c>
      <c r="D206" s="130" t="s">
        <v>510</v>
      </c>
      <c r="E206" s="26" t="str">
        <f t="shared" si="2"/>
        <v>204/FS/2025</v>
      </c>
      <c r="F206" s="116"/>
      <c r="G206" s="131">
        <v>46001</v>
      </c>
      <c r="H206" s="136" t="s">
        <v>511</v>
      </c>
      <c r="I206" s="124">
        <v>1200000</v>
      </c>
      <c r="J206" s="125">
        <v>0.08</v>
      </c>
      <c r="K206" s="126">
        <f t="shared" si="16"/>
        <v>96000</v>
      </c>
      <c r="L206" s="126">
        <f t="shared" si="15"/>
        <v>1296000</v>
      </c>
      <c r="M206" s="127" t="s">
        <v>20</v>
      </c>
      <c r="N206" s="118"/>
      <c r="O206" s="55"/>
      <c r="P206" s="53"/>
      <c r="Q206" s="55"/>
      <c r="R206" s="49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</row>
    <row r="207" spans="1:41" ht="41.4" x14ac:dyDescent="0.25">
      <c r="A207" s="22">
        <f t="shared" si="13"/>
        <v>204</v>
      </c>
      <c r="B207" s="129" t="s">
        <v>512</v>
      </c>
      <c r="C207" s="137" t="s">
        <v>513</v>
      </c>
      <c r="D207" s="130" t="s">
        <v>514</v>
      </c>
      <c r="E207" s="26" t="str">
        <f t="shared" si="2"/>
        <v>205/FS/2025</v>
      </c>
      <c r="F207" s="116"/>
      <c r="G207" s="131">
        <v>46001</v>
      </c>
      <c r="H207" s="136" t="s">
        <v>511</v>
      </c>
      <c r="I207" s="124">
        <v>1200000</v>
      </c>
      <c r="J207" s="125">
        <v>0.08</v>
      </c>
      <c r="K207" s="126">
        <f t="shared" si="16"/>
        <v>96000</v>
      </c>
      <c r="L207" s="126">
        <f t="shared" si="15"/>
        <v>1296000</v>
      </c>
      <c r="M207" s="127" t="s">
        <v>20</v>
      </c>
      <c r="N207" s="118"/>
      <c r="O207" s="55"/>
      <c r="P207" s="53"/>
      <c r="Q207" s="55"/>
      <c r="R207" s="49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</row>
    <row r="208" spans="1:41" ht="41.4" x14ac:dyDescent="0.25">
      <c r="A208" s="22">
        <f t="shared" si="13"/>
        <v>205</v>
      </c>
      <c r="B208" s="129" t="s">
        <v>396</v>
      </c>
      <c r="C208" s="137" t="s">
        <v>513</v>
      </c>
      <c r="D208" s="130" t="s">
        <v>515</v>
      </c>
      <c r="E208" s="26" t="str">
        <f t="shared" si="2"/>
        <v>206/FS/2025</v>
      </c>
      <c r="F208" s="116"/>
      <c r="G208" s="131">
        <v>46006</v>
      </c>
      <c r="H208" s="136" t="s">
        <v>511</v>
      </c>
      <c r="I208" s="124">
        <v>1200000</v>
      </c>
      <c r="J208" s="125">
        <v>0.08</v>
      </c>
      <c r="K208" s="126">
        <f t="shared" si="16"/>
        <v>96000</v>
      </c>
      <c r="L208" s="126">
        <f t="shared" si="15"/>
        <v>1296000</v>
      </c>
      <c r="M208" s="127" t="s">
        <v>20</v>
      </c>
      <c r="N208" s="118"/>
      <c r="O208" s="55"/>
      <c r="P208" s="53"/>
      <c r="Q208" s="55"/>
      <c r="R208" s="49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</row>
    <row r="209" spans="1:41" ht="41.4" x14ac:dyDescent="0.25">
      <c r="A209" s="22">
        <f t="shared" si="13"/>
        <v>206</v>
      </c>
      <c r="B209" s="129" t="s">
        <v>184</v>
      </c>
      <c r="C209" s="24" t="str">
        <f ca="1">IFERROR(__xludf.DUMMYFUNCTION("IFERROR(VLOOKUP(B209,IMPORTRANGE(""https://docs.google.com/spreadsheets/d/1Hr4i_97qtgRe-bfuRbVkLVmXa34m06T7R6IJCbq42Xg/edit?gid=0#gid=0"",""Information!B5:S200""),4,0),"""")"),"")</f>
        <v/>
      </c>
      <c r="D209" s="130" t="s">
        <v>516</v>
      </c>
      <c r="E209" s="26" t="str">
        <f t="shared" si="2"/>
        <v>207/FS/2025</v>
      </c>
      <c r="F209" s="116"/>
      <c r="G209" s="116"/>
      <c r="H209" s="136" t="s">
        <v>517</v>
      </c>
      <c r="I209" s="124">
        <v>6000000</v>
      </c>
      <c r="J209" s="125">
        <v>0.08</v>
      </c>
      <c r="K209" s="126">
        <f t="shared" si="16"/>
        <v>480000</v>
      </c>
      <c r="L209" s="126">
        <f t="shared" si="15"/>
        <v>6480000</v>
      </c>
      <c r="M209" s="127" t="s">
        <v>20</v>
      </c>
      <c r="N209" s="118"/>
      <c r="O209" s="55"/>
      <c r="P209" s="53"/>
      <c r="Q209" s="55"/>
      <c r="R209" s="49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</row>
    <row r="210" spans="1:41" ht="41.4" x14ac:dyDescent="0.25">
      <c r="A210" s="22">
        <f t="shared" si="13"/>
        <v>207</v>
      </c>
      <c r="B210" s="129" t="s">
        <v>34</v>
      </c>
      <c r="C210" s="24" t="str">
        <f ca="1">IFERROR(__xludf.DUMMYFUNCTION("IFERROR(VLOOKUP(B210,IMPORTRANGE(""https://docs.google.com/spreadsheets/d/1Hr4i_97qtgRe-bfuRbVkLVmXa34m06T7R6IJCbq42Xg/edit?gid=0#gid=0"",""Information!B5:S200""),4,0),"""")"),"")</f>
        <v/>
      </c>
      <c r="D210" s="130" t="s">
        <v>518</v>
      </c>
      <c r="E210" s="26" t="str">
        <f t="shared" si="2"/>
        <v>208/FS/2025</v>
      </c>
      <c r="F210" s="116"/>
      <c r="G210" s="116"/>
      <c r="H210" s="136" t="s">
        <v>519</v>
      </c>
      <c r="I210" s="124">
        <v>2000000</v>
      </c>
      <c r="J210" s="125">
        <v>0.08</v>
      </c>
      <c r="K210" s="126">
        <f t="shared" si="16"/>
        <v>160000</v>
      </c>
      <c r="L210" s="126">
        <f t="shared" si="15"/>
        <v>2160000</v>
      </c>
      <c r="M210" s="127" t="s">
        <v>20</v>
      </c>
      <c r="N210" s="118"/>
      <c r="O210" s="55"/>
      <c r="P210" s="53"/>
      <c r="Q210" s="55"/>
      <c r="R210" s="49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</row>
    <row r="211" spans="1:41" ht="41.4" x14ac:dyDescent="0.25">
      <c r="A211" s="22">
        <f t="shared" si="13"/>
        <v>208</v>
      </c>
      <c r="B211" s="129" t="s">
        <v>46</v>
      </c>
      <c r="C211" s="24" t="str">
        <f ca="1">IFERROR(__xludf.DUMMYFUNCTION("IFERROR(VLOOKUP(B211,IMPORTRANGE(""https://docs.google.com/spreadsheets/d/1Hr4i_97qtgRe-bfuRbVkLVmXa34m06T7R6IJCbq42Xg/edit?gid=0#gid=0"",""Information!B5:S200""),4,0),"""")"),"")</f>
        <v/>
      </c>
      <c r="D211" s="130" t="s">
        <v>520</v>
      </c>
      <c r="E211" s="26" t="str">
        <f t="shared" si="2"/>
        <v>209/FS/2025</v>
      </c>
      <c r="F211" s="116"/>
      <c r="G211" s="116"/>
      <c r="H211" s="136" t="s">
        <v>519</v>
      </c>
      <c r="I211" s="124">
        <v>2000000</v>
      </c>
      <c r="J211" s="125">
        <v>0.08</v>
      </c>
      <c r="K211" s="126">
        <f t="shared" si="16"/>
        <v>160000</v>
      </c>
      <c r="L211" s="126">
        <f t="shared" si="15"/>
        <v>2160000</v>
      </c>
      <c r="M211" s="127" t="s">
        <v>20</v>
      </c>
      <c r="N211" s="118"/>
      <c r="O211" s="55"/>
      <c r="P211" s="53"/>
      <c r="Q211" s="55"/>
      <c r="R211" s="49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</row>
    <row r="212" spans="1:41" ht="41.4" x14ac:dyDescent="0.25">
      <c r="A212" s="22">
        <f t="shared" si="13"/>
        <v>209</v>
      </c>
      <c r="B212" s="129" t="s">
        <v>58</v>
      </c>
      <c r="C212" s="24" t="str">
        <f ca="1">IFERROR(__xludf.DUMMYFUNCTION("IFERROR(VLOOKUP(B212,IMPORTRANGE(""https://docs.google.com/spreadsheets/d/1Hr4i_97qtgRe-bfuRbVkLVmXa34m06T7R6IJCbq42Xg/edit?gid=0#gid=0"",""Information!B5:S200""),4,0),"""")"),"")</f>
        <v/>
      </c>
      <c r="D212" s="130" t="s">
        <v>521</v>
      </c>
      <c r="E212" s="26" t="str">
        <f t="shared" si="2"/>
        <v>210/FS/2025</v>
      </c>
      <c r="F212" s="116"/>
      <c r="G212" s="116"/>
      <c r="H212" s="136" t="s">
        <v>519</v>
      </c>
      <c r="I212" s="124">
        <v>2000000</v>
      </c>
      <c r="J212" s="125">
        <v>0.08</v>
      </c>
      <c r="K212" s="126">
        <f t="shared" si="16"/>
        <v>160000</v>
      </c>
      <c r="L212" s="126">
        <f t="shared" si="15"/>
        <v>2160000</v>
      </c>
      <c r="M212" s="127" t="s">
        <v>20</v>
      </c>
      <c r="N212" s="118"/>
      <c r="O212" s="55"/>
      <c r="P212" s="53"/>
      <c r="Q212" s="55"/>
      <c r="R212" s="49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</row>
    <row r="213" spans="1:41" ht="41.4" x14ac:dyDescent="0.25">
      <c r="A213" s="22">
        <f t="shared" si="13"/>
        <v>210</v>
      </c>
      <c r="B213" s="129" t="s">
        <v>212</v>
      </c>
      <c r="C213" s="24" t="str">
        <f ca="1">IFERROR(__xludf.DUMMYFUNCTION("IFERROR(VLOOKUP(B213,IMPORTRANGE(""https://docs.google.com/spreadsheets/d/1Hr4i_97qtgRe-bfuRbVkLVmXa34m06T7R6IJCbq42Xg/edit?gid=0#gid=0"",""Information!B5:S200""),4,0),"""")"),"")</f>
        <v/>
      </c>
      <c r="D213" s="130" t="s">
        <v>522</v>
      </c>
      <c r="E213" s="26" t="str">
        <f t="shared" si="2"/>
        <v>211/FS/2025</v>
      </c>
      <c r="F213" s="116"/>
      <c r="G213" s="116"/>
      <c r="H213" s="136" t="s">
        <v>519</v>
      </c>
      <c r="I213" s="124">
        <v>2000000</v>
      </c>
      <c r="J213" s="125">
        <v>0.08</v>
      </c>
      <c r="K213" s="126">
        <f t="shared" si="16"/>
        <v>160000</v>
      </c>
      <c r="L213" s="126">
        <f t="shared" si="15"/>
        <v>2160000</v>
      </c>
      <c r="M213" s="127" t="s">
        <v>20</v>
      </c>
      <c r="N213" s="118"/>
      <c r="O213" s="55"/>
      <c r="P213" s="53"/>
      <c r="Q213" s="55"/>
      <c r="R213" s="49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</row>
    <row r="214" spans="1:41" ht="41.4" x14ac:dyDescent="0.25">
      <c r="A214" s="22">
        <f t="shared" si="13"/>
        <v>211</v>
      </c>
      <c r="B214" s="129" t="s">
        <v>104</v>
      </c>
      <c r="C214" s="24" t="str">
        <f ca="1">IFERROR(__xludf.DUMMYFUNCTION("IFERROR(VLOOKUP(B214,IMPORTRANGE(""https://docs.google.com/spreadsheets/d/1Hr4i_97qtgRe-bfuRbVkLVmXa34m06T7R6IJCbq42Xg/edit?gid=0#gid=0"",""Information!B5:S200""),4,0),"""")"),"")</f>
        <v/>
      </c>
      <c r="D214" s="130" t="s">
        <v>523</v>
      </c>
      <c r="E214" s="26" t="str">
        <f t="shared" si="2"/>
        <v>212/FS/2025</v>
      </c>
      <c r="F214" s="116"/>
      <c r="G214" s="116"/>
      <c r="H214" s="136" t="s">
        <v>519</v>
      </c>
      <c r="I214" s="124">
        <v>2000000</v>
      </c>
      <c r="J214" s="125">
        <v>0.08</v>
      </c>
      <c r="K214" s="126">
        <f t="shared" si="16"/>
        <v>160000</v>
      </c>
      <c r="L214" s="126">
        <f t="shared" si="15"/>
        <v>2160000</v>
      </c>
      <c r="M214" s="127" t="s">
        <v>20</v>
      </c>
      <c r="N214" s="118"/>
      <c r="O214" s="55"/>
      <c r="P214" s="53"/>
      <c r="Q214" s="55"/>
      <c r="R214" s="49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</row>
    <row r="215" spans="1:41" ht="41.4" x14ac:dyDescent="0.25">
      <c r="A215" s="22">
        <f t="shared" si="13"/>
        <v>212</v>
      </c>
      <c r="B215" s="129" t="s">
        <v>138</v>
      </c>
      <c r="C215" s="24" t="str">
        <f ca="1">IFERROR(__xludf.DUMMYFUNCTION("IFERROR(VLOOKUP(B215,IMPORTRANGE(""https://docs.google.com/spreadsheets/d/1Hr4i_97qtgRe-bfuRbVkLVmXa34m06T7R6IJCbq42Xg/edit?gid=0#gid=0"",""Information!B5:S200""),4,0),"""")"),"")</f>
        <v/>
      </c>
      <c r="D215" s="130" t="s">
        <v>524</v>
      </c>
      <c r="E215" s="26" t="str">
        <f t="shared" si="2"/>
        <v>213/FS/2025</v>
      </c>
      <c r="F215" s="116"/>
      <c r="G215" s="116"/>
      <c r="H215" s="136" t="s">
        <v>519</v>
      </c>
      <c r="I215" s="124">
        <v>2000000</v>
      </c>
      <c r="J215" s="125">
        <v>0.08</v>
      </c>
      <c r="K215" s="126">
        <f t="shared" si="16"/>
        <v>160000</v>
      </c>
      <c r="L215" s="126">
        <f t="shared" si="15"/>
        <v>2160000</v>
      </c>
      <c r="M215" s="127" t="s">
        <v>20</v>
      </c>
      <c r="N215" s="118"/>
      <c r="O215" s="55"/>
      <c r="P215" s="53"/>
      <c r="Q215" s="55"/>
      <c r="R215" s="49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</row>
    <row r="216" spans="1:41" ht="41.4" x14ac:dyDescent="0.25">
      <c r="A216" s="22">
        <f t="shared" si="13"/>
        <v>213</v>
      </c>
      <c r="B216" s="129" t="s">
        <v>144</v>
      </c>
      <c r="C216" s="24" t="str">
        <f ca="1">IFERROR(__xludf.DUMMYFUNCTION("IFERROR(VLOOKUP(B216,IMPORTRANGE(""https://docs.google.com/spreadsheets/d/1Hr4i_97qtgRe-bfuRbVkLVmXa34m06T7R6IJCbq42Xg/edit?gid=0#gid=0"",""Information!B5:S200""),4,0),"""")"),"")</f>
        <v/>
      </c>
      <c r="D216" s="130" t="s">
        <v>525</v>
      </c>
      <c r="E216" s="26" t="str">
        <f t="shared" si="2"/>
        <v>214/FS/2025</v>
      </c>
      <c r="F216" s="116"/>
      <c r="G216" s="116"/>
      <c r="H216" s="136" t="s">
        <v>519</v>
      </c>
      <c r="I216" s="124">
        <v>2000000</v>
      </c>
      <c r="J216" s="125">
        <v>0.08</v>
      </c>
      <c r="K216" s="126">
        <f t="shared" si="16"/>
        <v>160000</v>
      </c>
      <c r="L216" s="126">
        <f t="shared" si="15"/>
        <v>2160000</v>
      </c>
      <c r="M216" s="127" t="s">
        <v>20</v>
      </c>
      <c r="N216" s="118"/>
      <c r="O216" s="55"/>
      <c r="P216" s="53"/>
      <c r="Q216" s="55"/>
      <c r="R216" s="49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</row>
    <row r="217" spans="1:41" ht="41.4" x14ac:dyDescent="0.25">
      <c r="A217" s="22">
        <f t="shared" si="13"/>
        <v>214</v>
      </c>
      <c r="B217" s="129" t="s">
        <v>148</v>
      </c>
      <c r="C217" s="24" t="str">
        <f ca="1">IFERROR(__xludf.DUMMYFUNCTION("IFERROR(VLOOKUP(B217,IMPORTRANGE(""https://docs.google.com/spreadsheets/d/1Hr4i_97qtgRe-bfuRbVkLVmXa34m06T7R6IJCbq42Xg/edit?gid=0#gid=0"",""Information!B5:S200""),4,0),"""")"),"")</f>
        <v/>
      </c>
      <c r="D217" s="130" t="s">
        <v>526</v>
      </c>
      <c r="E217" s="26" t="str">
        <f t="shared" si="2"/>
        <v>215/FS/2025</v>
      </c>
      <c r="F217" s="116"/>
      <c r="G217" s="116"/>
      <c r="H217" s="136" t="s">
        <v>519</v>
      </c>
      <c r="I217" s="124">
        <v>2000000</v>
      </c>
      <c r="J217" s="125">
        <v>0.08</v>
      </c>
      <c r="K217" s="126">
        <f t="shared" si="16"/>
        <v>160000</v>
      </c>
      <c r="L217" s="126">
        <f t="shared" si="15"/>
        <v>2160000</v>
      </c>
      <c r="M217" s="127" t="s">
        <v>20</v>
      </c>
      <c r="N217" s="118"/>
      <c r="O217" s="55"/>
      <c r="P217" s="53"/>
      <c r="Q217" s="55"/>
      <c r="R217" s="49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</row>
    <row r="218" spans="1:41" ht="41.4" x14ac:dyDescent="0.25">
      <c r="A218" s="22">
        <f t="shared" si="13"/>
        <v>215</v>
      </c>
      <c r="B218" s="129" t="s">
        <v>168</v>
      </c>
      <c r="C218" s="24" t="str">
        <f ca="1">IFERROR(__xludf.DUMMYFUNCTION("IFERROR(VLOOKUP(B218,IMPORTRANGE(""https://docs.google.com/spreadsheets/d/1Hr4i_97qtgRe-bfuRbVkLVmXa34m06T7R6IJCbq42Xg/edit?gid=0#gid=0"",""Information!B5:S200""),4,0),"""")"),"")</f>
        <v/>
      </c>
      <c r="D218" s="130" t="s">
        <v>527</v>
      </c>
      <c r="E218" s="26" t="str">
        <f t="shared" si="2"/>
        <v>216/FS/2025</v>
      </c>
      <c r="F218" s="116"/>
      <c r="G218" s="116"/>
      <c r="H218" s="136" t="s">
        <v>519</v>
      </c>
      <c r="I218" s="124">
        <v>2000000</v>
      </c>
      <c r="J218" s="125">
        <v>0.08</v>
      </c>
      <c r="K218" s="126">
        <f t="shared" si="16"/>
        <v>160000</v>
      </c>
      <c r="L218" s="126">
        <f t="shared" si="15"/>
        <v>2160000</v>
      </c>
      <c r="M218" s="127" t="s">
        <v>20</v>
      </c>
      <c r="N218" s="118"/>
      <c r="O218" s="55"/>
      <c r="P218" s="53"/>
      <c r="Q218" s="55"/>
      <c r="R218" s="49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</row>
    <row r="219" spans="1:41" ht="27.6" x14ac:dyDescent="0.25">
      <c r="A219" s="22">
        <f t="shared" si="13"/>
        <v>216</v>
      </c>
      <c r="B219" s="129" t="s">
        <v>21</v>
      </c>
      <c r="C219" s="24" t="str">
        <f ca="1">IFERROR(__xludf.DUMMYFUNCTION("IFERROR(VLOOKUP(B219,IMPORTRANGE(""https://docs.google.com/spreadsheets/d/1Hr4i_97qtgRe-bfuRbVkLVmXa34m06T7R6IJCbq42Xg/edit?gid=0#gid=0"",""Information!B5:S200""),4,0),"""")"),"")</f>
        <v/>
      </c>
      <c r="D219" s="130" t="s">
        <v>528</v>
      </c>
      <c r="E219" s="26" t="str">
        <f t="shared" si="2"/>
        <v>217/FS/2025</v>
      </c>
      <c r="F219" s="116"/>
      <c r="G219" s="116"/>
      <c r="H219" s="136" t="s">
        <v>529</v>
      </c>
      <c r="I219" s="124">
        <v>4500000</v>
      </c>
      <c r="J219" s="139"/>
      <c r="K219" s="126"/>
      <c r="L219" s="126">
        <f t="shared" si="15"/>
        <v>4500000</v>
      </c>
      <c r="M219" s="127" t="s">
        <v>20</v>
      </c>
      <c r="N219" s="118"/>
      <c r="O219" s="55"/>
      <c r="P219" s="53"/>
      <c r="Q219" s="55"/>
      <c r="R219" s="49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</row>
    <row r="220" spans="1:41" ht="69" x14ac:dyDescent="0.25">
      <c r="A220" s="22">
        <f t="shared" si="13"/>
        <v>217</v>
      </c>
      <c r="B220" s="129" t="s">
        <v>106</v>
      </c>
      <c r="C220" s="24" t="str">
        <f ca="1">IFERROR(__xludf.DUMMYFUNCTION("IFERROR(VLOOKUP(B220,IMPORTRANGE(""https://docs.google.com/spreadsheets/d/1Hr4i_97qtgRe-bfuRbVkLVmXa34m06T7R6IJCbq42Xg/edit?gid=0#gid=0"",""Information!B5:S200""),4,0),"""")"),"")</f>
        <v/>
      </c>
      <c r="D220" s="130" t="s">
        <v>530</v>
      </c>
      <c r="E220" s="26" t="str">
        <f t="shared" si="2"/>
        <v>218/FS/2025</v>
      </c>
      <c r="F220" s="116"/>
      <c r="G220" s="116"/>
      <c r="H220" s="136" t="s">
        <v>531</v>
      </c>
      <c r="I220" s="124">
        <v>20500000</v>
      </c>
      <c r="J220" s="125">
        <v>0.08</v>
      </c>
      <c r="K220" s="126">
        <f t="shared" ref="K220:K234" si="17">I220*J220</f>
        <v>1640000</v>
      </c>
      <c r="L220" s="126">
        <f t="shared" si="15"/>
        <v>22140000</v>
      </c>
      <c r="M220" s="127" t="s">
        <v>20</v>
      </c>
      <c r="N220" s="118"/>
      <c r="O220" s="55"/>
      <c r="P220" s="53"/>
      <c r="Q220" s="55"/>
      <c r="R220" s="49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</row>
    <row r="221" spans="1:41" ht="69" x14ac:dyDescent="0.25">
      <c r="A221" s="22">
        <f t="shared" si="13"/>
        <v>218</v>
      </c>
      <c r="B221" s="129" t="s">
        <v>50</v>
      </c>
      <c r="C221" s="24" t="str">
        <f ca="1">IFERROR(__xludf.DUMMYFUNCTION("IFERROR(VLOOKUP(B221,IMPORTRANGE(""https://docs.google.com/spreadsheets/d/1Hr4i_97qtgRe-bfuRbVkLVmXa34m06T7R6IJCbq42Xg/edit?gid=0#gid=0"",""Information!B5:S200""),4,0),"""")"),"")</f>
        <v/>
      </c>
      <c r="D221" s="130" t="s">
        <v>532</v>
      </c>
      <c r="E221" s="26" t="str">
        <f t="shared" si="2"/>
        <v>219/FS/2025</v>
      </c>
      <c r="F221" s="116"/>
      <c r="G221" s="116"/>
      <c r="H221" s="136" t="s">
        <v>533</v>
      </c>
      <c r="I221" s="124">
        <v>14500000</v>
      </c>
      <c r="J221" s="125">
        <v>0.08</v>
      </c>
      <c r="K221" s="126">
        <f t="shared" si="17"/>
        <v>1160000</v>
      </c>
      <c r="L221" s="126">
        <f t="shared" si="15"/>
        <v>15660000</v>
      </c>
      <c r="M221" s="127" t="s">
        <v>20</v>
      </c>
      <c r="N221" s="118"/>
      <c r="O221" s="55"/>
      <c r="P221" s="53"/>
      <c r="Q221" s="55"/>
      <c r="R221" s="49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</row>
    <row r="222" spans="1:41" ht="41.4" x14ac:dyDescent="0.25">
      <c r="A222" s="22">
        <f t="shared" si="13"/>
        <v>219</v>
      </c>
      <c r="B222" s="129" t="s">
        <v>52</v>
      </c>
      <c r="C222" s="24" t="str">
        <f ca="1">IFERROR(__xludf.DUMMYFUNCTION("IFERROR(VLOOKUP(B222,IMPORTRANGE(""https://docs.google.com/spreadsheets/d/1Hr4i_97qtgRe-bfuRbVkLVmXa34m06T7R6IJCbq42Xg/edit?gid=0#gid=0"",""Information!B5:S200""),4,0),"""")"),"")</f>
        <v/>
      </c>
      <c r="D222" s="130" t="s">
        <v>534</v>
      </c>
      <c r="E222" s="26" t="str">
        <f t="shared" si="2"/>
        <v>220/FS/2025</v>
      </c>
      <c r="F222" s="116"/>
      <c r="G222" s="116"/>
      <c r="H222" s="136" t="s">
        <v>535</v>
      </c>
      <c r="I222" s="124">
        <v>11250000</v>
      </c>
      <c r="J222" s="125">
        <v>0.08</v>
      </c>
      <c r="K222" s="126">
        <f t="shared" si="17"/>
        <v>900000</v>
      </c>
      <c r="L222" s="126">
        <f t="shared" si="15"/>
        <v>12150000</v>
      </c>
      <c r="M222" s="127" t="s">
        <v>20</v>
      </c>
      <c r="N222" s="118"/>
      <c r="O222" s="55"/>
      <c r="P222" s="53"/>
      <c r="Q222" s="55"/>
      <c r="R222" s="49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</row>
    <row r="223" spans="1:41" ht="41.4" x14ac:dyDescent="0.25">
      <c r="A223" s="22">
        <f t="shared" si="13"/>
        <v>220</v>
      </c>
      <c r="B223" s="129" t="s">
        <v>134</v>
      </c>
      <c r="C223" s="24" t="str">
        <f ca="1">IFERROR(__xludf.DUMMYFUNCTION("IFERROR(VLOOKUP(B223,IMPORTRANGE(""https://docs.google.com/spreadsheets/d/1Hr4i_97qtgRe-bfuRbVkLVmXa34m06T7R6IJCbq42Xg/edit?gid=0#gid=0"",""Information!B5:S200""),4,0),"""")"),"")</f>
        <v/>
      </c>
      <c r="D223" s="130" t="s">
        <v>536</v>
      </c>
      <c r="E223" s="26" t="str">
        <f t="shared" si="2"/>
        <v>221/FS/2025</v>
      </c>
      <c r="F223" s="116"/>
      <c r="G223" s="116"/>
      <c r="H223" s="136" t="s">
        <v>535</v>
      </c>
      <c r="I223" s="124">
        <v>12000000</v>
      </c>
      <c r="J223" s="125">
        <v>0.08</v>
      </c>
      <c r="K223" s="126">
        <f t="shared" si="17"/>
        <v>960000</v>
      </c>
      <c r="L223" s="126">
        <f t="shared" si="15"/>
        <v>12960000</v>
      </c>
      <c r="M223" s="127" t="s">
        <v>20</v>
      </c>
      <c r="N223" s="118"/>
      <c r="O223" s="55"/>
      <c r="P223" s="53"/>
      <c r="Q223" s="55"/>
      <c r="R223" s="49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</row>
    <row r="224" spans="1:41" ht="41.4" x14ac:dyDescent="0.25">
      <c r="A224" s="22">
        <f t="shared" si="13"/>
        <v>221</v>
      </c>
      <c r="B224" s="129" t="s">
        <v>158</v>
      </c>
      <c r="C224" s="24" t="str">
        <f ca="1">IFERROR(__xludf.DUMMYFUNCTION("IFERROR(VLOOKUP(B224,IMPORTRANGE(""https://docs.google.com/spreadsheets/d/1Hr4i_97qtgRe-bfuRbVkLVmXa34m06T7R6IJCbq42Xg/edit?gid=0#gid=0"",""Information!B5:S200""),4,0),"""")"),"")</f>
        <v/>
      </c>
      <c r="D224" s="130" t="s">
        <v>537</v>
      </c>
      <c r="E224" s="26" t="str">
        <f t="shared" si="2"/>
        <v>222/FS/2025</v>
      </c>
      <c r="F224" s="116"/>
      <c r="G224" s="116"/>
      <c r="H224" s="136" t="s">
        <v>535</v>
      </c>
      <c r="I224" s="124">
        <v>6000000</v>
      </c>
      <c r="J224" s="125">
        <v>0.08</v>
      </c>
      <c r="K224" s="126">
        <f t="shared" si="17"/>
        <v>480000</v>
      </c>
      <c r="L224" s="126">
        <f t="shared" si="15"/>
        <v>6480000</v>
      </c>
      <c r="M224" s="127" t="s">
        <v>20</v>
      </c>
      <c r="N224" s="118"/>
      <c r="O224" s="55"/>
      <c r="P224" s="53"/>
      <c r="Q224" s="55"/>
      <c r="R224" s="49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</row>
    <row r="225" spans="1:41" ht="41.4" x14ac:dyDescent="0.25">
      <c r="A225" s="22">
        <f t="shared" si="13"/>
        <v>222</v>
      </c>
      <c r="B225" s="129" t="s">
        <v>86</v>
      </c>
      <c r="C225" s="24" t="str">
        <f ca="1">IFERROR(__xludf.DUMMYFUNCTION("IFERROR(VLOOKUP(B225,IMPORTRANGE(""https://docs.google.com/spreadsheets/d/1Hr4i_97qtgRe-bfuRbVkLVmXa34m06T7R6IJCbq42Xg/edit?gid=0#gid=0"",""Information!B5:S200""),4,0),"""")"),"")</f>
        <v/>
      </c>
      <c r="D225" s="130" t="s">
        <v>538</v>
      </c>
      <c r="E225" s="26" t="str">
        <f t="shared" si="2"/>
        <v>223/FS/2025</v>
      </c>
      <c r="F225" s="116"/>
      <c r="G225" s="116"/>
      <c r="H225" s="136" t="s">
        <v>535</v>
      </c>
      <c r="I225" s="124">
        <v>15875000</v>
      </c>
      <c r="J225" s="125">
        <v>0.08</v>
      </c>
      <c r="K225" s="126">
        <f t="shared" si="17"/>
        <v>1270000</v>
      </c>
      <c r="L225" s="126">
        <f t="shared" si="15"/>
        <v>17145000</v>
      </c>
      <c r="M225" s="127" t="s">
        <v>20</v>
      </c>
      <c r="N225" s="118"/>
      <c r="O225" s="55"/>
      <c r="P225" s="53"/>
      <c r="Q225" s="55"/>
      <c r="R225" s="49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</row>
    <row r="226" spans="1:41" ht="13.8" x14ac:dyDescent="0.25">
      <c r="A226" s="22">
        <f t="shared" si="13"/>
        <v>223</v>
      </c>
      <c r="B226" s="129" t="s">
        <v>94</v>
      </c>
      <c r="C226" s="24" t="str">
        <f ca="1">IFERROR(__xludf.DUMMYFUNCTION("IFERROR(VLOOKUP(B226,IMPORTRANGE(""https://docs.google.com/spreadsheets/d/1Hr4i_97qtgRe-bfuRbVkLVmXa34m06T7R6IJCbq42Xg/edit?gid=0#gid=0"",""Information!B5:S200""),4,0),"""")"),"")</f>
        <v/>
      </c>
      <c r="D226" s="130" t="s">
        <v>539</v>
      </c>
      <c r="E226" s="26" t="str">
        <f t="shared" si="2"/>
        <v>224/FS/2025</v>
      </c>
      <c r="F226" s="116"/>
      <c r="G226" s="116"/>
      <c r="I226" s="124">
        <v>5000000</v>
      </c>
      <c r="J226" s="125">
        <v>0.08</v>
      </c>
      <c r="K226" s="126">
        <f t="shared" si="17"/>
        <v>400000</v>
      </c>
      <c r="L226" s="126">
        <f t="shared" si="15"/>
        <v>5400000</v>
      </c>
      <c r="M226" s="127" t="s">
        <v>20</v>
      </c>
      <c r="N226" s="118"/>
      <c r="O226" s="55"/>
      <c r="P226" s="53"/>
      <c r="Q226" s="55"/>
      <c r="R226" s="49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</row>
    <row r="227" spans="1:41" ht="41.4" x14ac:dyDescent="0.25">
      <c r="A227" s="22">
        <f t="shared" si="13"/>
        <v>224</v>
      </c>
      <c r="B227" s="129" t="s">
        <v>64</v>
      </c>
      <c r="C227" s="24" t="str">
        <f ca="1">IFERROR(__xludf.DUMMYFUNCTION("IFERROR(VLOOKUP(B227,IMPORTRANGE(""https://docs.google.com/spreadsheets/d/1Hr4i_97qtgRe-bfuRbVkLVmXa34m06T7R6IJCbq42Xg/edit?gid=0#gid=0"",""Information!B5:S200""),4,0),"""")"),"")</f>
        <v/>
      </c>
      <c r="D227" s="130" t="s">
        <v>540</v>
      </c>
      <c r="E227" s="26" t="str">
        <f t="shared" si="2"/>
        <v>225/FS/2025</v>
      </c>
      <c r="F227" s="116"/>
      <c r="G227" s="116"/>
      <c r="H227" s="136" t="s">
        <v>535</v>
      </c>
      <c r="I227" s="124">
        <v>8750000</v>
      </c>
      <c r="J227" s="125">
        <v>0.08</v>
      </c>
      <c r="K227" s="126">
        <f t="shared" si="17"/>
        <v>700000</v>
      </c>
      <c r="L227" s="126">
        <f t="shared" si="15"/>
        <v>9450000</v>
      </c>
      <c r="M227" s="127" t="s">
        <v>20</v>
      </c>
      <c r="N227" s="118"/>
      <c r="O227" s="55"/>
      <c r="P227" s="53"/>
      <c r="Q227" s="55"/>
      <c r="R227" s="49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</row>
    <row r="228" spans="1:41" ht="41.4" x14ac:dyDescent="0.25">
      <c r="A228" s="22">
        <f t="shared" si="13"/>
        <v>225</v>
      </c>
      <c r="B228" s="129" t="s">
        <v>126</v>
      </c>
      <c r="C228" s="24" t="str">
        <f ca="1">IFERROR(__xludf.DUMMYFUNCTION("IFERROR(VLOOKUP(B228,IMPORTRANGE(""https://docs.google.com/spreadsheets/d/1Hr4i_97qtgRe-bfuRbVkLVmXa34m06T7R6IJCbq42Xg/edit?gid=0#gid=0"",""Information!B5:S200""),4,0),"""")"),"")</f>
        <v/>
      </c>
      <c r="D228" s="130" t="s">
        <v>541</v>
      </c>
      <c r="E228" s="26" t="str">
        <f t="shared" si="2"/>
        <v>226/FS/2025</v>
      </c>
      <c r="F228" s="116"/>
      <c r="G228" s="116"/>
      <c r="H228" s="136" t="s">
        <v>535</v>
      </c>
      <c r="I228" s="124">
        <v>11000000</v>
      </c>
      <c r="J228" s="125">
        <v>0.08</v>
      </c>
      <c r="K228" s="126">
        <f t="shared" si="17"/>
        <v>880000</v>
      </c>
      <c r="L228" s="126">
        <f t="shared" si="15"/>
        <v>11880000</v>
      </c>
      <c r="M228" s="127" t="s">
        <v>20</v>
      </c>
      <c r="N228" s="118"/>
      <c r="O228" s="55"/>
      <c r="P228" s="53"/>
      <c r="Q228" s="55"/>
      <c r="R228" s="49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</row>
    <row r="229" spans="1:41" ht="41.4" x14ac:dyDescent="0.25">
      <c r="A229" s="22">
        <f t="shared" si="13"/>
        <v>226</v>
      </c>
      <c r="B229" s="129" t="s">
        <v>62</v>
      </c>
      <c r="C229" s="24" t="str">
        <f ca="1">IFERROR(__xludf.DUMMYFUNCTION("IFERROR(VLOOKUP(B229,IMPORTRANGE(""https://docs.google.com/spreadsheets/d/1Hr4i_97qtgRe-bfuRbVkLVmXa34m06T7R6IJCbq42Xg/edit?gid=0#gid=0"",""Information!B5:S200""),4,0),"""")"),"")</f>
        <v/>
      </c>
      <c r="D229" s="130" t="s">
        <v>542</v>
      </c>
      <c r="E229" s="26" t="str">
        <f t="shared" si="2"/>
        <v>227/FS/2025</v>
      </c>
      <c r="F229" s="116"/>
      <c r="G229" s="116"/>
      <c r="H229" s="136" t="s">
        <v>535</v>
      </c>
      <c r="I229" s="124">
        <v>7000000</v>
      </c>
      <c r="J229" s="125">
        <v>0.08</v>
      </c>
      <c r="K229" s="126">
        <f t="shared" si="17"/>
        <v>560000</v>
      </c>
      <c r="L229" s="126">
        <f t="shared" si="15"/>
        <v>7560000</v>
      </c>
      <c r="M229" s="127" t="s">
        <v>20</v>
      </c>
      <c r="N229" s="118"/>
      <c r="O229" s="55"/>
      <c r="P229" s="53"/>
      <c r="Q229" s="55"/>
      <c r="R229" s="49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</row>
    <row r="230" spans="1:41" ht="41.4" x14ac:dyDescent="0.25">
      <c r="A230" s="22">
        <f t="shared" si="13"/>
        <v>227</v>
      </c>
      <c r="B230" s="129" t="s">
        <v>68</v>
      </c>
      <c r="C230" s="24" t="str">
        <f ca="1">IFERROR(__xludf.DUMMYFUNCTION("IFERROR(VLOOKUP(B230,IMPORTRANGE(""https://docs.google.com/spreadsheets/d/1Hr4i_97qtgRe-bfuRbVkLVmXa34m06T7R6IJCbq42Xg/edit?gid=0#gid=0"",""Information!B5:S200""),4,0),"""")"),"")</f>
        <v/>
      </c>
      <c r="D230" s="130" t="s">
        <v>543</v>
      </c>
      <c r="E230" s="26" t="str">
        <f t="shared" si="2"/>
        <v>228/FS/2025</v>
      </c>
      <c r="F230" s="116"/>
      <c r="G230" s="116"/>
      <c r="H230" s="136" t="s">
        <v>535</v>
      </c>
      <c r="I230" s="124">
        <v>13500000</v>
      </c>
      <c r="J230" s="125">
        <v>0.08</v>
      </c>
      <c r="K230" s="126">
        <f t="shared" si="17"/>
        <v>1080000</v>
      </c>
      <c r="L230" s="126">
        <f t="shared" si="15"/>
        <v>14580000</v>
      </c>
      <c r="M230" s="127" t="s">
        <v>20</v>
      </c>
      <c r="N230" s="118"/>
      <c r="O230" s="55"/>
      <c r="P230" s="53"/>
      <c r="Q230" s="55"/>
      <c r="R230" s="49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</row>
    <row r="231" spans="1:41" ht="41.4" x14ac:dyDescent="0.25">
      <c r="A231" s="22">
        <f t="shared" si="13"/>
        <v>228</v>
      </c>
      <c r="B231" s="129" t="s">
        <v>214</v>
      </c>
      <c r="C231" s="24" t="str">
        <f ca="1">IFERROR(__xludf.DUMMYFUNCTION("IFERROR(VLOOKUP(B231,IMPORTRANGE(""https://docs.google.com/spreadsheets/d/1Hr4i_97qtgRe-bfuRbVkLVmXa34m06T7R6IJCbq42Xg/edit?gid=0#gid=0"",""Information!B5:S200""),4,0),"""")"),"")</f>
        <v/>
      </c>
      <c r="D231" s="130" t="s">
        <v>544</v>
      </c>
      <c r="E231" s="26" t="str">
        <f t="shared" si="2"/>
        <v>229/FS/2025</v>
      </c>
      <c r="F231" s="116"/>
      <c r="G231" s="116"/>
      <c r="H231" s="136" t="s">
        <v>535</v>
      </c>
      <c r="I231" s="124">
        <v>4500000</v>
      </c>
      <c r="J231" s="125">
        <v>0.08</v>
      </c>
      <c r="K231" s="126">
        <f t="shared" si="17"/>
        <v>360000</v>
      </c>
      <c r="L231" s="126">
        <f t="shared" si="15"/>
        <v>4860000</v>
      </c>
      <c r="M231" s="127" t="s">
        <v>20</v>
      </c>
      <c r="N231" s="118"/>
      <c r="O231" s="55"/>
      <c r="P231" s="53"/>
      <c r="Q231" s="55"/>
      <c r="R231" s="49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</row>
    <row r="232" spans="1:41" ht="41.4" x14ac:dyDescent="0.25">
      <c r="A232" s="22">
        <f t="shared" si="13"/>
        <v>229</v>
      </c>
      <c r="B232" s="129" t="s">
        <v>172</v>
      </c>
      <c r="C232" s="24" t="str">
        <f ca="1">IFERROR(__xludf.DUMMYFUNCTION("IFERROR(VLOOKUP(B232,IMPORTRANGE(""https://docs.google.com/spreadsheets/d/1Hr4i_97qtgRe-bfuRbVkLVmXa34m06T7R6IJCbq42Xg/edit?gid=0#gid=0"",""Information!B5:S200""),4,0),"""")"),"")</f>
        <v/>
      </c>
      <c r="D232" s="130" t="s">
        <v>545</v>
      </c>
      <c r="E232" s="26" t="str">
        <f t="shared" si="2"/>
        <v>230/FS/2025</v>
      </c>
      <c r="F232" s="116"/>
      <c r="G232" s="116"/>
      <c r="H232" s="136" t="s">
        <v>535</v>
      </c>
      <c r="I232" s="124">
        <v>6000000</v>
      </c>
      <c r="J232" s="125">
        <v>0.08</v>
      </c>
      <c r="K232" s="126">
        <f t="shared" si="17"/>
        <v>480000</v>
      </c>
      <c r="L232" s="126">
        <f t="shared" si="15"/>
        <v>6480000</v>
      </c>
      <c r="M232" s="127" t="s">
        <v>20</v>
      </c>
      <c r="N232" s="118"/>
      <c r="O232" s="55"/>
      <c r="P232" s="53"/>
      <c r="Q232" s="55"/>
      <c r="R232" s="49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</row>
    <row r="233" spans="1:41" ht="82.8" x14ac:dyDescent="0.25">
      <c r="A233" s="22">
        <f t="shared" si="13"/>
        <v>230</v>
      </c>
      <c r="B233" s="129" t="s">
        <v>203</v>
      </c>
      <c r="C233" s="24" t="str">
        <f ca="1">IFERROR(__xludf.DUMMYFUNCTION("IFERROR(VLOOKUP(B233,IMPORTRANGE(""https://docs.google.com/spreadsheets/d/1Hr4i_97qtgRe-bfuRbVkLVmXa34m06T7R6IJCbq42Xg/edit?gid=0#gid=0"",""Information!B5:S200""),4,0),"""")"),"")</f>
        <v/>
      </c>
      <c r="D233" s="130" t="s">
        <v>546</v>
      </c>
      <c r="E233" s="26" t="str">
        <f t="shared" si="2"/>
        <v>231/FS/2025</v>
      </c>
      <c r="F233" s="116"/>
      <c r="G233" s="116"/>
      <c r="H233" s="93" t="s">
        <v>547</v>
      </c>
      <c r="I233" s="124">
        <v>30000000</v>
      </c>
      <c r="J233" s="125">
        <v>0.08</v>
      </c>
      <c r="K233" s="126">
        <f t="shared" si="17"/>
        <v>2400000</v>
      </c>
      <c r="L233" s="126">
        <f t="shared" si="15"/>
        <v>32400000</v>
      </c>
      <c r="M233" s="127" t="s">
        <v>20</v>
      </c>
      <c r="N233" s="118"/>
      <c r="O233" s="55"/>
      <c r="P233" s="53"/>
      <c r="Q233" s="55"/>
      <c r="R233" s="49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</row>
    <row r="234" spans="1:41" ht="41.4" x14ac:dyDescent="0.25">
      <c r="A234" s="22">
        <f t="shared" si="13"/>
        <v>231</v>
      </c>
      <c r="B234" s="129" t="s">
        <v>205</v>
      </c>
      <c r="C234" s="24" t="str">
        <f ca="1">IFERROR(__xludf.DUMMYFUNCTION("IFERROR(VLOOKUP(B234,IMPORTRANGE(""https://docs.google.com/spreadsheets/d/1Hr4i_97qtgRe-bfuRbVkLVmXa34m06T7R6IJCbq42Xg/edit?gid=0#gid=0"",""Information!B5:S200""),4,0),"""")"),"")</f>
        <v/>
      </c>
      <c r="D234" s="130" t="s">
        <v>548</v>
      </c>
      <c r="E234" s="26" t="str">
        <f t="shared" si="2"/>
        <v>232/FS/2025</v>
      </c>
      <c r="F234" s="116"/>
      <c r="G234" s="116"/>
      <c r="H234" s="136" t="s">
        <v>535</v>
      </c>
      <c r="I234" s="124">
        <v>7500000</v>
      </c>
      <c r="J234" s="125">
        <v>0.08</v>
      </c>
      <c r="K234" s="126">
        <f t="shared" si="17"/>
        <v>600000</v>
      </c>
      <c r="L234" s="126">
        <f t="shared" si="15"/>
        <v>8100000</v>
      </c>
      <c r="M234" s="127" t="s">
        <v>20</v>
      </c>
      <c r="N234" s="118"/>
      <c r="O234" s="55"/>
      <c r="P234" s="53"/>
      <c r="Q234" s="55"/>
      <c r="R234" s="49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</row>
    <row r="235" spans="1:41" ht="55.2" x14ac:dyDescent="0.25">
      <c r="A235" s="22">
        <f t="shared" si="13"/>
        <v>232</v>
      </c>
      <c r="B235" s="129" t="s">
        <v>210</v>
      </c>
      <c r="C235" s="24" t="str">
        <f ca="1">IFERROR(__xludf.DUMMYFUNCTION("IFERROR(VLOOKUP(B235,IMPORTRANGE(""https://docs.google.com/spreadsheets/d/1Hr4i_97qtgRe-bfuRbVkLVmXa34m06T7R6IJCbq42Xg/edit?gid=0#gid=0"",""Information!B5:S200""),4,0),"""")"),"")</f>
        <v/>
      </c>
      <c r="D235" s="130" t="s">
        <v>549</v>
      </c>
      <c r="E235" s="26" t="str">
        <f t="shared" si="2"/>
        <v>233/FS/2025</v>
      </c>
      <c r="F235" s="116"/>
      <c r="G235" s="116"/>
      <c r="H235" s="136" t="s">
        <v>550</v>
      </c>
      <c r="I235" s="124">
        <v>2500000</v>
      </c>
      <c r="J235" s="139"/>
      <c r="K235" s="126"/>
      <c r="L235" s="126">
        <f t="shared" si="15"/>
        <v>2500000</v>
      </c>
      <c r="M235" s="127" t="s">
        <v>20</v>
      </c>
      <c r="N235" s="118"/>
      <c r="O235" s="55"/>
      <c r="P235" s="53"/>
      <c r="Q235" s="55"/>
      <c r="R235" s="49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</row>
    <row r="236" spans="1:41" ht="41.4" x14ac:dyDescent="0.25">
      <c r="A236" s="22">
        <f t="shared" si="13"/>
        <v>233</v>
      </c>
      <c r="B236" s="129" t="s">
        <v>166</v>
      </c>
      <c r="C236" s="24" t="str">
        <f ca="1">IFERROR(__xludf.DUMMYFUNCTION("IFERROR(VLOOKUP(B236,IMPORTRANGE(""https://docs.google.com/spreadsheets/d/1Hr4i_97qtgRe-bfuRbVkLVmXa34m06T7R6IJCbq42Xg/edit?gid=0#gid=0"",""Information!B5:S200""),4,0),"""")"),"")</f>
        <v/>
      </c>
      <c r="D236" s="130" t="s">
        <v>551</v>
      </c>
      <c r="E236" s="26" t="str">
        <f t="shared" si="2"/>
        <v>234/FS/2025</v>
      </c>
      <c r="F236" s="116"/>
      <c r="G236" s="116"/>
      <c r="H236" s="136" t="s">
        <v>535</v>
      </c>
      <c r="I236" s="124">
        <v>11000000</v>
      </c>
      <c r="J236" s="125">
        <v>0.08</v>
      </c>
      <c r="K236" s="126">
        <f t="shared" ref="K236:K262" si="18">I236*J236</f>
        <v>880000</v>
      </c>
      <c r="L236" s="126">
        <f t="shared" si="15"/>
        <v>11880000</v>
      </c>
      <c r="M236" s="127" t="s">
        <v>20</v>
      </c>
      <c r="N236" s="118"/>
      <c r="O236" s="55"/>
      <c r="P236" s="53"/>
      <c r="Q236" s="55"/>
      <c r="R236" s="49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</row>
    <row r="237" spans="1:41" ht="55.2" x14ac:dyDescent="0.25">
      <c r="A237" s="22">
        <f t="shared" si="13"/>
        <v>234</v>
      </c>
      <c r="B237" s="129" t="s">
        <v>36</v>
      </c>
      <c r="C237" s="24" t="str">
        <f ca="1">IFERROR(__xludf.DUMMYFUNCTION("IFERROR(VLOOKUP(B237,IMPORTRANGE(""https://docs.google.com/spreadsheets/d/1Hr4i_97qtgRe-bfuRbVkLVmXa34m06T7R6IJCbq42Xg/edit?gid=0#gid=0"",""Information!B5:S200""),4,0),"""")"),"")</f>
        <v/>
      </c>
      <c r="D237" s="130" t="s">
        <v>552</v>
      </c>
      <c r="E237" s="26" t="str">
        <f t="shared" si="2"/>
        <v>235/FS/2025</v>
      </c>
      <c r="F237" s="116"/>
      <c r="G237" s="116"/>
      <c r="H237" s="136" t="s">
        <v>553</v>
      </c>
      <c r="I237" s="124">
        <v>19000000</v>
      </c>
      <c r="J237" s="125">
        <v>0.08</v>
      </c>
      <c r="K237" s="126">
        <f t="shared" si="18"/>
        <v>1520000</v>
      </c>
      <c r="L237" s="126">
        <f t="shared" si="15"/>
        <v>20520000</v>
      </c>
      <c r="M237" s="127" t="s">
        <v>20</v>
      </c>
      <c r="N237" s="118"/>
      <c r="O237" s="55"/>
      <c r="P237" s="53"/>
      <c r="Q237" s="55"/>
      <c r="R237" s="49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</row>
    <row r="238" spans="1:41" ht="41.4" x14ac:dyDescent="0.25">
      <c r="A238" s="22">
        <f t="shared" si="13"/>
        <v>235</v>
      </c>
      <c r="B238" s="129" t="s">
        <v>16</v>
      </c>
      <c r="C238" s="24" t="str">
        <f ca="1">IFERROR(__xludf.DUMMYFUNCTION("IFERROR(VLOOKUP(B238,IMPORTRANGE(""https://docs.google.com/spreadsheets/d/1Hr4i_97qtgRe-bfuRbVkLVmXa34m06T7R6IJCbq42Xg/edit?gid=0#gid=0"",""Information!B5:S200""),4,0),"""")"),"")</f>
        <v/>
      </c>
      <c r="D238" s="130" t="s">
        <v>554</v>
      </c>
      <c r="E238" s="26" t="str">
        <f t="shared" si="2"/>
        <v>236/FS/2025</v>
      </c>
      <c r="F238" s="116"/>
      <c r="G238" s="116"/>
      <c r="H238" s="136" t="s">
        <v>535</v>
      </c>
      <c r="I238" s="124">
        <v>16750000</v>
      </c>
      <c r="J238" s="125">
        <v>0.08</v>
      </c>
      <c r="K238" s="126">
        <f t="shared" si="18"/>
        <v>1340000</v>
      </c>
      <c r="L238" s="126">
        <f t="shared" si="15"/>
        <v>18090000</v>
      </c>
      <c r="M238" s="127" t="s">
        <v>20</v>
      </c>
      <c r="N238" s="118"/>
      <c r="O238" s="55"/>
      <c r="P238" s="53"/>
      <c r="Q238" s="55"/>
      <c r="R238" s="49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</row>
    <row r="239" spans="1:41" ht="41.4" x14ac:dyDescent="0.25">
      <c r="A239" s="22">
        <f t="shared" si="13"/>
        <v>236</v>
      </c>
      <c r="B239" s="129" t="s">
        <v>176</v>
      </c>
      <c r="C239" s="24" t="str">
        <f ca="1">IFERROR(__xludf.DUMMYFUNCTION("IFERROR(VLOOKUP(B239,IMPORTRANGE(""https://docs.google.com/spreadsheets/d/1Hr4i_97qtgRe-bfuRbVkLVmXa34m06T7R6IJCbq42Xg/edit?gid=0#gid=0"",""Information!B5:S200""),4,0),"""")"),"")</f>
        <v/>
      </c>
      <c r="D239" s="130" t="s">
        <v>555</v>
      </c>
      <c r="E239" s="26" t="str">
        <f t="shared" si="2"/>
        <v>237/FS/2025</v>
      </c>
      <c r="F239" s="116"/>
      <c r="G239" s="116"/>
      <c r="H239" s="136" t="s">
        <v>519</v>
      </c>
      <c r="I239" s="124">
        <v>2000000</v>
      </c>
      <c r="J239" s="125">
        <v>0.08</v>
      </c>
      <c r="K239" s="126">
        <f t="shared" si="18"/>
        <v>160000</v>
      </c>
      <c r="L239" s="126">
        <f t="shared" si="15"/>
        <v>2160000</v>
      </c>
      <c r="M239" s="127" t="s">
        <v>20</v>
      </c>
      <c r="N239" s="118"/>
      <c r="O239" s="55"/>
      <c r="P239" s="53"/>
      <c r="Q239" s="55"/>
      <c r="R239" s="49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</row>
    <row r="240" spans="1:41" ht="41.4" x14ac:dyDescent="0.25">
      <c r="A240" s="22">
        <f t="shared" si="13"/>
        <v>237</v>
      </c>
      <c r="B240" s="129" t="s">
        <v>26</v>
      </c>
      <c r="C240" s="24" t="str">
        <f ca="1">IFERROR(__xludf.DUMMYFUNCTION("IFERROR(VLOOKUP(B240,IMPORTRANGE(""https://docs.google.com/spreadsheets/d/1Hr4i_97qtgRe-bfuRbVkLVmXa34m06T7R6IJCbq42Xg/edit?gid=0#gid=0"",""Information!B5:S200""),4,0),"""")"),"")</f>
        <v/>
      </c>
      <c r="D240" s="130" t="s">
        <v>556</v>
      </c>
      <c r="E240" s="26" t="str">
        <f t="shared" si="2"/>
        <v>238/FS/2025</v>
      </c>
      <c r="F240" s="116"/>
      <c r="G240" s="116"/>
      <c r="H240" s="136" t="s">
        <v>535</v>
      </c>
      <c r="I240" s="124">
        <v>8500000</v>
      </c>
      <c r="J240" s="125">
        <v>0.08</v>
      </c>
      <c r="K240" s="126">
        <f t="shared" si="18"/>
        <v>680000</v>
      </c>
      <c r="L240" s="126">
        <f t="shared" si="15"/>
        <v>9180000</v>
      </c>
      <c r="M240" s="127" t="s">
        <v>20</v>
      </c>
      <c r="N240" s="118"/>
      <c r="O240" s="55"/>
      <c r="P240" s="53"/>
      <c r="Q240" s="55"/>
      <c r="R240" s="49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</row>
    <row r="241" spans="1:41" ht="41.4" x14ac:dyDescent="0.25">
      <c r="A241" s="22">
        <f t="shared" si="13"/>
        <v>238</v>
      </c>
      <c r="B241" s="129" t="s">
        <v>76</v>
      </c>
      <c r="C241" s="24" t="str">
        <f ca="1">IFERROR(__xludf.DUMMYFUNCTION("IFERROR(VLOOKUP(B241,IMPORTRANGE(""https://docs.google.com/spreadsheets/d/1Hr4i_97qtgRe-bfuRbVkLVmXa34m06T7R6IJCbq42Xg/edit?gid=0#gid=0"",""Information!B5:S200""),4,0),"""")"),"")</f>
        <v/>
      </c>
      <c r="D241" s="130" t="s">
        <v>557</v>
      </c>
      <c r="E241" s="26" t="str">
        <f t="shared" si="2"/>
        <v>239/FS/2025</v>
      </c>
      <c r="F241" s="116"/>
      <c r="G241" s="116"/>
      <c r="H241" s="136" t="s">
        <v>535</v>
      </c>
      <c r="I241" s="124">
        <v>9750000</v>
      </c>
      <c r="J241" s="125">
        <v>0.08</v>
      </c>
      <c r="K241" s="126">
        <f t="shared" si="18"/>
        <v>780000</v>
      </c>
      <c r="L241" s="126">
        <f t="shared" si="15"/>
        <v>10530000</v>
      </c>
      <c r="M241" s="127" t="s">
        <v>20</v>
      </c>
      <c r="N241" s="118"/>
      <c r="O241" s="55"/>
      <c r="P241" s="53"/>
      <c r="Q241" s="55"/>
      <c r="R241" s="49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</row>
    <row r="242" spans="1:41" ht="41.4" x14ac:dyDescent="0.25">
      <c r="A242" s="22">
        <f t="shared" si="13"/>
        <v>239</v>
      </c>
      <c r="B242" s="129" t="s">
        <v>98</v>
      </c>
      <c r="C242" s="24" t="str">
        <f ca="1">IFERROR(__xludf.DUMMYFUNCTION("IFERROR(VLOOKUP(B242,IMPORTRANGE(""https://docs.google.com/spreadsheets/d/1Hr4i_97qtgRe-bfuRbVkLVmXa34m06T7R6IJCbq42Xg/edit?gid=0#gid=0"",""Information!B5:S200""),4,0),"""")"),"")</f>
        <v/>
      </c>
      <c r="D242" s="130" t="s">
        <v>558</v>
      </c>
      <c r="E242" s="26" t="str">
        <f t="shared" si="2"/>
        <v>240/FS/2025</v>
      </c>
      <c r="F242" s="116"/>
      <c r="G242" s="116"/>
      <c r="H242" s="136" t="s">
        <v>519</v>
      </c>
      <c r="I242" s="124">
        <v>2000000</v>
      </c>
      <c r="J242" s="125">
        <v>0.08</v>
      </c>
      <c r="K242" s="126">
        <f t="shared" si="18"/>
        <v>160000</v>
      </c>
      <c r="L242" s="126">
        <f t="shared" si="15"/>
        <v>2160000</v>
      </c>
      <c r="M242" s="127" t="s">
        <v>20</v>
      </c>
      <c r="N242" s="118"/>
      <c r="O242" s="55"/>
      <c r="P242" s="53"/>
      <c r="Q242" s="55"/>
      <c r="R242" s="49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</row>
    <row r="243" spans="1:41" ht="41.4" x14ac:dyDescent="0.25">
      <c r="A243" s="22">
        <f t="shared" si="13"/>
        <v>240</v>
      </c>
      <c r="B243" s="129" t="s">
        <v>108</v>
      </c>
      <c r="C243" s="24" t="str">
        <f ca="1">IFERROR(__xludf.DUMMYFUNCTION("IFERROR(VLOOKUP(B243,IMPORTRANGE(""https://docs.google.com/spreadsheets/d/1Hr4i_97qtgRe-bfuRbVkLVmXa34m06T7R6IJCbq42Xg/edit?gid=0#gid=0"",""Information!B5:S200""),4,0),"""")"),"")</f>
        <v/>
      </c>
      <c r="D243" s="130" t="s">
        <v>559</v>
      </c>
      <c r="E243" s="26" t="str">
        <f t="shared" si="2"/>
        <v>241/FS/2025</v>
      </c>
      <c r="F243" s="116"/>
      <c r="G243" s="116"/>
      <c r="H243" s="136" t="s">
        <v>560</v>
      </c>
      <c r="I243" s="124">
        <v>15250000</v>
      </c>
      <c r="J243" s="125">
        <v>0.08</v>
      </c>
      <c r="K243" s="126">
        <f t="shared" si="18"/>
        <v>1220000</v>
      </c>
      <c r="L243" s="126">
        <f t="shared" si="15"/>
        <v>16470000</v>
      </c>
      <c r="M243" s="127" t="s">
        <v>20</v>
      </c>
      <c r="N243" s="118"/>
      <c r="O243" s="55"/>
      <c r="P243" s="53"/>
      <c r="Q243" s="55"/>
      <c r="R243" s="49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</row>
    <row r="244" spans="1:41" ht="41.4" x14ac:dyDescent="0.25">
      <c r="A244" s="22">
        <f t="shared" si="13"/>
        <v>241</v>
      </c>
      <c r="B244" s="129" t="s">
        <v>110</v>
      </c>
      <c r="C244" s="24" t="str">
        <f ca="1">IFERROR(__xludf.DUMMYFUNCTION("IFERROR(VLOOKUP(B244,IMPORTRANGE(""https://docs.google.com/spreadsheets/d/1Hr4i_97qtgRe-bfuRbVkLVmXa34m06T7R6IJCbq42Xg/edit?gid=0#gid=0"",""Information!B5:S200""),4,0),"""")"),"")</f>
        <v/>
      </c>
      <c r="D244" s="130" t="s">
        <v>561</v>
      </c>
      <c r="E244" s="26" t="str">
        <f t="shared" si="2"/>
        <v>242/FS/2025</v>
      </c>
      <c r="F244" s="116"/>
      <c r="G244" s="116"/>
      <c r="H244" s="136" t="s">
        <v>519</v>
      </c>
      <c r="I244" s="124">
        <v>3000000</v>
      </c>
      <c r="J244" s="125">
        <v>0.08</v>
      </c>
      <c r="K244" s="126">
        <f t="shared" si="18"/>
        <v>240000</v>
      </c>
      <c r="L244" s="126">
        <f t="shared" si="15"/>
        <v>3240000</v>
      </c>
      <c r="M244" s="127" t="s">
        <v>20</v>
      </c>
      <c r="N244" s="118"/>
      <c r="O244" s="55"/>
      <c r="P244" s="53"/>
      <c r="Q244" s="55"/>
      <c r="R244" s="49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</row>
    <row r="245" spans="1:41" ht="41.4" x14ac:dyDescent="0.25">
      <c r="A245" s="22">
        <f t="shared" si="13"/>
        <v>242</v>
      </c>
      <c r="B245" s="129" t="s">
        <v>112</v>
      </c>
      <c r="C245" s="24" t="str">
        <f ca="1">IFERROR(__xludf.DUMMYFUNCTION("IFERROR(VLOOKUP(B245,IMPORTRANGE(""https://docs.google.com/spreadsheets/d/1Hr4i_97qtgRe-bfuRbVkLVmXa34m06T7R6IJCbq42Xg/edit?gid=0#gid=0"",""Information!B5:S200""),4,0),"""")"),"")</f>
        <v/>
      </c>
      <c r="D245" s="130" t="s">
        <v>562</v>
      </c>
      <c r="E245" s="26" t="str">
        <f t="shared" si="2"/>
        <v>243/FS/2025</v>
      </c>
      <c r="F245" s="116"/>
      <c r="G245" s="116"/>
      <c r="H245" s="136" t="s">
        <v>560</v>
      </c>
      <c r="I245" s="124">
        <v>20250000</v>
      </c>
      <c r="J245" s="125">
        <v>0.08</v>
      </c>
      <c r="K245" s="126">
        <f t="shared" si="18"/>
        <v>1620000</v>
      </c>
      <c r="L245" s="126">
        <f t="shared" si="15"/>
        <v>21870000</v>
      </c>
      <c r="M245" s="127" t="s">
        <v>20</v>
      </c>
      <c r="N245" s="118"/>
      <c r="O245" s="55"/>
      <c r="P245" s="53"/>
      <c r="Q245" s="55"/>
      <c r="R245" s="49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</row>
    <row r="246" spans="1:41" ht="55.2" x14ac:dyDescent="0.25">
      <c r="A246" s="22">
        <f t="shared" si="13"/>
        <v>243</v>
      </c>
      <c r="B246" s="129" t="s">
        <v>120</v>
      </c>
      <c r="C246" s="24" t="str">
        <f ca="1">IFERROR(__xludf.DUMMYFUNCTION("IFERROR(VLOOKUP(B246,IMPORTRANGE(""https://docs.google.com/spreadsheets/d/1Hr4i_97qtgRe-bfuRbVkLVmXa34m06T7R6IJCbq42Xg/edit?gid=0#gid=0"",""Information!B5:S200""),4,0),"""")"),"")</f>
        <v/>
      </c>
      <c r="D246" s="130" t="s">
        <v>563</v>
      </c>
      <c r="E246" s="26" t="str">
        <f t="shared" si="2"/>
        <v>244/FS/2025</v>
      </c>
      <c r="F246" s="116"/>
      <c r="G246" s="116"/>
      <c r="H246" s="136" t="s">
        <v>564</v>
      </c>
      <c r="I246" s="124">
        <v>12500000</v>
      </c>
      <c r="J246" s="125">
        <v>0.08</v>
      </c>
      <c r="K246" s="126">
        <f t="shared" si="18"/>
        <v>1000000</v>
      </c>
      <c r="L246" s="126">
        <f t="shared" si="15"/>
        <v>13500000</v>
      </c>
      <c r="M246" s="127" t="s">
        <v>20</v>
      </c>
      <c r="N246" s="118"/>
      <c r="O246" s="55"/>
      <c r="P246" s="53"/>
      <c r="Q246" s="55"/>
      <c r="R246" s="49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</row>
    <row r="247" spans="1:41" ht="41.4" x14ac:dyDescent="0.25">
      <c r="A247" s="22">
        <f t="shared" si="13"/>
        <v>244</v>
      </c>
      <c r="B247" s="129" t="s">
        <v>132</v>
      </c>
      <c r="C247" s="24" t="str">
        <f ca="1">IFERROR(__xludf.DUMMYFUNCTION("IFERROR(VLOOKUP(B247,IMPORTRANGE(""https://docs.google.com/spreadsheets/d/1Hr4i_97qtgRe-bfuRbVkLVmXa34m06T7R6IJCbq42Xg/edit?gid=0#gid=0"",""Information!B5:S200""),4,0),"""")"),"")</f>
        <v/>
      </c>
      <c r="D247" s="130" t="s">
        <v>565</v>
      </c>
      <c r="E247" s="26" t="str">
        <f t="shared" si="2"/>
        <v>245/FS/2025</v>
      </c>
      <c r="F247" s="116"/>
      <c r="G247" s="116"/>
      <c r="H247" s="136" t="s">
        <v>535</v>
      </c>
      <c r="I247" s="124">
        <v>6500000</v>
      </c>
      <c r="J247" s="125">
        <v>0.08</v>
      </c>
      <c r="K247" s="126">
        <f t="shared" si="18"/>
        <v>520000</v>
      </c>
      <c r="L247" s="126">
        <f t="shared" si="15"/>
        <v>7020000</v>
      </c>
      <c r="M247" s="127" t="s">
        <v>20</v>
      </c>
      <c r="N247" s="118"/>
      <c r="O247" s="55"/>
      <c r="P247" s="53"/>
      <c r="Q247" s="55"/>
      <c r="R247" s="49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</row>
    <row r="248" spans="1:41" ht="41.4" x14ac:dyDescent="0.25">
      <c r="A248" s="22">
        <f t="shared" si="13"/>
        <v>245</v>
      </c>
      <c r="B248" s="129" t="s">
        <v>142</v>
      </c>
      <c r="C248" s="24" t="str">
        <f ca="1">IFERROR(__xludf.DUMMYFUNCTION("IFERROR(VLOOKUP(B248,IMPORTRANGE(""https://docs.google.com/spreadsheets/d/1Hr4i_97qtgRe-bfuRbVkLVmXa34m06T7R6IJCbq42Xg/edit?gid=0#gid=0"",""Information!B5:S200""),4,0),"""")"),"")</f>
        <v/>
      </c>
      <c r="D248" s="130" t="s">
        <v>566</v>
      </c>
      <c r="E248" s="26" t="str">
        <f t="shared" si="2"/>
        <v>246/FS/2025</v>
      </c>
      <c r="F248" s="116"/>
      <c r="G248" s="116"/>
      <c r="H248" s="136" t="s">
        <v>519</v>
      </c>
      <c r="I248" s="124">
        <v>9500000</v>
      </c>
      <c r="J248" s="125">
        <v>0.08</v>
      </c>
      <c r="K248" s="126">
        <f t="shared" si="18"/>
        <v>760000</v>
      </c>
      <c r="L248" s="126">
        <f t="shared" si="15"/>
        <v>10260000</v>
      </c>
      <c r="M248" s="127" t="s">
        <v>20</v>
      </c>
      <c r="N248" s="118"/>
      <c r="O248" s="55"/>
      <c r="P248" s="53"/>
      <c r="Q248" s="55"/>
      <c r="R248" s="49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</row>
    <row r="249" spans="1:41" ht="41.4" x14ac:dyDescent="0.25">
      <c r="A249" s="22">
        <f t="shared" si="13"/>
        <v>246</v>
      </c>
      <c r="B249" s="129" t="s">
        <v>148</v>
      </c>
      <c r="C249" s="24" t="str">
        <f ca="1">IFERROR(__xludf.DUMMYFUNCTION("IFERROR(VLOOKUP(B249,IMPORTRANGE(""https://docs.google.com/spreadsheets/d/1Hr4i_97qtgRe-bfuRbVkLVmXa34m06T7R6IJCbq42Xg/edit?gid=0#gid=0"",""Information!B5:S200""),4,0),"""")"),"")</f>
        <v/>
      </c>
      <c r="D249" s="130" t="s">
        <v>567</v>
      </c>
      <c r="E249" s="26" t="str">
        <f t="shared" si="2"/>
        <v>247/FS/2025</v>
      </c>
      <c r="F249" s="116"/>
      <c r="G249" s="116"/>
      <c r="H249" s="136" t="s">
        <v>519</v>
      </c>
      <c r="I249" s="124">
        <v>2000000</v>
      </c>
      <c r="J249" s="125">
        <v>0.08</v>
      </c>
      <c r="K249" s="126">
        <f t="shared" si="18"/>
        <v>160000</v>
      </c>
      <c r="L249" s="126">
        <f t="shared" si="15"/>
        <v>2160000</v>
      </c>
      <c r="M249" s="127" t="s">
        <v>20</v>
      </c>
      <c r="N249" s="118"/>
      <c r="O249" s="55"/>
      <c r="P249" s="53"/>
      <c r="Q249" s="55"/>
      <c r="R249" s="49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</row>
    <row r="250" spans="1:41" ht="41.4" x14ac:dyDescent="0.25">
      <c r="A250" s="22">
        <f t="shared" si="13"/>
        <v>247</v>
      </c>
      <c r="B250" s="129" t="s">
        <v>156</v>
      </c>
      <c r="C250" s="24" t="str">
        <f ca="1">IFERROR(__xludf.DUMMYFUNCTION("IFERROR(VLOOKUP(B250,IMPORTRANGE(""https://docs.google.com/spreadsheets/d/1Hr4i_97qtgRe-bfuRbVkLVmXa34m06T7R6IJCbq42Xg/edit?gid=0#gid=0"",""Information!B5:S200""),4,0),"""")"),"")</f>
        <v/>
      </c>
      <c r="D250" s="130" t="s">
        <v>568</v>
      </c>
      <c r="E250" s="26" t="str">
        <f t="shared" si="2"/>
        <v>248/FS/2025</v>
      </c>
      <c r="F250" s="116"/>
      <c r="G250" s="116"/>
      <c r="H250" s="136" t="s">
        <v>535</v>
      </c>
      <c r="I250" s="124">
        <v>15250000</v>
      </c>
      <c r="J250" s="125">
        <v>0.08</v>
      </c>
      <c r="K250" s="126">
        <f t="shared" si="18"/>
        <v>1220000</v>
      </c>
      <c r="L250" s="126">
        <f t="shared" si="15"/>
        <v>16470000</v>
      </c>
      <c r="M250" s="127" t="s">
        <v>20</v>
      </c>
      <c r="N250" s="118"/>
      <c r="O250" s="55"/>
      <c r="P250" s="53"/>
      <c r="Q250" s="55"/>
      <c r="R250" s="49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</row>
    <row r="251" spans="1:41" ht="41.4" x14ac:dyDescent="0.25">
      <c r="A251" s="22">
        <f t="shared" si="13"/>
        <v>248</v>
      </c>
      <c r="B251" s="129" t="s">
        <v>170</v>
      </c>
      <c r="C251" s="24" t="str">
        <f ca="1">IFERROR(__xludf.DUMMYFUNCTION("IFERROR(VLOOKUP(B251,IMPORTRANGE(""https://docs.google.com/spreadsheets/d/1Hr4i_97qtgRe-bfuRbVkLVmXa34m06T7R6IJCbq42Xg/edit?gid=0#gid=0"",""Information!B5:S200""),4,0),"""")"),"")</f>
        <v/>
      </c>
      <c r="D251" s="130" t="s">
        <v>569</v>
      </c>
      <c r="E251" s="26" t="str">
        <f t="shared" si="2"/>
        <v>249/FS/2025</v>
      </c>
      <c r="F251" s="116"/>
      <c r="G251" s="116"/>
      <c r="H251" s="136" t="s">
        <v>535</v>
      </c>
      <c r="I251" s="124">
        <v>6000000</v>
      </c>
      <c r="J251" s="125">
        <v>0.08</v>
      </c>
      <c r="K251" s="126">
        <f t="shared" si="18"/>
        <v>480000</v>
      </c>
      <c r="L251" s="126">
        <f t="shared" si="15"/>
        <v>6480000</v>
      </c>
      <c r="M251" s="127" t="s">
        <v>20</v>
      </c>
      <c r="N251" s="118"/>
      <c r="O251" s="55"/>
      <c r="P251" s="53"/>
      <c r="Q251" s="55"/>
      <c r="R251" s="49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</row>
    <row r="252" spans="1:41" ht="41.4" x14ac:dyDescent="0.25">
      <c r="A252" s="22">
        <f t="shared" si="13"/>
        <v>249</v>
      </c>
      <c r="B252" s="129" t="s">
        <v>212</v>
      </c>
      <c r="C252" s="24" t="str">
        <f ca="1">IFERROR(__xludf.DUMMYFUNCTION("IFERROR(VLOOKUP(B252,IMPORTRANGE(""https://docs.google.com/spreadsheets/d/1Hr4i_97qtgRe-bfuRbVkLVmXa34m06T7R6IJCbq42Xg/edit?gid=0#gid=0"",""Information!B5:S200""),4,0),"""")"),"")</f>
        <v/>
      </c>
      <c r="D252" s="130" t="s">
        <v>570</v>
      </c>
      <c r="E252" s="26" t="str">
        <f t="shared" si="2"/>
        <v>250/FS/2025</v>
      </c>
      <c r="F252" s="116"/>
      <c r="G252" s="116"/>
      <c r="H252" s="136" t="s">
        <v>519</v>
      </c>
      <c r="I252" s="124">
        <v>2000000</v>
      </c>
      <c r="J252" s="125">
        <v>0.08</v>
      </c>
      <c r="K252" s="126">
        <f t="shared" si="18"/>
        <v>160000</v>
      </c>
      <c r="L252" s="126">
        <f t="shared" si="15"/>
        <v>2160000</v>
      </c>
      <c r="M252" s="127" t="s">
        <v>20</v>
      </c>
      <c r="N252" s="118"/>
      <c r="O252" s="55"/>
      <c r="P252" s="53"/>
      <c r="Q252" s="55"/>
      <c r="R252" s="49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</row>
    <row r="253" spans="1:41" ht="41.4" x14ac:dyDescent="0.25">
      <c r="A253" s="22">
        <f t="shared" si="13"/>
        <v>250</v>
      </c>
      <c r="B253" s="129" t="s">
        <v>56</v>
      </c>
      <c r="C253" s="24" t="str">
        <f ca="1">IFERROR(__xludf.DUMMYFUNCTION("IFERROR(VLOOKUP(B253,IMPORTRANGE(""https://docs.google.com/spreadsheets/d/1Hr4i_97qtgRe-bfuRbVkLVmXa34m06T7R6IJCbq42Xg/edit?gid=0#gid=0"",""Information!B5:S200""),4,0),"""")"),"")</f>
        <v/>
      </c>
      <c r="D253" s="130" t="s">
        <v>571</v>
      </c>
      <c r="E253" s="26" t="str">
        <f t="shared" si="2"/>
        <v>251/FS/2025</v>
      </c>
      <c r="F253" s="116"/>
      <c r="G253" s="116"/>
      <c r="H253" s="136" t="s">
        <v>535</v>
      </c>
      <c r="I253" s="124">
        <v>6900000</v>
      </c>
      <c r="J253" s="125">
        <v>0.08</v>
      </c>
      <c r="K253" s="126">
        <f t="shared" si="18"/>
        <v>552000</v>
      </c>
      <c r="L253" s="126">
        <f t="shared" si="15"/>
        <v>7452000</v>
      </c>
      <c r="M253" s="127" t="s">
        <v>20</v>
      </c>
      <c r="N253" s="118"/>
      <c r="O253" s="55"/>
      <c r="P253" s="53"/>
      <c r="Q253" s="55"/>
      <c r="R253" s="49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</row>
    <row r="254" spans="1:41" ht="41.4" x14ac:dyDescent="0.25">
      <c r="A254" s="22">
        <f t="shared" si="13"/>
        <v>251</v>
      </c>
      <c r="B254" s="129" t="s">
        <v>54</v>
      </c>
      <c r="C254" s="24" t="str">
        <f ca="1">IFERROR(__xludf.DUMMYFUNCTION("IFERROR(VLOOKUP(B254,IMPORTRANGE(""https://docs.google.com/spreadsheets/d/1Hr4i_97qtgRe-bfuRbVkLVmXa34m06T7R6IJCbq42Xg/edit?gid=0#gid=0"",""Information!B5:S200""),4,0),"""")"),"")</f>
        <v/>
      </c>
      <c r="D254" s="130" t="s">
        <v>572</v>
      </c>
      <c r="E254" s="26" t="str">
        <f t="shared" si="2"/>
        <v>252/FS/2025</v>
      </c>
      <c r="F254" s="116"/>
      <c r="G254" s="116"/>
      <c r="H254" s="136" t="s">
        <v>535</v>
      </c>
      <c r="I254" s="124">
        <v>7250000</v>
      </c>
      <c r="J254" s="125">
        <v>0.08</v>
      </c>
      <c r="K254" s="126">
        <f t="shared" si="18"/>
        <v>580000</v>
      </c>
      <c r="L254" s="126">
        <f t="shared" si="15"/>
        <v>7830000</v>
      </c>
      <c r="M254" s="127" t="s">
        <v>20</v>
      </c>
      <c r="N254" s="118"/>
      <c r="O254" s="55"/>
      <c r="P254" s="53"/>
      <c r="Q254" s="55"/>
      <c r="R254" s="49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</row>
    <row r="255" spans="1:41" ht="41.4" x14ac:dyDescent="0.25">
      <c r="A255" s="22">
        <f t="shared" si="13"/>
        <v>252</v>
      </c>
      <c r="B255" s="129" t="s">
        <v>80</v>
      </c>
      <c r="C255" s="24" t="str">
        <f ca="1">IFERROR(__xludf.DUMMYFUNCTION("IFERROR(VLOOKUP(B255,IMPORTRANGE(""https://docs.google.com/spreadsheets/d/1Hr4i_97qtgRe-bfuRbVkLVmXa34m06T7R6IJCbq42Xg/edit?gid=0#gid=0"",""Information!B5:S200""),4,0),"""")"),"")</f>
        <v/>
      </c>
      <c r="D255" s="130" t="s">
        <v>573</v>
      </c>
      <c r="E255" s="26" t="str">
        <f t="shared" si="2"/>
        <v>253/FS/2025</v>
      </c>
      <c r="F255" s="116"/>
      <c r="G255" s="116"/>
      <c r="H255" s="136" t="s">
        <v>535</v>
      </c>
      <c r="I255" s="124">
        <v>12000000</v>
      </c>
      <c r="J255" s="125">
        <v>0.08</v>
      </c>
      <c r="K255" s="126">
        <f t="shared" si="18"/>
        <v>960000</v>
      </c>
      <c r="L255" s="126">
        <f t="shared" si="15"/>
        <v>12960000</v>
      </c>
      <c r="M255" s="127" t="s">
        <v>20</v>
      </c>
      <c r="N255" s="118"/>
      <c r="O255" s="55"/>
      <c r="P255" s="53"/>
      <c r="Q255" s="55"/>
      <c r="R255" s="49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</row>
    <row r="256" spans="1:41" ht="82.8" x14ac:dyDescent="0.25">
      <c r="A256" s="22">
        <f t="shared" si="13"/>
        <v>253</v>
      </c>
      <c r="B256" s="129" t="s">
        <v>207</v>
      </c>
      <c r="C256" s="24" t="str">
        <f ca="1">IFERROR(__xludf.DUMMYFUNCTION("IFERROR(VLOOKUP(B256,IMPORTRANGE(""https://docs.google.com/spreadsheets/d/1Hr4i_97qtgRe-bfuRbVkLVmXa34m06T7R6IJCbq42Xg/edit?gid=0#gid=0"",""Information!B5:S200""),4,0),"""")"),"")</f>
        <v/>
      </c>
      <c r="D256" s="130" t="s">
        <v>574</v>
      </c>
      <c r="E256" s="26" t="str">
        <f t="shared" si="2"/>
        <v>254/FS/2025</v>
      </c>
      <c r="F256" s="116"/>
      <c r="G256" s="116"/>
      <c r="H256" s="93" t="s">
        <v>575</v>
      </c>
      <c r="I256" s="124">
        <v>20000000</v>
      </c>
      <c r="J256" s="125">
        <v>0.08</v>
      </c>
      <c r="K256" s="126">
        <f t="shared" si="18"/>
        <v>1600000</v>
      </c>
      <c r="L256" s="126">
        <f t="shared" si="15"/>
        <v>21600000</v>
      </c>
      <c r="M256" s="127" t="s">
        <v>20</v>
      </c>
      <c r="N256" s="118"/>
      <c r="O256" s="55"/>
      <c r="P256" s="53"/>
      <c r="Q256" s="55"/>
      <c r="R256" s="49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</row>
    <row r="257" spans="1:41" ht="41.4" x14ac:dyDescent="0.25">
      <c r="A257" s="22">
        <f t="shared" si="13"/>
        <v>254</v>
      </c>
      <c r="B257" s="129" t="s">
        <v>207</v>
      </c>
      <c r="C257" s="24" t="str">
        <f ca="1">IFERROR(__xludf.DUMMYFUNCTION("IFERROR(VLOOKUP(B257,IMPORTRANGE(""https://docs.google.com/spreadsheets/d/1Hr4i_97qtgRe-bfuRbVkLVmXa34m06T7R6IJCbq42Xg/edit?gid=0#gid=0"",""Information!B5:S200""),4,0),"""")"),"")</f>
        <v/>
      </c>
      <c r="D257" s="130" t="s">
        <v>576</v>
      </c>
      <c r="E257" s="26" t="str">
        <f t="shared" si="2"/>
        <v>255/FS/2025</v>
      </c>
      <c r="F257" s="116"/>
      <c r="G257" s="116"/>
      <c r="H257" s="136" t="s">
        <v>577</v>
      </c>
      <c r="I257" s="124">
        <v>10000000</v>
      </c>
      <c r="J257" s="125">
        <v>0.08</v>
      </c>
      <c r="K257" s="126">
        <f t="shared" si="18"/>
        <v>800000</v>
      </c>
      <c r="L257" s="126">
        <f t="shared" si="15"/>
        <v>10800000</v>
      </c>
      <c r="M257" s="127" t="s">
        <v>20</v>
      </c>
      <c r="N257" s="118"/>
      <c r="O257" s="55"/>
      <c r="P257" s="53"/>
      <c r="Q257" s="55"/>
      <c r="R257" s="49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</row>
    <row r="258" spans="1:41" ht="41.4" x14ac:dyDescent="0.25">
      <c r="A258" s="22">
        <f t="shared" si="13"/>
        <v>255</v>
      </c>
      <c r="B258" s="129" t="s">
        <v>122</v>
      </c>
      <c r="C258" s="24" t="str">
        <f ca="1">IFERROR(__xludf.DUMMYFUNCTION("IFERROR(VLOOKUP(B258,IMPORTRANGE(""https://docs.google.com/spreadsheets/d/1Hr4i_97qtgRe-bfuRbVkLVmXa34m06T7R6IJCbq42Xg/edit?gid=0#gid=0"",""Information!B5:S200""),4,0),"""")"),"")</f>
        <v/>
      </c>
      <c r="D258" s="130" t="s">
        <v>578</v>
      </c>
      <c r="E258" s="26" t="str">
        <f t="shared" si="2"/>
        <v>256/FS/2025</v>
      </c>
      <c r="F258" s="116"/>
      <c r="G258" s="116"/>
      <c r="H258" s="136" t="s">
        <v>577</v>
      </c>
      <c r="I258" s="124">
        <v>8000000</v>
      </c>
      <c r="J258" s="125">
        <v>0.08</v>
      </c>
      <c r="K258" s="126">
        <f t="shared" si="18"/>
        <v>640000</v>
      </c>
      <c r="L258" s="126">
        <f t="shared" si="15"/>
        <v>8640000</v>
      </c>
      <c r="M258" s="127" t="s">
        <v>20</v>
      </c>
      <c r="N258" s="118"/>
      <c r="O258" s="55"/>
      <c r="P258" s="53"/>
      <c r="Q258" s="55"/>
      <c r="R258" s="49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</row>
    <row r="259" spans="1:41" ht="13.8" x14ac:dyDescent="0.25">
      <c r="A259" s="22">
        <f t="shared" si="13"/>
        <v>256</v>
      </c>
      <c r="B259" s="129" t="s">
        <v>217</v>
      </c>
      <c r="C259" s="38" t="s">
        <v>218</v>
      </c>
      <c r="D259" s="130" t="s">
        <v>219</v>
      </c>
      <c r="E259" s="26" t="str">
        <f t="shared" ref="E259:E287" si="19">IF(B259="","",(D259 &amp;"/FS/2026"))</f>
        <v>0001/FS/2026</v>
      </c>
      <c r="F259" s="116"/>
      <c r="G259" s="116"/>
      <c r="H259" s="136" t="s">
        <v>579</v>
      </c>
      <c r="I259" s="124">
        <v>5000000</v>
      </c>
      <c r="J259" s="125">
        <v>0.08</v>
      </c>
      <c r="K259" s="126">
        <f t="shared" si="18"/>
        <v>400000</v>
      </c>
      <c r="L259" s="126">
        <f t="shared" si="15"/>
        <v>5400000</v>
      </c>
      <c r="M259" s="127" t="s">
        <v>20</v>
      </c>
      <c r="N259" s="118"/>
      <c r="O259" s="55"/>
      <c r="P259" s="53"/>
      <c r="Q259" s="55"/>
      <c r="R259" s="49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</row>
    <row r="260" spans="1:41" ht="13.8" x14ac:dyDescent="0.25">
      <c r="A260" s="22">
        <f t="shared" si="13"/>
        <v>257</v>
      </c>
      <c r="B260" s="129" t="s">
        <v>397</v>
      </c>
      <c r="C260" s="48" t="s">
        <v>513</v>
      </c>
      <c r="D260" s="130" t="s">
        <v>220</v>
      </c>
      <c r="E260" s="26" t="str">
        <f t="shared" si="19"/>
        <v>0002/FS/2026</v>
      </c>
      <c r="F260" s="116"/>
      <c r="G260" s="116"/>
      <c r="H260" s="136" t="s">
        <v>580</v>
      </c>
      <c r="I260" s="124">
        <v>1200000</v>
      </c>
      <c r="J260" s="125">
        <v>0.08</v>
      </c>
      <c r="K260" s="126">
        <f t="shared" si="18"/>
        <v>96000</v>
      </c>
      <c r="L260" s="126">
        <f t="shared" si="15"/>
        <v>1296000</v>
      </c>
      <c r="M260" s="127" t="s">
        <v>20</v>
      </c>
      <c r="N260" s="118"/>
      <c r="O260" s="55"/>
      <c r="P260" s="53"/>
      <c r="Q260" s="55"/>
      <c r="R260" s="49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</row>
    <row r="261" spans="1:41" ht="13.8" x14ac:dyDescent="0.25">
      <c r="A261" s="22">
        <f t="shared" si="13"/>
        <v>258</v>
      </c>
      <c r="B261" s="129" t="s">
        <v>395</v>
      </c>
      <c r="C261" s="48" t="s">
        <v>581</v>
      </c>
      <c r="D261" s="130" t="s">
        <v>221</v>
      </c>
      <c r="E261" s="26" t="str">
        <f t="shared" si="19"/>
        <v>0003/FS/2026</v>
      </c>
      <c r="F261" s="116"/>
      <c r="G261" s="116"/>
      <c r="H261" s="136" t="s">
        <v>580</v>
      </c>
      <c r="I261" s="124">
        <v>1200000</v>
      </c>
      <c r="J261" s="125">
        <v>0.08</v>
      </c>
      <c r="K261" s="126">
        <f t="shared" si="18"/>
        <v>96000</v>
      </c>
      <c r="L261" s="126">
        <f t="shared" si="15"/>
        <v>1296000</v>
      </c>
      <c r="M261" s="127" t="s">
        <v>20</v>
      </c>
      <c r="N261" s="118"/>
      <c r="O261" s="55"/>
      <c r="P261" s="53"/>
      <c r="Q261" s="55"/>
      <c r="R261" s="49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</row>
    <row r="262" spans="1:41" ht="13.8" x14ac:dyDescent="0.25">
      <c r="A262" s="22">
        <f t="shared" si="13"/>
        <v>259</v>
      </c>
      <c r="B262" s="129" t="s">
        <v>398</v>
      </c>
      <c r="C262" s="48" t="s">
        <v>509</v>
      </c>
      <c r="D262" s="130" t="s">
        <v>222</v>
      </c>
      <c r="E262" s="26" t="str">
        <f t="shared" si="19"/>
        <v>0004/FS/2026</v>
      </c>
      <c r="F262" s="116"/>
      <c r="G262" s="116"/>
      <c r="H262" s="136" t="s">
        <v>580</v>
      </c>
      <c r="I262" s="124">
        <v>1200000</v>
      </c>
      <c r="J262" s="125">
        <v>0.08</v>
      </c>
      <c r="K262" s="126">
        <f t="shared" si="18"/>
        <v>96000</v>
      </c>
      <c r="L262" s="126">
        <f t="shared" si="15"/>
        <v>1296000</v>
      </c>
      <c r="M262" s="127" t="s">
        <v>20</v>
      </c>
      <c r="N262" s="118"/>
      <c r="O262" s="55"/>
      <c r="P262" s="53"/>
      <c r="Q262" s="55"/>
      <c r="R262" s="49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</row>
    <row r="263" spans="1:41" ht="41.4" x14ac:dyDescent="0.25">
      <c r="A263" s="22">
        <f t="shared" si="13"/>
        <v>260</v>
      </c>
      <c r="B263" s="129" t="s">
        <v>210</v>
      </c>
      <c r="C263" s="24" t="str">
        <f ca="1">IFERROR(__xludf.DUMMYFUNCTION("IFERROR(VLOOKUP(B263,IMPORTRANGE(""https://docs.google.com/spreadsheets/d/1Hr4i_97qtgRe-bfuRbVkLVmXa34m06T7R6IJCbq42Xg/edit?gid=0#gid=0"",""Information!B5:S200""),4,0),"""")"),"")</f>
        <v/>
      </c>
      <c r="D263" s="130" t="s">
        <v>223</v>
      </c>
      <c r="E263" s="26" t="str">
        <f t="shared" si="19"/>
        <v>0005/FS/2026</v>
      </c>
      <c r="F263" s="116"/>
      <c r="G263" s="116"/>
      <c r="H263" s="136" t="s">
        <v>582</v>
      </c>
      <c r="I263" s="124">
        <v>2500000</v>
      </c>
      <c r="J263" s="139"/>
      <c r="K263" s="126"/>
      <c r="L263" s="126">
        <f t="shared" si="15"/>
        <v>2500000</v>
      </c>
      <c r="M263" s="127" t="s">
        <v>20</v>
      </c>
      <c r="N263" s="118"/>
      <c r="O263" s="55"/>
      <c r="P263" s="53"/>
      <c r="Q263" s="55"/>
      <c r="R263" s="49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</row>
    <row r="264" spans="1:41" ht="13.8" x14ac:dyDescent="0.25">
      <c r="A264" s="22">
        <f t="shared" si="13"/>
        <v>261</v>
      </c>
      <c r="B264" s="129" t="s">
        <v>168</v>
      </c>
      <c r="C264" s="24" t="str">
        <f ca="1">IFERROR(__xludf.DUMMYFUNCTION("IFERROR(VLOOKUP(B264,IMPORTRANGE(""https://docs.google.com/spreadsheets/d/1Hr4i_97qtgRe-bfuRbVkLVmXa34m06T7R6IJCbq42Xg/edit?gid=0#gid=0"",""Information!B5:S200""),4,0),"""")"),"")</f>
        <v/>
      </c>
      <c r="D264" s="130" t="s">
        <v>224</v>
      </c>
      <c r="E264" s="26" t="str">
        <f t="shared" si="19"/>
        <v>0006/FS/2026</v>
      </c>
      <c r="F264" s="116"/>
      <c r="G264" s="116"/>
      <c r="H264" s="136" t="s">
        <v>583</v>
      </c>
      <c r="I264" s="124">
        <v>1822500</v>
      </c>
      <c r="J264" s="125">
        <v>0.08</v>
      </c>
      <c r="K264" s="126">
        <f t="shared" ref="K264:K273" si="20">I264*J264</f>
        <v>145800</v>
      </c>
      <c r="L264" s="126">
        <f t="shared" si="15"/>
        <v>1968300</v>
      </c>
      <c r="M264" s="127" t="s">
        <v>20</v>
      </c>
      <c r="N264" s="118"/>
      <c r="O264" s="55"/>
      <c r="P264" s="53"/>
      <c r="Q264" s="55"/>
      <c r="R264" s="49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</row>
    <row r="265" spans="1:41" ht="27.6" x14ac:dyDescent="0.25">
      <c r="A265" s="22">
        <f t="shared" si="13"/>
        <v>262</v>
      </c>
      <c r="B265" s="129" t="s">
        <v>50</v>
      </c>
      <c r="C265" s="24" t="str">
        <f ca="1">IFERROR(__xludf.DUMMYFUNCTION("IFERROR(VLOOKUP(B265,IMPORTRANGE(""https://docs.google.com/spreadsheets/d/1Hr4i_97qtgRe-bfuRbVkLVmXa34m06T7R6IJCbq42Xg/edit?gid=0#gid=0"",""Information!B5:S200""),4,0),"""")"),"")</f>
        <v/>
      </c>
      <c r="D265" s="130" t="s">
        <v>225</v>
      </c>
      <c r="E265" s="26" t="str">
        <f t="shared" si="19"/>
        <v>0007/FS/2026</v>
      </c>
      <c r="F265" s="116"/>
      <c r="G265" s="116"/>
      <c r="H265" s="136" t="s">
        <v>584</v>
      </c>
      <c r="I265" s="124">
        <v>3000000</v>
      </c>
      <c r="J265" s="125">
        <v>0.08</v>
      </c>
      <c r="K265" s="126">
        <f t="shared" si="20"/>
        <v>240000</v>
      </c>
      <c r="L265" s="126">
        <f t="shared" si="15"/>
        <v>3240000</v>
      </c>
      <c r="M265" s="127" t="s">
        <v>20</v>
      </c>
      <c r="N265" s="118"/>
      <c r="O265" s="55"/>
      <c r="P265" s="53"/>
      <c r="Q265" s="55"/>
      <c r="R265" s="49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</row>
    <row r="266" spans="1:41" ht="41.4" x14ac:dyDescent="0.25">
      <c r="A266" s="22">
        <f t="shared" si="13"/>
        <v>263</v>
      </c>
      <c r="B266" s="129" t="s">
        <v>128</v>
      </c>
      <c r="C266" s="24" t="str">
        <f ca="1">IFERROR(__xludf.DUMMYFUNCTION("IFERROR(VLOOKUP(B266,IMPORTRANGE(""https://docs.google.com/spreadsheets/d/1Hr4i_97qtgRe-bfuRbVkLVmXa34m06T7R6IJCbq42Xg/edit?gid=0#gid=0"",""Information!B5:S200""),4,0),"""")"),"")</f>
        <v/>
      </c>
      <c r="D266" s="130" t="s">
        <v>226</v>
      </c>
      <c r="E266" s="26" t="str">
        <f t="shared" si="19"/>
        <v>0008/FS/2026</v>
      </c>
      <c r="F266" s="116"/>
      <c r="G266" s="116"/>
      <c r="H266" s="136" t="s">
        <v>582</v>
      </c>
      <c r="I266" s="124">
        <v>4000000</v>
      </c>
      <c r="J266" s="125">
        <v>0.08</v>
      </c>
      <c r="K266" s="126">
        <f t="shared" si="20"/>
        <v>320000</v>
      </c>
      <c r="L266" s="126">
        <f t="shared" si="15"/>
        <v>4320000</v>
      </c>
      <c r="M266" s="127" t="s">
        <v>20</v>
      </c>
      <c r="N266" s="118"/>
      <c r="O266" s="55"/>
      <c r="P266" s="53"/>
      <c r="Q266" s="55"/>
      <c r="R266" s="49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</row>
    <row r="267" spans="1:41" ht="27.6" x14ac:dyDescent="0.25">
      <c r="A267" s="22">
        <f t="shared" si="13"/>
        <v>264</v>
      </c>
      <c r="B267" s="129" t="s">
        <v>477</v>
      </c>
      <c r="C267" s="24" t="str">
        <f ca="1">IFERROR(__xludf.DUMMYFUNCTION("IFERROR(VLOOKUP(B267,IMPORTRANGE(""https://docs.google.com/spreadsheets/d/1Hr4i_97qtgRe-bfuRbVkLVmXa34m06T7R6IJCbq42Xg/edit?gid=0#gid=0"",""Information!B5:S200""),4,0),"""")"),"")</f>
        <v/>
      </c>
      <c r="D267" s="130" t="s">
        <v>227</v>
      </c>
      <c r="E267" s="26" t="str">
        <f t="shared" si="19"/>
        <v>0009/FS/2026</v>
      </c>
      <c r="F267" s="116"/>
      <c r="G267" s="116"/>
      <c r="H267" s="136" t="s">
        <v>585</v>
      </c>
      <c r="I267" s="124">
        <v>1500000</v>
      </c>
      <c r="J267" s="125">
        <v>0.08</v>
      </c>
      <c r="K267" s="126">
        <f t="shared" si="20"/>
        <v>120000</v>
      </c>
      <c r="L267" s="126">
        <f t="shared" si="15"/>
        <v>1620000</v>
      </c>
      <c r="M267" s="127" t="s">
        <v>20</v>
      </c>
      <c r="N267" s="118"/>
      <c r="O267" s="55"/>
      <c r="P267" s="53"/>
      <c r="Q267" s="55"/>
      <c r="R267" s="49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</row>
    <row r="268" spans="1:41" ht="13.8" x14ac:dyDescent="0.25">
      <c r="A268" s="22">
        <f t="shared" si="13"/>
        <v>265</v>
      </c>
      <c r="B268" s="129" t="s">
        <v>16</v>
      </c>
      <c r="C268" s="24" t="str">
        <f ca="1">IFERROR(__xludf.DUMMYFUNCTION("IFERROR(VLOOKUP(B268,IMPORTRANGE(""https://docs.google.com/spreadsheets/d/1Hr4i_97qtgRe-bfuRbVkLVmXa34m06T7R6IJCbq42Xg/edit?gid=0#gid=0"",""Information!B3:S200""),4,0),"""")"),"")</f>
        <v/>
      </c>
      <c r="D268" s="130" t="s">
        <v>228</v>
      </c>
      <c r="E268" s="26" t="str">
        <f t="shared" si="19"/>
        <v>0010/FS/2026</v>
      </c>
      <c r="F268" s="116"/>
      <c r="G268" s="116"/>
      <c r="H268" s="136" t="s">
        <v>586</v>
      </c>
      <c r="I268" s="124">
        <v>2000000</v>
      </c>
      <c r="J268" s="125">
        <v>0.08</v>
      </c>
      <c r="K268" s="126">
        <f t="shared" si="20"/>
        <v>160000</v>
      </c>
      <c r="L268" s="126">
        <f t="shared" si="15"/>
        <v>2160000</v>
      </c>
      <c r="M268" s="127" t="s">
        <v>20</v>
      </c>
      <c r="N268" s="118"/>
      <c r="O268" s="55"/>
      <c r="P268" s="53"/>
      <c r="Q268" s="55"/>
      <c r="R268" s="49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</row>
    <row r="269" spans="1:41" ht="13.8" x14ac:dyDescent="0.25">
      <c r="A269" s="22">
        <f t="shared" si="13"/>
        <v>266</v>
      </c>
      <c r="B269" s="129" t="s">
        <v>80</v>
      </c>
      <c r="C269" s="24" t="str">
        <f ca="1">IFERROR(__xludf.DUMMYFUNCTION("IFERROR(VLOOKUP(B269,IMPORTRANGE(""https://docs.google.com/spreadsheets/d/1Hr4i_97qtgRe-bfuRbVkLVmXa34m06T7R6IJCbq42Xg/edit?gid=0#gid=0"",""Information!B5:S200""),4,0),"""")"),"")</f>
        <v/>
      </c>
      <c r="D269" s="130" t="s">
        <v>229</v>
      </c>
      <c r="E269" s="26" t="str">
        <f t="shared" si="19"/>
        <v>0011/FS/2026</v>
      </c>
      <c r="F269" s="116"/>
      <c r="G269" s="116"/>
      <c r="H269" s="136" t="s">
        <v>586</v>
      </c>
      <c r="I269" s="124">
        <v>2000000</v>
      </c>
      <c r="J269" s="125">
        <v>0.08</v>
      </c>
      <c r="K269" s="126">
        <f t="shared" si="20"/>
        <v>160000</v>
      </c>
      <c r="L269" s="126">
        <f t="shared" si="15"/>
        <v>2160000</v>
      </c>
      <c r="M269" s="127" t="s">
        <v>20</v>
      </c>
      <c r="N269" s="118"/>
      <c r="O269" s="55"/>
      <c r="P269" s="53"/>
      <c r="Q269" s="55"/>
      <c r="R269" s="49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</row>
    <row r="270" spans="1:41" ht="13.8" x14ac:dyDescent="0.25">
      <c r="A270" s="22">
        <f t="shared" si="13"/>
        <v>267</v>
      </c>
      <c r="B270" s="129" t="s">
        <v>44</v>
      </c>
      <c r="C270" s="24" t="str">
        <f ca="1">IFERROR(__xludf.DUMMYFUNCTION("IFERROR(VLOOKUP(B270,IMPORTRANGE(""https://docs.google.com/spreadsheets/d/1Hr4i_97qtgRe-bfuRbVkLVmXa34m06T7R6IJCbq42Xg/edit?gid=0#gid=0"",""Information!B5:S200""),4,0),"""")"),"")</f>
        <v/>
      </c>
      <c r="D270" s="130" t="s">
        <v>230</v>
      </c>
      <c r="E270" s="26" t="str">
        <f t="shared" si="19"/>
        <v>0012/FS/2026</v>
      </c>
      <c r="F270" s="116"/>
      <c r="G270" s="116"/>
      <c r="H270" s="136" t="s">
        <v>586</v>
      </c>
      <c r="I270" s="124">
        <v>3000000</v>
      </c>
      <c r="J270" s="125">
        <v>0.08</v>
      </c>
      <c r="K270" s="126">
        <f t="shared" si="20"/>
        <v>240000</v>
      </c>
      <c r="L270" s="126">
        <f t="shared" si="15"/>
        <v>3240000</v>
      </c>
      <c r="M270" s="127" t="s">
        <v>20</v>
      </c>
      <c r="N270" s="118"/>
      <c r="O270" s="55"/>
      <c r="P270" s="53"/>
      <c r="Q270" s="55"/>
      <c r="R270" s="49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</row>
    <row r="271" spans="1:41" ht="13.8" x14ac:dyDescent="0.25">
      <c r="A271" s="22">
        <f t="shared" si="13"/>
        <v>268</v>
      </c>
      <c r="B271" s="129" t="s">
        <v>184</v>
      </c>
      <c r="C271" s="24" t="str">
        <f ca="1">IFERROR(__xludf.DUMMYFUNCTION("IFERROR(VLOOKUP(B271,IMPORTRANGE(""https://docs.google.com/spreadsheets/d/1Hr4i_97qtgRe-bfuRbVkLVmXa34m06T7R6IJCbq42Xg/edit?gid=0#gid=0"",""Information!B5:S200""),4,0),"""")"),"")</f>
        <v/>
      </c>
      <c r="D271" s="130" t="s">
        <v>231</v>
      </c>
      <c r="E271" s="26" t="str">
        <f t="shared" si="19"/>
        <v>0013/FS/2026</v>
      </c>
      <c r="F271" s="116"/>
      <c r="G271" s="116"/>
      <c r="H271" s="140" t="s">
        <v>586</v>
      </c>
      <c r="I271" s="124">
        <v>2000000</v>
      </c>
      <c r="J271" s="125">
        <v>0.08</v>
      </c>
      <c r="K271" s="126">
        <f t="shared" si="20"/>
        <v>160000</v>
      </c>
      <c r="L271" s="126">
        <f t="shared" si="15"/>
        <v>2160000</v>
      </c>
      <c r="M271" s="127" t="s">
        <v>20</v>
      </c>
      <c r="N271" s="118"/>
      <c r="O271" s="55"/>
      <c r="P271" s="53"/>
      <c r="Q271" s="55"/>
      <c r="R271" s="49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</row>
    <row r="272" spans="1:41" ht="13.8" x14ac:dyDescent="0.25">
      <c r="A272" s="22">
        <f t="shared" si="13"/>
        <v>269</v>
      </c>
      <c r="B272" s="129" t="s">
        <v>108</v>
      </c>
      <c r="C272" s="24" t="str">
        <f ca="1">IFERROR(__xludf.DUMMYFUNCTION("IFERROR(VLOOKUP(B272,IMPORTRANGE(""https://docs.google.com/spreadsheets/d/1Hr4i_97qtgRe-bfuRbVkLVmXa34m06T7R6IJCbq42Xg/edit?gid=0#gid=0"",""Information!B5:S200""),4,0),"""")"),"")</f>
        <v/>
      </c>
      <c r="D272" s="130" t="s">
        <v>232</v>
      </c>
      <c r="E272" s="26" t="str">
        <f t="shared" si="19"/>
        <v>0014/FS/2026</v>
      </c>
      <c r="F272" s="116"/>
      <c r="G272" s="141"/>
      <c r="H272" s="52" t="s">
        <v>587</v>
      </c>
      <c r="I272" s="142">
        <v>3645000</v>
      </c>
      <c r="J272" s="125">
        <v>0.1</v>
      </c>
      <c r="K272" s="126">
        <f t="shared" si="20"/>
        <v>364500</v>
      </c>
      <c r="L272" s="126">
        <f t="shared" si="15"/>
        <v>4009500</v>
      </c>
      <c r="M272" s="127" t="s">
        <v>20</v>
      </c>
      <c r="N272" s="118"/>
      <c r="O272" s="55"/>
      <c r="P272" s="53"/>
      <c r="Q272" s="55"/>
      <c r="R272" s="49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</row>
    <row r="273" spans="1:41" ht="27.6" x14ac:dyDescent="0.25">
      <c r="A273" s="22">
        <f t="shared" si="13"/>
        <v>270</v>
      </c>
      <c r="B273" s="129" t="s">
        <v>132</v>
      </c>
      <c r="C273" s="24" t="str">
        <f ca="1">IFERROR(__xludf.DUMMYFUNCTION("IFERROR(VLOOKUP(B273,IMPORTRANGE(""https://docs.google.com/spreadsheets/d/1Hr4i_97qtgRe-bfuRbVkLVmXa34m06T7R6IJCbq42Xg/edit?gid=0#gid=0"",""Information!B5:S200""),4,0),"""")"),"")</f>
        <v/>
      </c>
      <c r="D273" s="130" t="s">
        <v>233</v>
      </c>
      <c r="E273" s="26" t="str">
        <f t="shared" si="19"/>
        <v>0015/FS/2026</v>
      </c>
      <c r="F273" s="116"/>
      <c r="G273" s="116"/>
      <c r="H273" s="143" t="s">
        <v>588</v>
      </c>
      <c r="I273" s="124">
        <v>1000000</v>
      </c>
      <c r="J273" s="125">
        <v>0.08</v>
      </c>
      <c r="K273" s="126">
        <f t="shared" si="20"/>
        <v>80000</v>
      </c>
      <c r="L273" s="126">
        <f t="shared" si="15"/>
        <v>1080000</v>
      </c>
      <c r="M273" s="127" t="s">
        <v>20</v>
      </c>
      <c r="N273" s="118"/>
      <c r="O273" s="55"/>
      <c r="P273" s="53"/>
      <c r="Q273" s="55"/>
      <c r="R273" s="49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</row>
    <row r="274" spans="1:41" ht="41.4" x14ac:dyDescent="0.25">
      <c r="A274" s="22">
        <f t="shared" si="13"/>
        <v>271</v>
      </c>
      <c r="B274" s="129" t="s">
        <v>210</v>
      </c>
      <c r="C274" s="24" t="str">
        <f ca="1">IFERROR(__xludf.DUMMYFUNCTION("IFERROR(VLOOKUP(B274,IMPORTRANGE(""https://docs.google.com/spreadsheets/d/1Hr4i_97qtgRe-bfuRbVkLVmXa34m06T7R6IJCbq42Xg/edit?gid=0#gid=0"",""Information!B5:S200""),4,0),"""")"),"")</f>
        <v/>
      </c>
      <c r="D274" s="130" t="s">
        <v>234</v>
      </c>
      <c r="E274" s="26" t="str">
        <f t="shared" si="19"/>
        <v>0016/FS/2026</v>
      </c>
      <c r="F274" s="116"/>
      <c r="G274" s="116"/>
      <c r="H274" s="136" t="s">
        <v>589</v>
      </c>
      <c r="I274" s="124">
        <v>2500000</v>
      </c>
      <c r="J274" s="139"/>
      <c r="K274" s="126"/>
      <c r="L274" s="126">
        <f t="shared" si="15"/>
        <v>2500000</v>
      </c>
      <c r="M274" s="127" t="s">
        <v>20</v>
      </c>
      <c r="N274" s="118"/>
      <c r="O274" s="55"/>
      <c r="P274" s="53"/>
      <c r="Q274" s="55"/>
      <c r="R274" s="49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</row>
    <row r="275" spans="1:41" ht="27.6" x14ac:dyDescent="0.25">
      <c r="A275" s="22">
        <f t="shared" si="13"/>
        <v>272</v>
      </c>
      <c r="B275" s="129" t="s">
        <v>50</v>
      </c>
      <c r="C275" s="24" t="str">
        <f ca="1">IFERROR(__xludf.DUMMYFUNCTION("IFERROR(VLOOKUP(B275,IMPORTRANGE(""https://docs.google.com/spreadsheets/d/1Hr4i_97qtgRe-bfuRbVkLVmXa34m06T7R6IJCbq42Xg/edit?gid=0#gid=0"",""Information!B5:S200""),4,0),"""")"),"")</f>
        <v/>
      </c>
      <c r="D275" s="130" t="s">
        <v>235</v>
      </c>
      <c r="E275" s="26" t="str">
        <f t="shared" si="19"/>
        <v>0017/FS/2026</v>
      </c>
      <c r="F275" s="116"/>
      <c r="G275" s="116"/>
      <c r="H275" s="136" t="s">
        <v>590</v>
      </c>
      <c r="I275" s="124">
        <v>3000000</v>
      </c>
      <c r="J275" s="125">
        <v>0.08</v>
      </c>
      <c r="K275" s="126">
        <f t="shared" ref="K275:K282" si="21">I275*J275</f>
        <v>240000</v>
      </c>
      <c r="L275" s="126">
        <f t="shared" si="15"/>
        <v>3240000</v>
      </c>
      <c r="M275" s="127" t="s">
        <v>20</v>
      </c>
      <c r="N275" s="118"/>
      <c r="O275" s="55"/>
      <c r="P275" s="53"/>
      <c r="Q275" s="55"/>
      <c r="R275" s="49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</row>
    <row r="276" spans="1:41" ht="13.8" x14ac:dyDescent="0.25">
      <c r="A276" s="22">
        <f t="shared" si="13"/>
        <v>273</v>
      </c>
      <c r="B276" s="129" t="s">
        <v>397</v>
      </c>
      <c r="C276" s="48" t="s">
        <v>513</v>
      </c>
      <c r="D276" s="130" t="s">
        <v>236</v>
      </c>
      <c r="E276" s="26" t="str">
        <f t="shared" si="19"/>
        <v>0018/FS/2026</v>
      </c>
      <c r="F276" s="116"/>
      <c r="G276" s="116"/>
      <c r="H276" s="136" t="s">
        <v>591</v>
      </c>
      <c r="I276" s="124">
        <v>1200000</v>
      </c>
      <c r="J276" s="125">
        <v>0.08</v>
      </c>
      <c r="K276" s="126">
        <f t="shared" si="21"/>
        <v>96000</v>
      </c>
      <c r="L276" s="126">
        <f t="shared" si="15"/>
        <v>1296000</v>
      </c>
      <c r="M276" s="127" t="s">
        <v>20</v>
      </c>
      <c r="N276" s="118"/>
      <c r="O276" s="55"/>
      <c r="P276" s="53"/>
      <c r="Q276" s="55"/>
      <c r="R276" s="49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</row>
    <row r="277" spans="1:41" ht="13.8" x14ac:dyDescent="0.25">
      <c r="A277" s="22">
        <f t="shared" si="13"/>
        <v>274</v>
      </c>
      <c r="B277" s="129" t="s">
        <v>395</v>
      </c>
      <c r="C277" s="48" t="s">
        <v>581</v>
      </c>
      <c r="D277" s="130" t="s">
        <v>237</v>
      </c>
      <c r="E277" s="26" t="str">
        <f t="shared" si="19"/>
        <v>0019/FS/2026</v>
      </c>
      <c r="F277" s="116"/>
      <c r="G277" s="116"/>
      <c r="H277" s="136" t="s">
        <v>591</v>
      </c>
      <c r="I277" s="124">
        <v>1200000</v>
      </c>
      <c r="J277" s="125">
        <v>0.08</v>
      </c>
      <c r="K277" s="126">
        <f t="shared" si="21"/>
        <v>96000</v>
      </c>
      <c r="L277" s="126">
        <f t="shared" si="15"/>
        <v>1296000</v>
      </c>
      <c r="M277" s="127" t="s">
        <v>20</v>
      </c>
      <c r="N277" s="118"/>
      <c r="O277" s="55"/>
      <c r="P277" s="53"/>
      <c r="Q277" s="55"/>
      <c r="R277" s="49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</row>
    <row r="278" spans="1:41" ht="13.8" x14ac:dyDescent="0.25">
      <c r="A278" s="22">
        <f t="shared" si="13"/>
        <v>275</v>
      </c>
      <c r="B278" s="129" t="s">
        <v>398</v>
      </c>
      <c r="C278" s="48" t="s">
        <v>509</v>
      </c>
      <c r="D278" s="130" t="s">
        <v>238</v>
      </c>
      <c r="E278" s="26" t="str">
        <f t="shared" si="19"/>
        <v>0020/FS/2026</v>
      </c>
      <c r="F278" s="116"/>
      <c r="G278" s="116"/>
      <c r="H278" s="136" t="s">
        <v>591</v>
      </c>
      <c r="I278" s="124">
        <v>1200000</v>
      </c>
      <c r="J278" s="125">
        <v>0.08</v>
      </c>
      <c r="K278" s="126">
        <f t="shared" si="21"/>
        <v>96000</v>
      </c>
      <c r="L278" s="126">
        <f t="shared" si="15"/>
        <v>1296000</v>
      </c>
      <c r="M278" s="127" t="s">
        <v>20</v>
      </c>
      <c r="N278" s="118"/>
      <c r="O278" s="55"/>
      <c r="P278" s="53"/>
      <c r="Q278" s="55"/>
      <c r="R278" s="49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</row>
    <row r="279" spans="1:41" ht="41.4" x14ac:dyDescent="0.25">
      <c r="A279" s="22">
        <f t="shared" si="13"/>
        <v>276</v>
      </c>
      <c r="B279" s="129" t="s">
        <v>128</v>
      </c>
      <c r="C279" s="24" t="str">
        <f ca="1">IFERROR(__xludf.DUMMYFUNCTION("IFERROR(VLOOKUP(B279,IMPORTRANGE(""https://docs.google.com/spreadsheets/d/1Hr4i_97qtgRe-bfuRbVkLVmXa34m06T7R6IJCbq42Xg/edit?gid=0#gid=0"",""Information!B5:S200""),4,0),"""")"),"")</f>
        <v/>
      </c>
      <c r="D279" s="130" t="s">
        <v>239</v>
      </c>
      <c r="E279" s="26" t="str">
        <f t="shared" si="19"/>
        <v>0021/FS/2026</v>
      </c>
      <c r="F279" s="116"/>
      <c r="G279" s="116"/>
      <c r="H279" s="136" t="s">
        <v>589</v>
      </c>
      <c r="I279" s="124">
        <v>4000000</v>
      </c>
      <c r="J279" s="125">
        <v>0.08</v>
      </c>
      <c r="K279" s="126">
        <f t="shared" si="21"/>
        <v>320000</v>
      </c>
      <c r="L279" s="126">
        <f t="shared" si="15"/>
        <v>4320000</v>
      </c>
      <c r="M279" s="127" t="s">
        <v>20</v>
      </c>
      <c r="N279" s="118"/>
      <c r="O279" s="55"/>
      <c r="P279" s="53"/>
      <c r="Q279" s="55"/>
      <c r="R279" s="49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</row>
    <row r="280" spans="1:41" ht="13.8" x14ac:dyDescent="0.25">
      <c r="A280" s="22">
        <f t="shared" si="13"/>
        <v>277</v>
      </c>
      <c r="B280" s="129" t="s">
        <v>44</v>
      </c>
      <c r="C280" s="24" t="str">
        <f ca="1">IFERROR(__xludf.DUMMYFUNCTION("IFERROR(VLOOKUP(B280,IMPORTRANGE(""https://docs.google.com/spreadsheets/d/1Hr4i_97qtgRe-bfuRbVkLVmXa34m06T7R6IJCbq42Xg/edit?gid=0#gid=0"",""Information!B5:S200""),4,0),"""")"),"")</f>
        <v/>
      </c>
      <c r="D280" s="130" t="s">
        <v>240</v>
      </c>
      <c r="E280" s="26" t="str">
        <f t="shared" si="19"/>
        <v>0022/FS/2026</v>
      </c>
      <c r="F280" s="116"/>
      <c r="G280" s="116"/>
      <c r="H280" s="136" t="s">
        <v>592</v>
      </c>
      <c r="I280" s="124">
        <v>3000000</v>
      </c>
      <c r="J280" s="125">
        <v>0.08</v>
      </c>
      <c r="K280" s="126">
        <f t="shared" si="21"/>
        <v>240000</v>
      </c>
      <c r="L280" s="126">
        <f t="shared" si="15"/>
        <v>3240000</v>
      </c>
      <c r="M280" s="127" t="s">
        <v>20</v>
      </c>
      <c r="N280" s="118"/>
      <c r="O280" s="55"/>
      <c r="P280" s="53"/>
      <c r="Q280" s="55"/>
      <c r="R280" s="49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</row>
    <row r="281" spans="1:41" ht="13.8" x14ac:dyDescent="0.25">
      <c r="A281" s="22">
        <f t="shared" si="13"/>
        <v>278</v>
      </c>
      <c r="B281" s="129" t="s">
        <v>184</v>
      </c>
      <c r="C281" s="24" t="str">
        <f ca="1">IFERROR(__xludf.DUMMYFUNCTION("IFERROR(VLOOKUP(B281,IMPORTRANGE(""https://docs.google.com/spreadsheets/d/1Hr4i_97qtgRe-bfuRbVkLVmXa34m06T7R6IJCbq42Xg/edit?gid=0#gid=0"",""Information!B5:S200""),4,0),"""")"),"")</f>
        <v/>
      </c>
      <c r="D281" s="130" t="s">
        <v>241</v>
      </c>
      <c r="E281" s="26" t="str">
        <f t="shared" si="19"/>
        <v>0023/FS/2026</v>
      </c>
      <c r="F281" s="116"/>
      <c r="G281" s="116"/>
      <c r="H281" s="140" t="s">
        <v>592</v>
      </c>
      <c r="I281" s="124">
        <v>2000000</v>
      </c>
      <c r="J281" s="125">
        <v>0.08</v>
      </c>
      <c r="K281" s="126">
        <f t="shared" si="21"/>
        <v>160000</v>
      </c>
      <c r="L281" s="126">
        <f t="shared" si="15"/>
        <v>2160000</v>
      </c>
      <c r="M281" s="127" t="s">
        <v>20</v>
      </c>
      <c r="N281" s="118"/>
      <c r="O281" s="55"/>
      <c r="P281" s="53"/>
      <c r="Q281" s="55"/>
      <c r="R281" s="49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</row>
    <row r="282" spans="1:41" ht="27.6" x14ac:dyDescent="0.25">
      <c r="A282" s="22">
        <f t="shared" si="13"/>
        <v>279</v>
      </c>
      <c r="B282" s="129" t="s">
        <v>168</v>
      </c>
      <c r="C282" s="24" t="str">
        <f ca="1">IFERROR(__xludf.DUMMYFUNCTION("IFERROR(VLOOKUP(B282,IMPORTRANGE(""https://docs.google.com/spreadsheets/d/1Hr4i_97qtgRe-bfuRbVkLVmXa34m06T7R6IJCbq42Xg/edit?gid=0#gid=0"",""Information!B5:S200""),4,0),"""")"),"")</f>
        <v/>
      </c>
      <c r="D282" s="130" t="s">
        <v>242</v>
      </c>
      <c r="E282" s="26" t="str">
        <f t="shared" si="19"/>
        <v>0024/FS/2026</v>
      </c>
      <c r="F282" s="116"/>
      <c r="G282" s="116"/>
      <c r="H282" s="136" t="s">
        <v>593</v>
      </c>
      <c r="I282" s="124">
        <v>3645000</v>
      </c>
      <c r="J282" s="125">
        <v>0.1</v>
      </c>
      <c r="K282" s="126">
        <f t="shared" si="21"/>
        <v>364500</v>
      </c>
      <c r="L282" s="126">
        <f t="shared" si="15"/>
        <v>4009500</v>
      </c>
      <c r="M282" s="127" t="s">
        <v>382</v>
      </c>
      <c r="N282" s="118"/>
      <c r="O282" s="55"/>
      <c r="P282" s="53"/>
      <c r="Q282" s="55"/>
      <c r="R282" s="49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</row>
    <row r="283" spans="1:41" ht="13.8" x14ac:dyDescent="0.25">
      <c r="A283" s="46"/>
      <c r="B283" s="114"/>
      <c r="C283" s="48"/>
      <c r="D283" s="115"/>
      <c r="E283" s="26" t="str">
        <f t="shared" si="19"/>
        <v/>
      </c>
      <c r="F283" s="116"/>
      <c r="G283" s="116"/>
      <c r="H283" s="52"/>
      <c r="I283" s="126"/>
      <c r="J283" s="139"/>
      <c r="K283" s="126"/>
      <c r="L283" s="126"/>
      <c r="M283" s="56"/>
      <c r="N283" s="118"/>
      <c r="O283" s="55"/>
      <c r="P283" s="53"/>
      <c r="Q283" s="55"/>
      <c r="R283" s="49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</row>
    <row r="284" spans="1:41" ht="13.8" x14ac:dyDescent="0.25">
      <c r="A284" s="46"/>
      <c r="B284" s="114"/>
      <c r="C284" s="48"/>
      <c r="D284" s="115"/>
      <c r="E284" s="26" t="str">
        <f t="shared" si="19"/>
        <v/>
      </c>
      <c r="F284" s="116"/>
      <c r="G284" s="116"/>
      <c r="H284" s="52"/>
      <c r="I284" s="126"/>
      <c r="J284" s="139"/>
      <c r="K284" s="126"/>
      <c r="L284" s="126"/>
      <c r="M284" s="56"/>
      <c r="N284" s="118"/>
      <c r="O284" s="55"/>
      <c r="P284" s="53"/>
      <c r="Q284" s="55"/>
      <c r="R284" s="49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</row>
    <row r="285" spans="1:41" ht="13.8" x14ac:dyDescent="0.25">
      <c r="A285" s="46"/>
      <c r="B285" s="114"/>
      <c r="C285" s="48"/>
      <c r="D285" s="115"/>
      <c r="E285" s="26" t="str">
        <f t="shared" si="19"/>
        <v/>
      </c>
      <c r="F285" s="116"/>
      <c r="G285" s="116"/>
      <c r="H285" s="52"/>
      <c r="I285" s="126"/>
      <c r="J285" s="139"/>
      <c r="K285" s="126"/>
      <c r="L285" s="126"/>
      <c r="M285" s="56"/>
      <c r="N285" s="118"/>
      <c r="O285" s="55"/>
      <c r="P285" s="53"/>
      <c r="Q285" s="55"/>
      <c r="R285" s="49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</row>
    <row r="286" spans="1:41" ht="13.8" x14ac:dyDescent="0.25">
      <c r="A286" s="46"/>
      <c r="B286" s="114"/>
      <c r="C286" s="48"/>
      <c r="D286" s="115"/>
      <c r="E286" s="26" t="str">
        <f t="shared" si="19"/>
        <v/>
      </c>
      <c r="F286" s="116"/>
      <c r="G286" s="116"/>
      <c r="H286" s="52"/>
      <c r="I286" s="126"/>
      <c r="J286" s="139"/>
      <c r="K286" s="126"/>
      <c r="L286" s="126"/>
      <c r="M286" s="56"/>
      <c r="N286" s="118"/>
      <c r="O286" s="55"/>
      <c r="P286" s="53"/>
      <c r="Q286" s="55"/>
      <c r="R286" s="49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</row>
    <row r="287" spans="1:41" ht="13.8" x14ac:dyDescent="0.25">
      <c r="A287" s="46"/>
      <c r="B287" s="114"/>
      <c r="C287" s="48"/>
      <c r="D287" s="115"/>
      <c r="E287" s="26" t="str">
        <f t="shared" si="19"/>
        <v/>
      </c>
      <c r="F287" s="116"/>
      <c r="G287" s="116"/>
      <c r="H287" s="52"/>
      <c r="I287" s="126"/>
      <c r="J287" s="139"/>
      <c r="K287" s="126"/>
      <c r="L287" s="126"/>
      <c r="M287" s="56"/>
      <c r="N287" s="118"/>
      <c r="O287" s="55"/>
      <c r="P287" s="53"/>
      <c r="Q287" s="55"/>
      <c r="R287" s="49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</row>
    <row r="288" spans="1:41" ht="13.8" x14ac:dyDescent="0.25">
      <c r="A288" s="46"/>
      <c r="B288" s="114"/>
      <c r="C288" s="48"/>
      <c r="D288" s="115"/>
      <c r="E288" s="26" t="str">
        <f t="shared" ref="E288:E737" si="22">IF(B288="","",(D288 &amp;"/FS/2025"))</f>
        <v/>
      </c>
      <c r="F288" s="116"/>
      <c r="G288" s="116"/>
      <c r="H288" s="52"/>
      <c r="I288" s="126"/>
      <c r="J288" s="139"/>
      <c r="K288" s="126"/>
      <c r="L288" s="126"/>
      <c r="M288" s="56"/>
      <c r="N288" s="118"/>
      <c r="O288" s="55"/>
      <c r="P288" s="53"/>
      <c r="Q288" s="55"/>
      <c r="R288" s="49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</row>
    <row r="289" spans="1:41" ht="13.8" x14ac:dyDescent="0.25">
      <c r="A289" s="46"/>
      <c r="B289" s="114"/>
      <c r="C289" s="48"/>
      <c r="D289" s="115"/>
      <c r="E289" s="26" t="str">
        <f t="shared" si="22"/>
        <v/>
      </c>
      <c r="F289" s="116"/>
      <c r="G289" s="116"/>
      <c r="H289" s="52"/>
      <c r="I289" s="126"/>
      <c r="J289" s="139"/>
      <c r="K289" s="126"/>
      <c r="L289" s="126"/>
      <c r="M289" s="56"/>
      <c r="N289" s="118"/>
      <c r="O289" s="55"/>
      <c r="P289" s="53"/>
      <c r="Q289" s="55"/>
      <c r="R289" s="49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</row>
    <row r="290" spans="1:41" ht="13.8" x14ac:dyDescent="0.25">
      <c r="A290" s="46"/>
      <c r="B290" s="114"/>
      <c r="C290" s="48"/>
      <c r="D290" s="115"/>
      <c r="E290" s="26" t="str">
        <f t="shared" si="22"/>
        <v/>
      </c>
      <c r="F290" s="116"/>
      <c r="G290" s="116"/>
      <c r="H290" s="52"/>
      <c r="I290" s="126"/>
      <c r="J290" s="139"/>
      <c r="K290" s="126"/>
      <c r="L290" s="126"/>
      <c r="M290" s="56"/>
      <c r="N290" s="118"/>
      <c r="O290" s="55"/>
      <c r="P290" s="53"/>
      <c r="Q290" s="55"/>
      <c r="R290" s="49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</row>
    <row r="291" spans="1:41" ht="13.8" x14ac:dyDescent="0.25">
      <c r="A291" s="46"/>
      <c r="B291" s="114"/>
      <c r="C291" s="48"/>
      <c r="D291" s="115"/>
      <c r="E291" s="26" t="str">
        <f t="shared" si="22"/>
        <v/>
      </c>
      <c r="F291" s="116"/>
      <c r="G291" s="116"/>
      <c r="H291" s="52"/>
      <c r="I291" s="126"/>
      <c r="J291" s="139"/>
      <c r="K291" s="126"/>
      <c r="L291" s="126"/>
      <c r="M291" s="56"/>
      <c r="N291" s="118"/>
      <c r="O291" s="55"/>
      <c r="P291" s="53"/>
      <c r="Q291" s="55"/>
      <c r="R291" s="49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</row>
    <row r="292" spans="1:41" ht="13.8" x14ac:dyDescent="0.25">
      <c r="A292" s="46"/>
      <c r="B292" s="114"/>
      <c r="C292" s="48"/>
      <c r="D292" s="115"/>
      <c r="E292" s="26" t="str">
        <f t="shared" si="22"/>
        <v/>
      </c>
      <c r="F292" s="116"/>
      <c r="G292" s="116"/>
      <c r="H292" s="52"/>
      <c r="I292" s="126"/>
      <c r="J292" s="139"/>
      <c r="K292" s="126"/>
      <c r="L292" s="126"/>
      <c r="M292" s="56"/>
      <c r="N292" s="118"/>
      <c r="O292" s="55"/>
      <c r="P292" s="53"/>
      <c r="Q292" s="55"/>
      <c r="R292" s="49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</row>
    <row r="293" spans="1:41" ht="13.8" x14ac:dyDescent="0.25">
      <c r="A293" s="46"/>
      <c r="B293" s="114"/>
      <c r="C293" s="48"/>
      <c r="D293" s="115"/>
      <c r="E293" s="26" t="str">
        <f t="shared" si="22"/>
        <v/>
      </c>
      <c r="F293" s="116"/>
      <c r="G293" s="116"/>
      <c r="H293" s="52"/>
      <c r="I293" s="126"/>
      <c r="J293" s="139"/>
      <c r="K293" s="126"/>
      <c r="L293" s="126"/>
      <c r="M293" s="56"/>
      <c r="N293" s="118"/>
      <c r="O293" s="55"/>
      <c r="P293" s="53"/>
      <c r="Q293" s="55"/>
      <c r="R293" s="49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</row>
    <row r="294" spans="1:41" ht="13.8" x14ac:dyDescent="0.25">
      <c r="A294" s="46"/>
      <c r="B294" s="114"/>
      <c r="C294" s="48"/>
      <c r="D294" s="115"/>
      <c r="E294" s="26" t="str">
        <f t="shared" si="22"/>
        <v/>
      </c>
      <c r="F294" s="116"/>
      <c r="G294" s="116"/>
      <c r="H294" s="52"/>
      <c r="I294" s="126"/>
      <c r="J294" s="139"/>
      <c r="K294" s="126"/>
      <c r="L294" s="126"/>
      <c r="M294" s="56"/>
      <c r="N294" s="118"/>
      <c r="O294" s="55"/>
      <c r="P294" s="53"/>
      <c r="Q294" s="55"/>
      <c r="R294" s="49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</row>
    <row r="295" spans="1:41" ht="13.8" x14ac:dyDescent="0.25">
      <c r="A295" s="46"/>
      <c r="B295" s="114"/>
      <c r="C295" s="48"/>
      <c r="D295" s="115"/>
      <c r="E295" s="26" t="str">
        <f t="shared" si="22"/>
        <v/>
      </c>
      <c r="F295" s="116"/>
      <c r="G295" s="116"/>
      <c r="H295" s="52"/>
      <c r="I295" s="126"/>
      <c r="J295" s="139"/>
      <c r="K295" s="126"/>
      <c r="L295" s="126"/>
      <c r="M295" s="56"/>
      <c r="N295" s="118"/>
      <c r="O295" s="55"/>
      <c r="P295" s="53"/>
      <c r="Q295" s="55"/>
      <c r="R295" s="49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</row>
    <row r="296" spans="1:41" ht="13.8" x14ac:dyDescent="0.25">
      <c r="A296" s="46"/>
      <c r="B296" s="114"/>
      <c r="C296" s="48"/>
      <c r="D296" s="115"/>
      <c r="E296" s="26" t="str">
        <f t="shared" si="22"/>
        <v/>
      </c>
      <c r="F296" s="116"/>
      <c r="G296" s="116"/>
      <c r="H296" s="52"/>
      <c r="I296" s="126"/>
      <c r="J296" s="139"/>
      <c r="K296" s="126"/>
      <c r="L296" s="126"/>
      <c r="M296" s="56"/>
      <c r="N296" s="118"/>
      <c r="O296" s="55"/>
      <c r="P296" s="53"/>
      <c r="Q296" s="55"/>
      <c r="R296" s="49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</row>
    <row r="297" spans="1:41" ht="13.8" x14ac:dyDescent="0.25">
      <c r="A297" s="46"/>
      <c r="B297" s="114"/>
      <c r="C297" s="48"/>
      <c r="D297" s="115"/>
      <c r="E297" s="26" t="str">
        <f t="shared" si="22"/>
        <v/>
      </c>
      <c r="F297" s="116"/>
      <c r="G297" s="116"/>
      <c r="H297" s="52"/>
      <c r="I297" s="126"/>
      <c r="J297" s="139"/>
      <c r="K297" s="126"/>
      <c r="L297" s="126"/>
      <c r="M297" s="56"/>
      <c r="N297" s="118"/>
      <c r="O297" s="55"/>
      <c r="P297" s="53"/>
      <c r="Q297" s="55"/>
      <c r="R297" s="49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</row>
    <row r="298" spans="1:41" ht="13.8" x14ac:dyDescent="0.25">
      <c r="A298" s="46"/>
      <c r="B298" s="114"/>
      <c r="C298" s="48"/>
      <c r="D298" s="115"/>
      <c r="E298" s="26" t="str">
        <f t="shared" si="22"/>
        <v/>
      </c>
      <c r="F298" s="116"/>
      <c r="G298" s="116"/>
      <c r="H298" s="52"/>
      <c r="I298" s="126"/>
      <c r="J298" s="139"/>
      <c r="K298" s="126"/>
      <c r="L298" s="126"/>
      <c r="M298" s="56"/>
      <c r="N298" s="118"/>
      <c r="O298" s="55"/>
      <c r="P298" s="53"/>
      <c r="Q298" s="55"/>
      <c r="R298" s="49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</row>
    <row r="299" spans="1:41" ht="13.8" x14ac:dyDescent="0.25">
      <c r="A299" s="46"/>
      <c r="B299" s="114"/>
      <c r="C299" s="48"/>
      <c r="D299" s="115"/>
      <c r="E299" s="26" t="str">
        <f t="shared" si="22"/>
        <v/>
      </c>
      <c r="F299" s="116"/>
      <c r="G299" s="116"/>
      <c r="H299" s="52"/>
      <c r="I299" s="126"/>
      <c r="J299" s="139"/>
      <c r="K299" s="126"/>
      <c r="L299" s="126"/>
      <c r="M299" s="56"/>
      <c r="N299" s="118"/>
      <c r="O299" s="55"/>
      <c r="P299" s="53"/>
      <c r="Q299" s="55"/>
      <c r="R299" s="49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</row>
    <row r="300" spans="1:41" ht="13.8" x14ac:dyDescent="0.25">
      <c r="A300" s="46"/>
      <c r="B300" s="114"/>
      <c r="C300" s="48"/>
      <c r="D300" s="115"/>
      <c r="E300" s="26" t="str">
        <f t="shared" si="22"/>
        <v/>
      </c>
      <c r="F300" s="116"/>
      <c r="G300" s="116"/>
      <c r="H300" s="52"/>
      <c r="I300" s="126"/>
      <c r="J300" s="139"/>
      <c r="K300" s="126"/>
      <c r="L300" s="126"/>
      <c r="M300" s="56"/>
      <c r="N300" s="118"/>
      <c r="O300" s="55"/>
      <c r="P300" s="53"/>
      <c r="Q300" s="55"/>
      <c r="R300" s="49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</row>
    <row r="301" spans="1:41" ht="13.8" x14ac:dyDescent="0.25">
      <c r="A301" s="46"/>
      <c r="B301" s="114"/>
      <c r="C301" s="48"/>
      <c r="D301" s="115"/>
      <c r="E301" s="26" t="str">
        <f t="shared" si="22"/>
        <v/>
      </c>
      <c r="F301" s="116"/>
      <c r="G301" s="116"/>
      <c r="H301" s="52"/>
      <c r="I301" s="126"/>
      <c r="J301" s="139"/>
      <c r="K301" s="126"/>
      <c r="L301" s="126"/>
      <c r="M301" s="56"/>
      <c r="N301" s="118"/>
      <c r="O301" s="55"/>
      <c r="P301" s="53"/>
      <c r="Q301" s="55"/>
      <c r="R301" s="49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</row>
    <row r="302" spans="1:41" ht="13.8" x14ac:dyDescent="0.25">
      <c r="A302" s="46"/>
      <c r="B302" s="114"/>
      <c r="C302" s="48"/>
      <c r="D302" s="115"/>
      <c r="E302" s="26" t="str">
        <f t="shared" si="22"/>
        <v/>
      </c>
      <c r="F302" s="116"/>
      <c r="G302" s="116"/>
      <c r="H302" s="52"/>
      <c r="I302" s="126"/>
      <c r="J302" s="139"/>
      <c r="K302" s="126"/>
      <c r="L302" s="126"/>
      <c r="M302" s="56"/>
      <c r="N302" s="118"/>
      <c r="O302" s="55"/>
      <c r="P302" s="53"/>
      <c r="Q302" s="55"/>
      <c r="R302" s="49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</row>
    <row r="303" spans="1:41" ht="13.8" x14ac:dyDescent="0.25">
      <c r="A303" s="46"/>
      <c r="B303" s="114"/>
      <c r="C303" s="48"/>
      <c r="D303" s="115"/>
      <c r="E303" s="26" t="str">
        <f t="shared" si="22"/>
        <v/>
      </c>
      <c r="F303" s="116"/>
      <c r="G303" s="116"/>
      <c r="H303" s="52"/>
      <c r="I303" s="126"/>
      <c r="J303" s="139"/>
      <c r="K303" s="126"/>
      <c r="L303" s="126"/>
      <c r="M303" s="56"/>
      <c r="N303" s="118"/>
      <c r="O303" s="55"/>
      <c r="P303" s="53"/>
      <c r="Q303" s="55"/>
      <c r="R303" s="49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</row>
    <row r="304" spans="1:41" ht="13.8" x14ac:dyDescent="0.25">
      <c r="A304" s="46"/>
      <c r="B304" s="114"/>
      <c r="C304" s="48"/>
      <c r="D304" s="115"/>
      <c r="E304" s="26" t="str">
        <f t="shared" si="22"/>
        <v/>
      </c>
      <c r="F304" s="116"/>
      <c r="G304" s="116"/>
      <c r="H304" s="52"/>
      <c r="I304" s="126"/>
      <c r="J304" s="139"/>
      <c r="K304" s="126"/>
      <c r="L304" s="126"/>
      <c r="M304" s="56"/>
      <c r="N304" s="118"/>
      <c r="O304" s="55"/>
      <c r="P304" s="53"/>
      <c r="Q304" s="55"/>
      <c r="R304" s="49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</row>
    <row r="305" spans="1:41" ht="13.8" x14ac:dyDescent="0.25">
      <c r="A305" s="46"/>
      <c r="B305" s="114"/>
      <c r="C305" s="48"/>
      <c r="D305" s="115"/>
      <c r="E305" s="26" t="str">
        <f t="shared" si="22"/>
        <v/>
      </c>
      <c r="F305" s="116"/>
      <c r="G305" s="116"/>
      <c r="H305" s="52"/>
      <c r="I305" s="126"/>
      <c r="J305" s="139"/>
      <c r="K305" s="126"/>
      <c r="L305" s="126"/>
      <c r="M305" s="56"/>
      <c r="N305" s="118"/>
      <c r="O305" s="55"/>
      <c r="P305" s="53"/>
      <c r="Q305" s="55"/>
      <c r="R305" s="49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</row>
    <row r="306" spans="1:41" ht="13.8" x14ac:dyDescent="0.25">
      <c r="A306" s="46"/>
      <c r="B306" s="114"/>
      <c r="C306" s="48"/>
      <c r="D306" s="115"/>
      <c r="E306" s="26" t="str">
        <f t="shared" si="22"/>
        <v/>
      </c>
      <c r="F306" s="116"/>
      <c r="G306" s="116"/>
      <c r="H306" s="52"/>
      <c r="I306" s="126"/>
      <c r="J306" s="139"/>
      <c r="K306" s="126"/>
      <c r="L306" s="126"/>
      <c r="M306" s="56"/>
      <c r="N306" s="118"/>
      <c r="O306" s="55"/>
      <c r="P306" s="53"/>
      <c r="Q306" s="55"/>
      <c r="R306" s="49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</row>
    <row r="307" spans="1:41" ht="13.8" x14ac:dyDescent="0.25">
      <c r="A307" s="46"/>
      <c r="B307" s="114"/>
      <c r="C307" s="48"/>
      <c r="D307" s="115"/>
      <c r="E307" s="26" t="str">
        <f t="shared" si="22"/>
        <v/>
      </c>
      <c r="F307" s="116"/>
      <c r="G307" s="116"/>
      <c r="H307" s="52"/>
      <c r="I307" s="126"/>
      <c r="J307" s="139"/>
      <c r="K307" s="126"/>
      <c r="L307" s="126"/>
      <c r="M307" s="56"/>
      <c r="N307" s="118"/>
      <c r="O307" s="55"/>
      <c r="P307" s="53"/>
      <c r="Q307" s="55"/>
      <c r="R307" s="49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</row>
    <row r="308" spans="1:41" ht="13.8" x14ac:dyDescent="0.25">
      <c r="A308" s="46"/>
      <c r="B308" s="114"/>
      <c r="C308" s="48"/>
      <c r="D308" s="115"/>
      <c r="E308" s="26" t="str">
        <f t="shared" si="22"/>
        <v/>
      </c>
      <c r="F308" s="116"/>
      <c r="G308" s="116"/>
      <c r="H308" s="52"/>
      <c r="I308" s="126"/>
      <c r="J308" s="139"/>
      <c r="K308" s="126"/>
      <c r="L308" s="126"/>
      <c r="M308" s="56"/>
      <c r="N308" s="118"/>
      <c r="O308" s="55"/>
      <c r="P308" s="53"/>
      <c r="Q308" s="55"/>
      <c r="R308" s="49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</row>
    <row r="309" spans="1:41" ht="13.8" x14ac:dyDescent="0.25">
      <c r="A309" s="46"/>
      <c r="B309" s="114"/>
      <c r="C309" s="48"/>
      <c r="D309" s="115"/>
      <c r="E309" s="26" t="str">
        <f t="shared" si="22"/>
        <v/>
      </c>
      <c r="F309" s="116"/>
      <c r="G309" s="116"/>
      <c r="H309" s="52"/>
      <c r="I309" s="126"/>
      <c r="J309" s="139"/>
      <c r="K309" s="126"/>
      <c r="L309" s="126"/>
      <c r="M309" s="56"/>
      <c r="N309" s="118"/>
      <c r="O309" s="55"/>
      <c r="P309" s="53"/>
      <c r="Q309" s="55"/>
      <c r="R309" s="49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</row>
    <row r="310" spans="1:41" ht="13.8" x14ac:dyDescent="0.25">
      <c r="A310" s="46"/>
      <c r="B310" s="114"/>
      <c r="C310" s="48"/>
      <c r="D310" s="115"/>
      <c r="E310" s="26" t="str">
        <f t="shared" si="22"/>
        <v/>
      </c>
      <c r="F310" s="116"/>
      <c r="G310" s="116"/>
      <c r="H310" s="52"/>
      <c r="I310" s="126"/>
      <c r="J310" s="139"/>
      <c r="K310" s="126"/>
      <c r="L310" s="126"/>
      <c r="M310" s="56"/>
      <c r="N310" s="118"/>
      <c r="O310" s="55"/>
      <c r="P310" s="53"/>
      <c r="Q310" s="55"/>
      <c r="R310" s="49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</row>
    <row r="311" spans="1:41" ht="13.8" x14ac:dyDescent="0.25">
      <c r="A311" s="46"/>
      <c r="B311" s="114"/>
      <c r="C311" s="48"/>
      <c r="D311" s="115"/>
      <c r="E311" s="26" t="str">
        <f t="shared" si="22"/>
        <v/>
      </c>
      <c r="F311" s="116"/>
      <c r="G311" s="116"/>
      <c r="H311" s="52"/>
      <c r="I311" s="126"/>
      <c r="J311" s="139"/>
      <c r="K311" s="126"/>
      <c r="L311" s="126"/>
      <c r="M311" s="56"/>
      <c r="N311" s="118"/>
      <c r="O311" s="55"/>
      <c r="P311" s="53"/>
      <c r="Q311" s="55"/>
      <c r="R311" s="49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</row>
    <row r="312" spans="1:41" ht="13.8" x14ac:dyDescent="0.25">
      <c r="A312" s="46"/>
      <c r="B312" s="114"/>
      <c r="C312" s="48"/>
      <c r="D312" s="115"/>
      <c r="E312" s="26" t="str">
        <f t="shared" si="22"/>
        <v/>
      </c>
      <c r="F312" s="116"/>
      <c r="G312" s="116"/>
      <c r="H312" s="52"/>
      <c r="I312" s="126"/>
      <c r="J312" s="139"/>
      <c r="K312" s="126"/>
      <c r="L312" s="126"/>
      <c r="M312" s="56"/>
      <c r="N312" s="118"/>
      <c r="O312" s="55"/>
      <c r="P312" s="53"/>
      <c r="Q312" s="55"/>
      <c r="R312" s="49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</row>
    <row r="313" spans="1:41" ht="13.8" x14ac:dyDescent="0.25">
      <c r="A313" s="46"/>
      <c r="B313" s="114"/>
      <c r="C313" s="48"/>
      <c r="D313" s="115"/>
      <c r="E313" s="26" t="str">
        <f t="shared" si="22"/>
        <v/>
      </c>
      <c r="F313" s="116"/>
      <c r="G313" s="116"/>
      <c r="H313" s="52"/>
      <c r="I313" s="126"/>
      <c r="J313" s="139"/>
      <c r="K313" s="126"/>
      <c r="L313" s="126"/>
      <c r="M313" s="56"/>
      <c r="N313" s="118"/>
      <c r="O313" s="55"/>
      <c r="P313" s="53"/>
      <c r="Q313" s="55"/>
      <c r="R313" s="49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</row>
    <row r="314" spans="1:41" ht="13.8" x14ac:dyDescent="0.25">
      <c r="A314" s="46"/>
      <c r="B314" s="114"/>
      <c r="C314" s="48"/>
      <c r="D314" s="115"/>
      <c r="E314" s="26" t="str">
        <f t="shared" si="22"/>
        <v/>
      </c>
      <c r="F314" s="116"/>
      <c r="G314" s="116"/>
      <c r="H314" s="52"/>
      <c r="I314" s="126"/>
      <c r="J314" s="139"/>
      <c r="K314" s="126"/>
      <c r="L314" s="126"/>
      <c r="M314" s="56"/>
      <c r="N314" s="118"/>
      <c r="O314" s="55"/>
      <c r="P314" s="53"/>
      <c r="Q314" s="55"/>
      <c r="R314" s="49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</row>
    <row r="315" spans="1:41" ht="13.8" x14ac:dyDescent="0.25">
      <c r="A315" s="46"/>
      <c r="B315" s="114"/>
      <c r="C315" s="48"/>
      <c r="D315" s="115"/>
      <c r="E315" s="26" t="str">
        <f t="shared" si="22"/>
        <v/>
      </c>
      <c r="F315" s="116"/>
      <c r="G315" s="116"/>
      <c r="H315" s="52"/>
      <c r="I315" s="126"/>
      <c r="J315" s="139"/>
      <c r="K315" s="126"/>
      <c r="L315" s="126"/>
      <c r="M315" s="56"/>
      <c r="N315" s="118"/>
      <c r="O315" s="55"/>
      <c r="P315" s="53"/>
      <c r="Q315" s="55"/>
      <c r="R315" s="49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</row>
    <row r="316" spans="1:41" ht="13.8" x14ac:dyDescent="0.25">
      <c r="A316" s="46"/>
      <c r="B316" s="114"/>
      <c r="C316" s="48"/>
      <c r="D316" s="115"/>
      <c r="E316" s="26" t="str">
        <f t="shared" si="22"/>
        <v/>
      </c>
      <c r="F316" s="116"/>
      <c r="G316" s="116"/>
      <c r="H316" s="52"/>
      <c r="I316" s="126"/>
      <c r="J316" s="139"/>
      <c r="K316" s="126"/>
      <c r="L316" s="126"/>
      <c r="M316" s="56"/>
      <c r="N316" s="118"/>
      <c r="O316" s="55"/>
      <c r="P316" s="53"/>
      <c r="Q316" s="55"/>
      <c r="R316" s="49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</row>
    <row r="317" spans="1:41" ht="13.8" x14ac:dyDescent="0.25">
      <c r="A317" s="46"/>
      <c r="B317" s="114"/>
      <c r="C317" s="48"/>
      <c r="D317" s="115"/>
      <c r="E317" s="26" t="str">
        <f t="shared" si="22"/>
        <v/>
      </c>
      <c r="F317" s="116"/>
      <c r="G317" s="116"/>
      <c r="H317" s="52"/>
      <c r="I317" s="126"/>
      <c r="J317" s="139"/>
      <c r="K317" s="126"/>
      <c r="L317" s="126"/>
      <c r="M317" s="56"/>
      <c r="N317" s="118"/>
      <c r="O317" s="55"/>
      <c r="P317" s="53"/>
      <c r="Q317" s="55"/>
      <c r="R317" s="49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</row>
    <row r="318" spans="1:41" ht="13.8" x14ac:dyDescent="0.25">
      <c r="A318" s="46"/>
      <c r="B318" s="114"/>
      <c r="C318" s="48"/>
      <c r="D318" s="115"/>
      <c r="E318" s="26" t="str">
        <f t="shared" si="22"/>
        <v/>
      </c>
      <c r="F318" s="116"/>
      <c r="G318" s="116"/>
      <c r="H318" s="52"/>
      <c r="I318" s="126"/>
      <c r="J318" s="139"/>
      <c r="K318" s="126"/>
      <c r="L318" s="126"/>
      <c r="M318" s="56"/>
      <c r="N318" s="118"/>
      <c r="O318" s="55"/>
      <c r="P318" s="53"/>
      <c r="Q318" s="55"/>
      <c r="R318" s="49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</row>
    <row r="319" spans="1:41" ht="13.8" x14ac:dyDescent="0.25">
      <c r="A319" s="46"/>
      <c r="B319" s="114"/>
      <c r="C319" s="48"/>
      <c r="D319" s="115"/>
      <c r="E319" s="26" t="str">
        <f t="shared" si="22"/>
        <v/>
      </c>
      <c r="F319" s="116"/>
      <c r="G319" s="116"/>
      <c r="H319" s="52"/>
      <c r="I319" s="126"/>
      <c r="J319" s="139"/>
      <c r="K319" s="126"/>
      <c r="L319" s="126"/>
      <c r="M319" s="56"/>
      <c r="N319" s="118"/>
      <c r="O319" s="55"/>
      <c r="P319" s="53"/>
      <c r="Q319" s="55"/>
      <c r="R319" s="49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</row>
    <row r="320" spans="1:41" ht="13.8" x14ac:dyDescent="0.25">
      <c r="A320" s="46"/>
      <c r="B320" s="114"/>
      <c r="C320" s="48"/>
      <c r="D320" s="115"/>
      <c r="E320" s="26" t="str">
        <f t="shared" si="22"/>
        <v/>
      </c>
      <c r="F320" s="116"/>
      <c r="G320" s="116"/>
      <c r="H320" s="52"/>
      <c r="I320" s="126"/>
      <c r="J320" s="139"/>
      <c r="K320" s="126"/>
      <c r="L320" s="126"/>
      <c r="M320" s="56"/>
      <c r="N320" s="118"/>
      <c r="O320" s="55"/>
      <c r="P320" s="53"/>
      <c r="Q320" s="55"/>
      <c r="R320" s="49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</row>
    <row r="321" spans="1:41" ht="13.8" x14ac:dyDescent="0.25">
      <c r="A321" s="46"/>
      <c r="B321" s="114"/>
      <c r="C321" s="48"/>
      <c r="D321" s="115"/>
      <c r="E321" s="26" t="str">
        <f t="shared" si="22"/>
        <v/>
      </c>
      <c r="F321" s="116"/>
      <c r="G321" s="116"/>
      <c r="H321" s="52"/>
      <c r="I321" s="126"/>
      <c r="J321" s="139"/>
      <c r="K321" s="126"/>
      <c r="L321" s="126"/>
      <c r="M321" s="56"/>
      <c r="N321" s="118"/>
      <c r="O321" s="55"/>
      <c r="P321" s="53"/>
      <c r="Q321" s="55"/>
      <c r="R321" s="49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</row>
    <row r="322" spans="1:41" ht="13.8" x14ac:dyDescent="0.25">
      <c r="A322" s="46"/>
      <c r="B322" s="114"/>
      <c r="C322" s="48"/>
      <c r="D322" s="115"/>
      <c r="E322" s="26" t="str">
        <f t="shared" si="22"/>
        <v/>
      </c>
      <c r="F322" s="116"/>
      <c r="G322" s="116"/>
      <c r="H322" s="52"/>
      <c r="I322" s="126"/>
      <c r="J322" s="139"/>
      <c r="K322" s="126"/>
      <c r="L322" s="126"/>
      <c r="M322" s="56"/>
      <c r="N322" s="118"/>
      <c r="O322" s="55"/>
      <c r="P322" s="53"/>
      <c r="Q322" s="55"/>
      <c r="R322" s="49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</row>
    <row r="323" spans="1:41" ht="13.8" x14ac:dyDescent="0.25">
      <c r="A323" s="46"/>
      <c r="B323" s="114"/>
      <c r="C323" s="48"/>
      <c r="D323" s="115"/>
      <c r="E323" s="26" t="str">
        <f t="shared" si="22"/>
        <v/>
      </c>
      <c r="F323" s="116"/>
      <c r="G323" s="116"/>
      <c r="H323" s="52"/>
      <c r="I323" s="126"/>
      <c r="J323" s="139"/>
      <c r="K323" s="126"/>
      <c r="L323" s="126"/>
      <c r="M323" s="56"/>
      <c r="N323" s="118"/>
      <c r="O323" s="55"/>
      <c r="P323" s="53"/>
      <c r="Q323" s="55"/>
      <c r="R323" s="49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</row>
    <row r="324" spans="1:41" ht="13.8" x14ac:dyDescent="0.25">
      <c r="A324" s="46"/>
      <c r="B324" s="114"/>
      <c r="C324" s="48"/>
      <c r="D324" s="115"/>
      <c r="E324" s="26" t="str">
        <f t="shared" si="22"/>
        <v/>
      </c>
      <c r="F324" s="116"/>
      <c r="G324" s="116"/>
      <c r="H324" s="52"/>
      <c r="I324" s="126"/>
      <c r="J324" s="139"/>
      <c r="K324" s="126"/>
      <c r="L324" s="126"/>
      <c r="M324" s="56"/>
      <c r="N324" s="118"/>
      <c r="O324" s="55"/>
      <c r="P324" s="53"/>
      <c r="Q324" s="55"/>
      <c r="R324" s="49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</row>
    <row r="325" spans="1:41" ht="13.8" x14ac:dyDescent="0.25">
      <c r="A325" s="46"/>
      <c r="B325" s="114"/>
      <c r="C325" s="48"/>
      <c r="D325" s="115"/>
      <c r="E325" s="26" t="str">
        <f t="shared" si="22"/>
        <v/>
      </c>
      <c r="F325" s="116"/>
      <c r="G325" s="116"/>
      <c r="H325" s="52"/>
      <c r="I325" s="126"/>
      <c r="J325" s="139"/>
      <c r="K325" s="126"/>
      <c r="L325" s="126"/>
      <c r="M325" s="56"/>
      <c r="N325" s="118"/>
      <c r="O325" s="55"/>
      <c r="P325" s="53"/>
      <c r="Q325" s="55"/>
      <c r="R325" s="49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</row>
    <row r="326" spans="1:41" ht="13.8" x14ac:dyDescent="0.25">
      <c r="A326" s="46"/>
      <c r="B326" s="114"/>
      <c r="C326" s="48"/>
      <c r="D326" s="115"/>
      <c r="E326" s="26" t="str">
        <f t="shared" si="22"/>
        <v/>
      </c>
      <c r="F326" s="116"/>
      <c r="G326" s="116"/>
      <c r="H326" s="52"/>
      <c r="I326" s="126"/>
      <c r="J326" s="139"/>
      <c r="K326" s="126"/>
      <c r="L326" s="126"/>
      <c r="M326" s="56"/>
      <c r="N326" s="118"/>
      <c r="O326" s="55"/>
      <c r="P326" s="53"/>
      <c r="Q326" s="55"/>
      <c r="R326" s="49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</row>
    <row r="327" spans="1:41" ht="13.8" x14ac:dyDescent="0.25">
      <c r="A327" s="46"/>
      <c r="B327" s="114"/>
      <c r="C327" s="48"/>
      <c r="D327" s="115"/>
      <c r="E327" s="26" t="str">
        <f t="shared" si="22"/>
        <v/>
      </c>
      <c r="F327" s="116"/>
      <c r="G327" s="116"/>
      <c r="H327" s="52"/>
      <c r="I327" s="126"/>
      <c r="J327" s="139"/>
      <c r="K327" s="126"/>
      <c r="L327" s="126"/>
      <c r="M327" s="56"/>
      <c r="N327" s="118"/>
      <c r="O327" s="55"/>
      <c r="P327" s="53"/>
      <c r="Q327" s="55"/>
      <c r="R327" s="49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</row>
    <row r="328" spans="1:41" ht="13.8" x14ac:dyDescent="0.25">
      <c r="A328" s="46"/>
      <c r="B328" s="114"/>
      <c r="C328" s="48"/>
      <c r="D328" s="115"/>
      <c r="E328" s="26" t="str">
        <f t="shared" si="22"/>
        <v/>
      </c>
      <c r="F328" s="116"/>
      <c r="G328" s="116"/>
      <c r="H328" s="52"/>
      <c r="I328" s="126"/>
      <c r="J328" s="139"/>
      <c r="K328" s="126"/>
      <c r="L328" s="126"/>
      <c r="M328" s="56"/>
      <c r="N328" s="118"/>
      <c r="O328" s="55"/>
      <c r="P328" s="53"/>
      <c r="Q328" s="55"/>
      <c r="R328" s="49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</row>
    <row r="329" spans="1:41" ht="13.8" x14ac:dyDescent="0.25">
      <c r="A329" s="46"/>
      <c r="B329" s="114"/>
      <c r="C329" s="48"/>
      <c r="D329" s="115"/>
      <c r="E329" s="26" t="str">
        <f t="shared" si="22"/>
        <v/>
      </c>
      <c r="F329" s="116"/>
      <c r="G329" s="116"/>
      <c r="H329" s="52"/>
      <c r="I329" s="126"/>
      <c r="J329" s="139"/>
      <c r="K329" s="126"/>
      <c r="L329" s="126"/>
      <c r="M329" s="56"/>
      <c r="N329" s="118"/>
      <c r="O329" s="55"/>
      <c r="P329" s="53"/>
      <c r="Q329" s="55"/>
      <c r="R329" s="49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</row>
    <row r="330" spans="1:41" ht="13.8" x14ac:dyDescent="0.25">
      <c r="A330" s="46"/>
      <c r="B330" s="114"/>
      <c r="C330" s="48"/>
      <c r="D330" s="115"/>
      <c r="E330" s="26" t="str">
        <f t="shared" si="22"/>
        <v/>
      </c>
      <c r="F330" s="116"/>
      <c r="G330" s="116"/>
      <c r="H330" s="52"/>
      <c r="I330" s="126"/>
      <c r="J330" s="139"/>
      <c r="K330" s="126"/>
      <c r="L330" s="126"/>
      <c r="M330" s="56"/>
      <c r="N330" s="118"/>
      <c r="O330" s="55"/>
      <c r="P330" s="53"/>
      <c r="Q330" s="55"/>
      <c r="R330" s="49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</row>
    <row r="331" spans="1:41" ht="13.8" x14ac:dyDescent="0.25">
      <c r="A331" s="46"/>
      <c r="B331" s="114"/>
      <c r="C331" s="48"/>
      <c r="D331" s="115"/>
      <c r="E331" s="26" t="str">
        <f t="shared" si="22"/>
        <v/>
      </c>
      <c r="F331" s="116"/>
      <c r="G331" s="116"/>
      <c r="H331" s="52"/>
      <c r="I331" s="126"/>
      <c r="J331" s="139"/>
      <c r="K331" s="126"/>
      <c r="L331" s="126"/>
      <c r="M331" s="56"/>
      <c r="N331" s="118"/>
      <c r="O331" s="55"/>
      <c r="P331" s="53"/>
      <c r="Q331" s="55"/>
      <c r="R331" s="49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</row>
    <row r="332" spans="1:41" ht="13.8" x14ac:dyDescent="0.25">
      <c r="A332" s="46"/>
      <c r="B332" s="114"/>
      <c r="C332" s="48"/>
      <c r="D332" s="115"/>
      <c r="E332" s="26" t="str">
        <f t="shared" si="22"/>
        <v/>
      </c>
      <c r="F332" s="116"/>
      <c r="G332" s="116"/>
      <c r="H332" s="52"/>
      <c r="I332" s="126"/>
      <c r="J332" s="139"/>
      <c r="K332" s="126"/>
      <c r="L332" s="126"/>
      <c r="M332" s="56"/>
      <c r="N332" s="118"/>
      <c r="O332" s="55"/>
      <c r="P332" s="53"/>
      <c r="Q332" s="55"/>
      <c r="R332" s="49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</row>
    <row r="333" spans="1:41" ht="13.8" x14ac:dyDescent="0.25">
      <c r="A333" s="46"/>
      <c r="B333" s="114"/>
      <c r="C333" s="48"/>
      <c r="D333" s="115"/>
      <c r="E333" s="26" t="str">
        <f t="shared" si="22"/>
        <v/>
      </c>
      <c r="F333" s="116"/>
      <c r="G333" s="116"/>
      <c r="H333" s="52"/>
      <c r="I333" s="126"/>
      <c r="J333" s="139"/>
      <c r="K333" s="126"/>
      <c r="L333" s="126"/>
      <c r="M333" s="56"/>
      <c r="N333" s="118"/>
      <c r="O333" s="55"/>
      <c r="P333" s="53"/>
      <c r="Q333" s="55"/>
      <c r="R333" s="49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</row>
    <row r="334" spans="1:41" ht="13.8" x14ac:dyDescent="0.25">
      <c r="A334" s="46"/>
      <c r="B334" s="114"/>
      <c r="C334" s="48"/>
      <c r="D334" s="115"/>
      <c r="E334" s="26" t="str">
        <f t="shared" si="22"/>
        <v/>
      </c>
      <c r="F334" s="116"/>
      <c r="G334" s="116"/>
      <c r="H334" s="52"/>
      <c r="I334" s="126"/>
      <c r="J334" s="139"/>
      <c r="K334" s="126"/>
      <c r="L334" s="126"/>
      <c r="M334" s="56"/>
      <c r="N334" s="118"/>
      <c r="O334" s="55"/>
      <c r="P334" s="53"/>
      <c r="Q334" s="55"/>
      <c r="R334" s="49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</row>
    <row r="335" spans="1:41" ht="13.8" x14ac:dyDescent="0.25">
      <c r="A335" s="46"/>
      <c r="B335" s="114"/>
      <c r="C335" s="48"/>
      <c r="D335" s="115"/>
      <c r="E335" s="26" t="str">
        <f t="shared" si="22"/>
        <v/>
      </c>
      <c r="F335" s="116"/>
      <c r="G335" s="116"/>
      <c r="H335" s="52"/>
      <c r="I335" s="126"/>
      <c r="J335" s="139"/>
      <c r="K335" s="126"/>
      <c r="L335" s="126"/>
      <c r="M335" s="56"/>
      <c r="N335" s="118"/>
      <c r="O335" s="55"/>
      <c r="P335" s="53"/>
      <c r="Q335" s="55"/>
      <c r="R335" s="49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</row>
    <row r="336" spans="1:41" ht="13.8" x14ac:dyDescent="0.25">
      <c r="A336" s="46"/>
      <c r="B336" s="114"/>
      <c r="C336" s="48"/>
      <c r="D336" s="115"/>
      <c r="E336" s="26" t="str">
        <f t="shared" si="22"/>
        <v/>
      </c>
      <c r="F336" s="116"/>
      <c r="G336" s="116"/>
      <c r="H336" s="52"/>
      <c r="I336" s="126"/>
      <c r="J336" s="139"/>
      <c r="K336" s="126"/>
      <c r="L336" s="126"/>
      <c r="M336" s="56"/>
      <c r="N336" s="118"/>
      <c r="O336" s="55"/>
      <c r="P336" s="53"/>
      <c r="Q336" s="55"/>
      <c r="R336" s="49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</row>
    <row r="337" spans="1:41" ht="13.8" x14ac:dyDescent="0.25">
      <c r="A337" s="46"/>
      <c r="B337" s="114"/>
      <c r="C337" s="48"/>
      <c r="D337" s="115"/>
      <c r="E337" s="26" t="str">
        <f t="shared" si="22"/>
        <v/>
      </c>
      <c r="F337" s="116"/>
      <c r="G337" s="116"/>
      <c r="H337" s="52"/>
      <c r="I337" s="126"/>
      <c r="J337" s="139"/>
      <c r="K337" s="126"/>
      <c r="L337" s="126"/>
      <c r="M337" s="56"/>
      <c r="N337" s="118"/>
      <c r="O337" s="55"/>
      <c r="P337" s="53"/>
      <c r="Q337" s="55"/>
      <c r="R337" s="49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</row>
    <row r="338" spans="1:41" ht="13.8" x14ac:dyDescent="0.25">
      <c r="A338" s="46"/>
      <c r="B338" s="114"/>
      <c r="C338" s="48"/>
      <c r="D338" s="115"/>
      <c r="E338" s="26" t="str">
        <f t="shared" si="22"/>
        <v/>
      </c>
      <c r="F338" s="116"/>
      <c r="G338" s="116"/>
      <c r="H338" s="52"/>
      <c r="I338" s="126"/>
      <c r="J338" s="139"/>
      <c r="K338" s="126"/>
      <c r="L338" s="126"/>
      <c r="M338" s="56"/>
      <c r="N338" s="118"/>
      <c r="O338" s="55"/>
      <c r="P338" s="53"/>
      <c r="Q338" s="55"/>
      <c r="R338" s="49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</row>
    <row r="339" spans="1:41" ht="13.8" x14ac:dyDescent="0.25">
      <c r="A339" s="46"/>
      <c r="B339" s="114"/>
      <c r="C339" s="48"/>
      <c r="D339" s="115"/>
      <c r="E339" s="26" t="str">
        <f t="shared" si="22"/>
        <v/>
      </c>
      <c r="F339" s="116"/>
      <c r="G339" s="116"/>
      <c r="H339" s="52"/>
      <c r="I339" s="126"/>
      <c r="J339" s="139"/>
      <c r="K339" s="126"/>
      <c r="L339" s="126"/>
      <c r="M339" s="56"/>
      <c r="N339" s="118"/>
      <c r="O339" s="55"/>
      <c r="P339" s="53"/>
      <c r="Q339" s="55"/>
      <c r="R339" s="49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</row>
    <row r="340" spans="1:41" ht="13.8" x14ac:dyDescent="0.25">
      <c r="A340" s="46"/>
      <c r="B340" s="114"/>
      <c r="C340" s="48"/>
      <c r="D340" s="115"/>
      <c r="E340" s="26" t="str">
        <f t="shared" si="22"/>
        <v/>
      </c>
      <c r="F340" s="116"/>
      <c r="G340" s="116"/>
      <c r="H340" s="52"/>
      <c r="I340" s="126"/>
      <c r="J340" s="139"/>
      <c r="K340" s="126"/>
      <c r="L340" s="126"/>
      <c r="M340" s="56"/>
      <c r="N340" s="118"/>
      <c r="O340" s="55"/>
      <c r="P340" s="53"/>
      <c r="Q340" s="55"/>
      <c r="R340" s="49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</row>
    <row r="341" spans="1:41" ht="13.8" x14ac:dyDescent="0.25">
      <c r="A341" s="46"/>
      <c r="B341" s="114"/>
      <c r="C341" s="48"/>
      <c r="D341" s="115"/>
      <c r="E341" s="26" t="str">
        <f t="shared" si="22"/>
        <v/>
      </c>
      <c r="F341" s="116"/>
      <c r="G341" s="116"/>
      <c r="H341" s="52"/>
      <c r="I341" s="126"/>
      <c r="J341" s="139"/>
      <c r="K341" s="126"/>
      <c r="L341" s="126"/>
      <c r="M341" s="56"/>
      <c r="N341" s="118"/>
      <c r="O341" s="55"/>
      <c r="P341" s="53"/>
      <c r="Q341" s="55"/>
      <c r="R341" s="49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</row>
    <row r="342" spans="1:41" ht="13.8" x14ac:dyDescent="0.25">
      <c r="A342" s="46"/>
      <c r="B342" s="114"/>
      <c r="C342" s="48"/>
      <c r="D342" s="115"/>
      <c r="E342" s="26" t="str">
        <f t="shared" si="22"/>
        <v/>
      </c>
      <c r="F342" s="116"/>
      <c r="G342" s="116"/>
      <c r="H342" s="52"/>
      <c r="I342" s="126"/>
      <c r="J342" s="139"/>
      <c r="K342" s="126"/>
      <c r="L342" s="126"/>
      <c r="M342" s="56"/>
      <c r="N342" s="118"/>
      <c r="O342" s="55"/>
      <c r="P342" s="53"/>
      <c r="Q342" s="55"/>
      <c r="R342" s="49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</row>
    <row r="343" spans="1:41" ht="13.8" x14ac:dyDescent="0.25">
      <c r="A343" s="46"/>
      <c r="B343" s="114"/>
      <c r="C343" s="48"/>
      <c r="D343" s="115"/>
      <c r="E343" s="26" t="str">
        <f t="shared" si="22"/>
        <v/>
      </c>
      <c r="F343" s="116"/>
      <c r="G343" s="116"/>
      <c r="H343" s="52"/>
      <c r="I343" s="126"/>
      <c r="J343" s="139"/>
      <c r="K343" s="126"/>
      <c r="L343" s="126"/>
      <c r="M343" s="56"/>
      <c r="N343" s="118"/>
      <c r="O343" s="55"/>
      <c r="P343" s="53"/>
      <c r="Q343" s="55"/>
      <c r="R343" s="49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</row>
    <row r="344" spans="1:41" ht="13.8" x14ac:dyDescent="0.25">
      <c r="A344" s="46"/>
      <c r="B344" s="114"/>
      <c r="C344" s="48"/>
      <c r="D344" s="115"/>
      <c r="E344" s="26" t="str">
        <f t="shared" si="22"/>
        <v/>
      </c>
      <c r="F344" s="116"/>
      <c r="G344" s="116"/>
      <c r="H344" s="52"/>
      <c r="I344" s="126"/>
      <c r="J344" s="139"/>
      <c r="K344" s="126"/>
      <c r="L344" s="126"/>
      <c r="M344" s="56"/>
      <c r="N344" s="118"/>
      <c r="O344" s="55"/>
      <c r="P344" s="53"/>
      <c r="Q344" s="55"/>
      <c r="R344" s="49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</row>
    <row r="345" spans="1:41" ht="13.8" x14ac:dyDescent="0.25">
      <c r="A345" s="46"/>
      <c r="B345" s="114"/>
      <c r="C345" s="48"/>
      <c r="D345" s="115"/>
      <c r="E345" s="26" t="str">
        <f t="shared" si="22"/>
        <v/>
      </c>
      <c r="F345" s="116"/>
      <c r="G345" s="116"/>
      <c r="H345" s="52"/>
      <c r="I345" s="126"/>
      <c r="J345" s="139"/>
      <c r="K345" s="126"/>
      <c r="L345" s="126"/>
      <c r="M345" s="56"/>
      <c r="N345" s="118"/>
      <c r="O345" s="55"/>
      <c r="P345" s="53"/>
      <c r="Q345" s="55"/>
      <c r="R345" s="49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</row>
    <row r="346" spans="1:41" ht="13.8" x14ac:dyDescent="0.25">
      <c r="A346" s="46"/>
      <c r="B346" s="114"/>
      <c r="C346" s="48"/>
      <c r="D346" s="115"/>
      <c r="E346" s="26" t="str">
        <f t="shared" si="22"/>
        <v/>
      </c>
      <c r="F346" s="116"/>
      <c r="G346" s="116"/>
      <c r="H346" s="52"/>
      <c r="I346" s="126"/>
      <c r="J346" s="139"/>
      <c r="K346" s="126"/>
      <c r="L346" s="126"/>
      <c r="M346" s="56"/>
      <c r="N346" s="118"/>
      <c r="O346" s="55"/>
      <c r="P346" s="53"/>
      <c r="Q346" s="55"/>
      <c r="R346" s="49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</row>
    <row r="347" spans="1:41" ht="13.8" x14ac:dyDescent="0.25">
      <c r="A347" s="46"/>
      <c r="B347" s="114"/>
      <c r="C347" s="48"/>
      <c r="D347" s="115"/>
      <c r="E347" s="26" t="str">
        <f t="shared" si="22"/>
        <v/>
      </c>
      <c r="F347" s="116"/>
      <c r="G347" s="116"/>
      <c r="H347" s="52"/>
      <c r="I347" s="126"/>
      <c r="J347" s="139"/>
      <c r="K347" s="126"/>
      <c r="L347" s="126"/>
      <c r="M347" s="56"/>
      <c r="N347" s="118"/>
      <c r="O347" s="55"/>
      <c r="P347" s="53"/>
      <c r="Q347" s="55"/>
      <c r="R347" s="49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</row>
    <row r="348" spans="1:41" ht="13.8" x14ac:dyDescent="0.25">
      <c r="A348" s="46"/>
      <c r="B348" s="114"/>
      <c r="C348" s="48"/>
      <c r="D348" s="115"/>
      <c r="E348" s="26" t="str">
        <f t="shared" si="22"/>
        <v/>
      </c>
      <c r="F348" s="116"/>
      <c r="G348" s="116"/>
      <c r="H348" s="52"/>
      <c r="I348" s="126"/>
      <c r="J348" s="139"/>
      <c r="K348" s="126"/>
      <c r="L348" s="126"/>
      <c r="M348" s="56"/>
      <c r="N348" s="118"/>
      <c r="O348" s="55"/>
      <c r="P348" s="53"/>
      <c r="Q348" s="55"/>
      <c r="R348" s="49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</row>
    <row r="349" spans="1:41" ht="13.8" x14ac:dyDescent="0.25">
      <c r="A349" s="46"/>
      <c r="B349" s="114"/>
      <c r="C349" s="48"/>
      <c r="D349" s="115"/>
      <c r="E349" s="26" t="str">
        <f t="shared" si="22"/>
        <v/>
      </c>
      <c r="F349" s="116"/>
      <c r="G349" s="116"/>
      <c r="H349" s="52"/>
      <c r="I349" s="126"/>
      <c r="J349" s="139"/>
      <c r="K349" s="126"/>
      <c r="L349" s="126"/>
      <c r="M349" s="56"/>
      <c r="N349" s="118"/>
      <c r="O349" s="55"/>
      <c r="P349" s="53"/>
      <c r="Q349" s="55"/>
      <c r="R349" s="49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</row>
    <row r="350" spans="1:41" ht="13.8" x14ac:dyDescent="0.25">
      <c r="A350" s="46"/>
      <c r="B350" s="114"/>
      <c r="C350" s="48"/>
      <c r="D350" s="115"/>
      <c r="E350" s="26" t="str">
        <f t="shared" si="22"/>
        <v/>
      </c>
      <c r="F350" s="116"/>
      <c r="G350" s="116"/>
      <c r="H350" s="52"/>
      <c r="I350" s="126"/>
      <c r="J350" s="139"/>
      <c r="K350" s="126"/>
      <c r="L350" s="126"/>
      <c r="M350" s="56"/>
      <c r="N350" s="118"/>
      <c r="O350" s="55"/>
      <c r="P350" s="53"/>
      <c r="Q350" s="55"/>
      <c r="R350" s="49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</row>
    <row r="351" spans="1:41" ht="13.8" x14ac:dyDescent="0.25">
      <c r="A351" s="46"/>
      <c r="B351" s="114"/>
      <c r="C351" s="48"/>
      <c r="D351" s="115"/>
      <c r="E351" s="26" t="str">
        <f t="shared" si="22"/>
        <v/>
      </c>
      <c r="F351" s="116"/>
      <c r="G351" s="116"/>
      <c r="H351" s="52"/>
      <c r="I351" s="126"/>
      <c r="J351" s="139"/>
      <c r="K351" s="126"/>
      <c r="L351" s="126"/>
      <c r="M351" s="56"/>
      <c r="N351" s="118"/>
      <c r="O351" s="55"/>
      <c r="P351" s="53"/>
      <c r="Q351" s="55"/>
      <c r="R351" s="49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</row>
    <row r="352" spans="1:41" ht="13.8" x14ac:dyDescent="0.25">
      <c r="A352" s="46"/>
      <c r="B352" s="114"/>
      <c r="C352" s="48"/>
      <c r="D352" s="115"/>
      <c r="E352" s="26" t="str">
        <f t="shared" si="22"/>
        <v/>
      </c>
      <c r="F352" s="116"/>
      <c r="G352" s="116"/>
      <c r="H352" s="52"/>
      <c r="I352" s="126"/>
      <c r="J352" s="139"/>
      <c r="K352" s="126"/>
      <c r="L352" s="126"/>
      <c r="M352" s="56"/>
      <c r="N352" s="118"/>
      <c r="O352" s="55"/>
      <c r="P352" s="53"/>
      <c r="Q352" s="55"/>
      <c r="R352" s="49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</row>
    <row r="353" spans="1:41" ht="13.8" x14ac:dyDescent="0.25">
      <c r="A353" s="46"/>
      <c r="B353" s="114"/>
      <c r="C353" s="48"/>
      <c r="D353" s="115"/>
      <c r="E353" s="26" t="str">
        <f t="shared" si="22"/>
        <v/>
      </c>
      <c r="F353" s="116"/>
      <c r="G353" s="116"/>
      <c r="H353" s="52"/>
      <c r="I353" s="126"/>
      <c r="J353" s="139"/>
      <c r="K353" s="126"/>
      <c r="L353" s="126"/>
      <c r="M353" s="56"/>
      <c r="N353" s="118"/>
      <c r="O353" s="55"/>
      <c r="P353" s="53"/>
      <c r="Q353" s="55"/>
      <c r="R353" s="49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</row>
    <row r="354" spans="1:41" ht="13.8" x14ac:dyDescent="0.25">
      <c r="A354" s="46"/>
      <c r="B354" s="114"/>
      <c r="C354" s="48"/>
      <c r="D354" s="115"/>
      <c r="E354" s="26" t="str">
        <f t="shared" si="22"/>
        <v/>
      </c>
      <c r="F354" s="116"/>
      <c r="G354" s="116"/>
      <c r="H354" s="52"/>
      <c r="I354" s="126"/>
      <c r="J354" s="139"/>
      <c r="K354" s="126"/>
      <c r="L354" s="126"/>
      <c r="M354" s="56"/>
      <c r="N354" s="118"/>
      <c r="O354" s="55"/>
      <c r="P354" s="53"/>
      <c r="Q354" s="55"/>
      <c r="R354" s="49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</row>
    <row r="355" spans="1:41" ht="13.8" x14ac:dyDescent="0.25">
      <c r="A355" s="46"/>
      <c r="B355" s="114"/>
      <c r="C355" s="48"/>
      <c r="D355" s="115"/>
      <c r="E355" s="26" t="str">
        <f t="shared" si="22"/>
        <v/>
      </c>
      <c r="F355" s="116"/>
      <c r="G355" s="116"/>
      <c r="H355" s="52"/>
      <c r="I355" s="126"/>
      <c r="J355" s="139"/>
      <c r="K355" s="126"/>
      <c r="L355" s="126"/>
      <c r="M355" s="56"/>
      <c r="N355" s="118"/>
      <c r="O355" s="55"/>
      <c r="P355" s="53"/>
      <c r="Q355" s="55"/>
      <c r="R355" s="49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</row>
    <row r="356" spans="1:41" ht="13.8" x14ac:dyDescent="0.25">
      <c r="A356" s="46"/>
      <c r="B356" s="114"/>
      <c r="C356" s="48"/>
      <c r="D356" s="115"/>
      <c r="E356" s="26" t="str">
        <f t="shared" si="22"/>
        <v/>
      </c>
      <c r="F356" s="116"/>
      <c r="G356" s="116"/>
      <c r="H356" s="52"/>
      <c r="I356" s="126"/>
      <c r="J356" s="139"/>
      <c r="K356" s="126"/>
      <c r="L356" s="126"/>
      <c r="M356" s="56"/>
      <c r="N356" s="118"/>
      <c r="O356" s="55"/>
      <c r="P356" s="53"/>
      <c r="Q356" s="55"/>
      <c r="R356" s="49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</row>
    <row r="357" spans="1:41" ht="13.8" x14ac:dyDescent="0.25">
      <c r="A357" s="46"/>
      <c r="B357" s="114"/>
      <c r="C357" s="48"/>
      <c r="D357" s="115"/>
      <c r="E357" s="26" t="str">
        <f t="shared" si="22"/>
        <v/>
      </c>
      <c r="F357" s="116"/>
      <c r="G357" s="116"/>
      <c r="H357" s="52"/>
      <c r="I357" s="126"/>
      <c r="J357" s="139"/>
      <c r="K357" s="126"/>
      <c r="L357" s="126"/>
      <c r="M357" s="56"/>
      <c r="N357" s="118"/>
      <c r="O357" s="55"/>
      <c r="P357" s="53"/>
      <c r="Q357" s="55"/>
      <c r="R357" s="49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</row>
    <row r="358" spans="1:41" ht="13.8" x14ac:dyDescent="0.25">
      <c r="A358" s="46"/>
      <c r="B358" s="114"/>
      <c r="C358" s="48"/>
      <c r="D358" s="115"/>
      <c r="E358" s="26" t="str">
        <f t="shared" si="22"/>
        <v/>
      </c>
      <c r="F358" s="116"/>
      <c r="G358" s="116"/>
      <c r="H358" s="52"/>
      <c r="I358" s="126"/>
      <c r="J358" s="139"/>
      <c r="K358" s="126"/>
      <c r="L358" s="126"/>
      <c r="M358" s="56"/>
      <c r="N358" s="118"/>
      <c r="O358" s="55"/>
      <c r="P358" s="53"/>
      <c r="Q358" s="55"/>
      <c r="R358" s="49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</row>
    <row r="359" spans="1:41" ht="13.8" x14ac:dyDescent="0.25">
      <c r="A359" s="46"/>
      <c r="B359" s="114"/>
      <c r="C359" s="48"/>
      <c r="D359" s="115"/>
      <c r="E359" s="26" t="str">
        <f t="shared" si="22"/>
        <v/>
      </c>
      <c r="F359" s="116"/>
      <c r="G359" s="116"/>
      <c r="H359" s="52"/>
      <c r="I359" s="126"/>
      <c r="J359" s="139"/>
      <c r="K359" s="126"/>
      <c r="L359" s="126"/>
      <c r="M359" s="56"/>
      <c r="N359" s="118"/>
      <c r="O359" s="55"/>
      <c r="P359" s="53"/>
      <c r="Q359" s="55"/>
      <c r="R359" s="49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</row>
    <row r="360" spans="1:41" ht="13.8" x14ac:dyDescent="0.25">
      <c r="A360" s="46"/>
      <c r="B360" s="114"/>
      <c r="C360" s="48"/>
      <c r="D360" s="115"/>
      <c r="E360" s="26" t="str">
        <f t="shared" si="22"/>
        <v/>
      </c>
      <c r="F360" s="116"/>
      <c r="G360" s="116"/>
      <c r="H360" s="52"/>
      <c r="I360" s="126"/>
      <c r="J360" s="139"/>
      <c r="K360" s="126"/>
      <c r="L360" s="126"/>
      <c r="M360" s="56"/>
      <c r="N360" s="118"/>
      <c r="O360" s="55"/>
      <c r="P360" s="53"/>
      <c r="Q360" s="55"/>
      <c r="R360" s="49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</row>
    <row r="361" spans="1:41" ht="13.8" x14ac:dyDescent="0.25">
      <c r="A361" s="46"/>
      <c r="B361" s="114"/>
      <c r="C361" s="48"/>
      <c r="D361" s="115"/>
      <c r="E361" s="26" t="str">
        <f t="shared" si="22"/>
        <v/>
      </c>
      <c r="F361" s="116"/>
      <c r="G361" s="116"/>
      <c r="H361" s="52"/>
      <c r="I361" s="126"/>
      <c r="J361" s="139"/>
      <c r="K361" s="126"/>
      <c r="L361" s="126"/>
      <c r="M361" s="56"/>
      <c r="N361" s="118"/>
      <c r="O361" s="55"/>
      <c r="P361" s="53"/>
      <c r="Q361" s="55"/>
      <c r="R361" s="49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</row>
    <row r="362" spans="1:41" ht="13.8" x14ac:dyDescent="0.25">
      <c r="A362" s="46"/>
      <c r="B362" s="114"/>
      <c r="C362" s="48"/>
      <c r="D362" s="115"/>
      <c r="E362" s="26" t="str">
        <f t="shared" si="22"/>
        <v/>
      </c>
      <c r="F362" s="116"/>
      <c r="G362" s="116"/>
      <c r="H362" s="52"/>
      <c r="I362" s="126"/>
      <c r="J362" s="139"/>
      <c r="K362" s="126"/>
      <c r="L362" s="126"/>
      <c r="M362" s="56"/>
      <c r="N362" s="118"/>
      <c r="O362" s="55"/>
      <c r="P362" s="53"/>
      <c r="Q362" s="55"/>
      <c r="R362" s="49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</row>
    <row r="363" spans="1:41" ht="13.8" x14ac:dyDescent="0.25">
      <c r="A363" s="46"/>
      <c r="B363" s="114"/>
      <c r="C363" s="48"/>
      <c r="D363" s="115"/>
      <c r="E363" s="26" t="str">
        <f t="shared" si="22"/>
        <v/>
      </c>
      <c r="F363" s="116"/>
      <c r="G363" s="116"/>
      <c r="H363" s="52"/>
      <c r="I363" s="126"/>
      <c r="J363" s="139"/>
      <c r="K363" s="126"/>
      <c r="L363" s="126"/>
      <c r="M363" s="56"/>
      <c r="N363" s="118"/>
      <c r="O363" s="55"/>
      <c r="P363" s="53"/>
      <c r="Q363" s="55"/>
      <c r="R363" s="49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</row>
    <row r="364" spans="1:41" ht="13.8" x14ac:dyDescent="0.25">
      <c r="A364" s="46"/>
      <c r="B364" s="114"/>
      <c r="C364" s="48"/>
      <c r="D364" s="115"/>
      <c r="E364" s="26" t="str">
        <f t="shared" si="22"/>
        <v/>
      </c>
      <c r="F364" s="116"/>
      <c r="G364" s="116"/>
      <c r="H364" s="52"/>
      <c r="I364" s="126"/>
      <c r="J364" s="139"/>
      <c r="K364" s="126"/>
      <c r="L364" s="126"/>
      <c r="M364" s="56"/>
      <c r="N364" s="118"/>
      <c r="O364" s="55"/>
      <c r="P364" s="53"/>
      <c r="Q364" s="55"/>
      <c r="R364" s="49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</row>
    <row r="365" spans="1:41" ht="13.8" x14ac:dyDescent="0.25">
      <c r="A365" s="46"/>
      <c r="B365" s="114"/>
      <c r="C365" s="48"/>
      <c r="D365" s="115"/>
      <c r="E365" s="26" t="str">
        <f t="shared" si="22"/>
        <v/>
      </c>
      <c r="F365" s="116"/>
      <c r="G365" s="116"/>
      <c r="H365" s="52"/>
      <c r="I365" s="126"/>
      <c r="J365" s="139"/>
      <c r="K365" s="126"/>
      <c r="L365" s="126"/>
      <c r="M365" s="56"/>
      <c r="N365" s="118"/>
      <c r="O365" s="55"/>
      <c r="P365" s="53"/>
      <c r="Q365" s="55"/>
      <c r="R365" s="49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</row>
    <row r="366" spans="1:41" ht="13.8" x14ac:dyDescent="0.25">
      <c r="A366" s="46"/>
      <c r="B366" s="114"/>
      <c r="C366" s="48"/>
      <c r="D366" s="115"/>
      <c r="E366" s="26" t="str">
        <f t="shared" si="22"/>
        <v/>
      </c>
      <c r="F366" s="116"/>
      <c r="G366" s="116"/>
      <c r="H366" s="52"/>
      <c r="I366" s="126"/>
      <c r="J366" s="139"/>
      <c r="K366" s="126"/>
      <c r="L366" s="126"/>
      <c r="M366" s="56"/>
      <c r="N366" s="118"/>
      <c r="O366" s="55"/>
      <c r="P366" s="53"/>
      <c r="Q366" s="55"/>
      <c r="R366" s="49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</row>
    <row r="367" spans="1:41" ht="13.8" x14ac:dyDescent="0.25">
      <c r="A367" s="46"/>
      <c r="B367" s="114"/>
      <c r="C367" s="48"/>
      <c r="D367" s="115"/>
      <c r="E367" s="26" t="str">
        <f t="shared" si="22"/>
        <v/>
      </c>
      <c r="F367" s="116"/>
      <c r="G367" s="116"/>
      <c r="H367" s="52"/>
      <c r="I367" s="126"/>
      <c r="J367" s="139"/>
      <c r="K367" s="126"/>
      <c r="L367" s="126"/>
      <c r="M367" s="56"/>
      <c r="N367" s="118"/>
      <c r="O367" s="55"/>
      <c r="P367" s="53"/>
      <c r="Q367" s="55"/>
      <c r="R367" s="49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</row>
    <row r="368" spans="1:41" ht="13.8" x14ac:dyDescent="0.25">
      <c r="A368" s="46"/>
      <c r="B368" s="114"/>
      <c r="C368" s="48"/>
      <c r="D368" s="115"/>
      <c r="E368" s="26" t="str">
        <f t="shared" si="22"/>
        <v/>
      </c>
      <c r="F368" s="116"/>
      <c r="G368" s="116"/>
      <c r="H368" s="52"/>
      <c r="I368" s="126"/>
      <c r="J368" s="139"/>
      <c r="K368" s="126"/>
      <c r="L368" s="126"/>
      <c r="M368" s="56"/>
      <c r="N368" s="118"/>
      <c r="O368" s="55"/>
      <c r="P368" s="53"/>
      <c r="Q368" s="55"/>
      <c r="R368" s="49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</row>
    <row r="369" spans="1:41" ht="13.8" x14ac:dyDescent="0.25">
      <c r="A369" s="46"/>
      <c r="B369" s="114"/>
      <c r="C369" s="48"/>
      <c r="D369" s="115"/>
      <c r="E369" s="26" t="str">
        <f t="shared" si="22"/>
        <v/>
      </c>
      <c r="F369" s="116"/>
      <c r="G369" s="116"/>
      <c r="H369" s="52"/>
      <c r="I369" s="126"/>
      <c r="J369" s="139"/>
      <c r="K369" s="126"/>
      <c r="L369" s="126"/>
      <c r="M369" s="56"/>
      <c r="N369" s="118"/>
      <c r="O369" s="55"/>
      <c r="P369" s="53"/>
      <c r="Q369" s="55"/>
      <c r="R369" s="49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</row>
    <row r="370" spans="1:41" ht="13.8" x14ac:dyDescent="0.25">
      <c r="A370" s="46"/>
      <c r="B370" s="114"/>
      <c r="C370" s="48"/>
      <c r="D370" s="115"/>
      <c r="E370" s="26" t="str">
        <f t="shared" si="22"/>
        <v/>
      </c>
      <c r="F370" s="116"/>
      <c r="G370" s="116"/>
      <c r="H370" s="52"/>
      <c r="I370" s="126"/>
      <c r="J370" s="139"/>
      <c r="K370" s="126"/>
      <c r="L370" s="126"/>
      <c r="M370" s="56"/>
      <c r="N370" s="118"/>
      <c r="O370" s="55"/>
      <c r="P370" s="53"/>
      <c r="Q370" s="55"/>
      <c r="R370" s="49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</row>
    <row r="371" spans="1:41" ht="13.8" x14ac:dyDescent="0.25">
      <c r="A371" s="46"/>
      <c r="B371" s="114"/>
      <c r="C371" s="48"/>
      <c r="D371" s="115"/>
      <c r="E371" s="26" t="str">
        <f t="shared" si="22"/>
        <v/>
      </c>
      <c r="F371" s="116"/>
      <c r="G371" s="116"/>
      <c r="H371" s="52"/>
      <c r="I371" s="126"/>
      <c r="J371" s="139"/>
      <c r="K371" s="126"/>
      <c r="L371" s="126"/>
      <c r="M371" s="56"/>
      <c r="N371" s="118"/>
      <c r="O371" s="55"/>
      <c r="P371" s="53"/>
      <c r="Q371" s="55"/>
      <c r="R371" s="49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</row>
    <row r="372" spans="1:41" ht="13.8" x14ac:dyDescent="0.25">
      <c r="A372" s="46"/>
      <c r="B372" s="114"/>
      <c r="C372" s="48"/>
      <c r="D372" s="115"/>
      <c r="E372" s="26" t="str">
        <f t="shared" si="22"/>
        <v/>
      </c>
      <c r="F372" s="116"/>
      <c r="G372" s="116"/>
      <c r="H372" s="52"/>
      <c r="I372" s="126"/>
      <c r="J372" s="139"/>
      <c r="K372" s="126"/>
      <c r="L372" s="126"/>
      <c r="M372" s="56"/>
      <c r="N372" s="118"/>
      <c r="O372" s="55"/>
      <c r="P372" s="53"/>
      <c r="Q372" s="55"/>
      <c r="R372" s="49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</row>
    <row r="373" spans="1:41" ht="13.8" x14ac:dyDescent="0.25">
      <c r="A373" s="46"/>
      <c r="B373" s="114"/>
      <c r="C373" s="48"/>
      <c r="D373" s="115"/>
      <c r="E373" s="26" t="str">
        <f t="shared" si="22"/>
        <v/>
      </c>
      <c r="F373" s="116"/>
      <c r="G373" s="116"/>
      <c r="H373" s="52"/>
      <c r="I373" s="126"/>
      <c r="J373" s="139"/>
      <c r="K373" s="126"/>
      <c r="L373" s="126"/>
      <c r="M373" s="56"/>
      <c r="N373" s="118"/>
      <c r="O373" s="55"/>
      <c r="P373" s="53"/>
      <c r="Q373" s="55"/>
      <c r="R373" s="49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</row>
    <row r="374" spans="1:41" ht="13.8" x14ac:dyDescent="0.25">
      <c r="A374" s="46"/>
      <c r="B374" s="114"/>
      <c r="C374" s="48"/>
      <c r="D374" s="115"/>
      <c r="E374" s="26" t="str">
        <f t="shared" si="22"/>
        <v/>
      </c>
      <c r="F374" s="116"/>
      <c r="G374" s="116"/>
      <c r="H374" s="52"/>
      <c r="I374" s="126"/>
      <c r="J374" s="139"/>
      <c r="K374" s="126"/>
      <c r="L374" s="126"/>
      <c r="M374" s="56"/>
      <c r="N374" s="118"/>
      <c r="O374" s="55"/>
      <c r="P374" s="53"/>
      <c r="Q374" s="55"/>
      <c r="R374" s="49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</row>
    <row r="375" spans="1:41" ht="13.8" x14ac:dyDescent="0.25">
      <c r="A375" s="46"/>
      <c r="B375" s="114"/>
      <c r="C375" s="48"/>
      <c r="D375" s="115"/>
      <c r="E375" s="26" t="str">
        <f t="shared" si="22"/>
        <v/>
      </c>
      <c r="F375" s="116"/>
      <c r="G375" s="116"/>
      <c r="H375" s="52"/>
      <c r="I375" s="126"/>
      <c r="J375" s="139"/>
      <c r="K375" s="126"/>
      <c r="L375" s="126"/>
      <c r="M375" s="56"/>
      <c r="N375" s="118"/>
      <c r="O375" s="55"/>
      <c r="P375" s="53"/>
      <c r="Q375" s="55"/>
      <c r="R375" s="49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</row>
    <row r="376" spans="1:41" ht="13.8" x14ac:dyDescent="0.25">
      <c r="A376" s="46"/>
      <c r="B376" s="114"/>
      <c r="C376" s="48"/>
      <c r="D376" s="115"/>
      <c r="E376" s="26" t="str">
        <f t="shared" si="22"/>
        <v/>
      </c>
      <c r="F376" s="116"/>
      <c r="G376" s="116"/>
      <c r="H376" s="52"/>
      <c r="I376" s="126"/>
      <c r="J376" s="139"/>
      <c r="K376" s="126"/>
      <c r="L376" s="126"/>
      <c r="M376" s="56"/>
      <c r="N376" s="118"/>
      <c r="O376" s="55"/>
      <c r="P376" s="53"/>
      <c r="Q376" s="55"/>
      <c r="R376" s="49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</row>
    <row r="377" spans="1:41" ht="13.8" x14ac:dyDescent="0.25">
      <c r="A377" s="46"/>
      <c r="B377" s="114"/>
      <c r="C377" s="48"/>
      <c r="D377" s="115"/>
      <c r="E377" s="26" t="str">
        <f t="shared" si="22"/>
        <v/>
      </c>
      <c r="F377" s="116"/>
      <c r="G377" s="116"/>
      <c r="H377" s="52"/>
      <c r="I377" s="126"/>
      <c r="J377" s="139"/>
      <c r="K377" s="126"/>
      <c r="L377" s="126"/>
      <c r="M377" s="56"/>
      <c r="N377" s="118"/>
      <c r="O377" s="55"/>
      <c r="P377" s="53"/>
      <c r="Q377" s="55"/>
      <c r="R377" s="49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</row>
    <row r="378" spans="1:41" ht="13.8" x14ac:dyDescent="0.25">
      <c r="A378" s="46"/>
      <c r="B378" s="114"/>
      <c r="C378" s="48"/>
      <c r="D378" s="115"/>
      <c r="E378" s="26" t="str">
        <f t="shared" si="22"/>
        <v/>
      </c>
      <c r="F378" s="116"/>
      <c r="G378" s="116"/>
      <c r="H378" s="52"/>
      <c r="I378" s="126"/>
      <c r="J378" s="139"/>
      <c r="K378" s="126"/>
      <c r="L378" s="126"/>
      <c r="M378" s="56"/>
      <c r="N378" s="118"/>
      <c r="O378" s="55"/>
      <c r="P378" s="53"/>
      <c r="Q378" s="55"/>
      <c r="R378" s="49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</row>
    <row r="379" spans="1:41" ht="13.8" x14ac:dyDescent="0.25">
      <c r="A379" s="46"/>
      <c r="B379" s="114"/>
      <c r="C379" s="48"/>
      <c r="D379" s="115"/>
      <c r="E379" s="26" t="str">
        <f t="shared" si="22"/>
        <v/>
      </c>
      <c r="F379" s="116"/>
      <c r="G379" s="116"/>
      <c r="H379" s="52"/>
      <c r="I379" s="126"/>
      <c r="J379" s="139"/>
      <c r="K379" s="126"/>
      <c r="L379" s="126"/>
      <c r="M379" s="56"/>
      <c r="N379" s="118"/>
      <c r="O379" s="55"/>
      <c r="P379" s="53"/>
      <c r="Q379" s="55"/>
      <c r="R379" s="49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</row>
    <row r="380" spans="1:41" ht="13.8" x14ac:dyDescent="0.25">
      <c r="A380" s="46"/>
      <c r="B380" s="114"/>
      <c r="C380" s="48"/>
      <c r="D380" s="115"/>
      <c r="E380" s="26" t="str">
        <f t="shared" si="22"/>
        <v/>
      </c>
      <c r="F380" s="116"/>
      <c r="G380" s="116"/>
      <c r="H380" s="52"/>
      <c r="I380" s="126"/>
      <c r="J380" s="139"/>
      <c r="K380" s="126"/>
      <c r="L380" s="126"/>
      <c r="M380" s="56"/>
      <c r="N380" s="118"/>
      <c r="O380" s="55"/>
      <c r="P380" s="53"/>
      <c r="Q380" s="55"/>
      <c r="R380" s="49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</row>
    <row r="381" spans="1:41" ht="13.8" x14ac:dyDescent="0.25">
      <c r="A381" s="46"/>
      <c r="B381" s="114"/>
      <c r="C381" s="48"/>
      <c r="D381" s="115"/>
      <c r="E381" s="26" t="str">
        <f t="shared" si="22"/>
        <v/>
      </c>
      <c r="F381" s="116"/>
      <c r="G381" s="116"/>
      <c r="H381" s="52"/>
      <c r="I381" s="126"/>
      <c r="J381" s="139"/>
      <c r="K381" s="126"/>
      <c r="L381" s="126"/>
      <c r="M381" s="56"/>
      <c r="N381" s="118"/>
      <c r="O381" s="55"/>
      <c r="P381" s="53"/>
      <c r="Q381" s="55"/>
      <c r="R381" s="49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</row>
    <row r="382" spans="1:41" ht="13.8" x14ac:dyDescent="0.25">
      <c r="A382" s="46"/>
      <c r="B382" s="114"/>
      <c r="C382" s="48"/>
      <c r="D382" s="115"/>
      <c r="E382" s="26" t="str">
        <f t="shared" si="22"/>
        <v/>
      </c>
      <c r="F382" s="116"/>
      <c r="G382" s="116"/>
      <c r="H382" s="52"/>
      <c r="I382" s="126"/>
      <c r="J382" s="139"/>
      <c r="K382" s="126"/>
      <c r="L382" s="126"/>
      <c r="M382" s="56"/>
      <c r="N382" s="118"/>
      <c r="O382" s="55"/>
      <c r="P382" s="53"/>
      <c r="Q382" s="55"/>
      <c r="R382" s="49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</row>
    <row r="383" spans="1:41" ht="13.8" x14ac:dyDescent="0.25">
      <c r="A383" s="46"/>
      <c r="B383" s="114"/>
      <c r="C383" s="48"/>
      <c r="D383" s="115"/>
      <c r="E383" s="26" t="str">
        <f t="shared" si="22"/>
        <v/>
      </c>
      <c r="F383" s="116"/>
      <c r="G383" s="116"/>
      <c r="H383" s="52"/>
      <c r="I383" s="126"/>
      <c r="J383" s="139"/>
      <c r="K383" s="126"/>
      <c r="L383" s="126"/>
      <c r="M383" s="56"/>
      <c r="N383" s="118"/>
      <c r="O383" s="55"/>
      <c r="P383" s="53"/>
      <c r="Q383" s="55"/>
      <c r="R383" s="49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</row>
    <row r="384" spans="1:41" ht="13.8" x14ac:dyDescent="0.25">
      <c r="A384" s="46"/>
      <c r="B384" s="114"/>
      <c r="C384" s="48"/>
      <c r="D384" s="115"/>
      <c r="E384" s="26" t="str">
        <f t="shared" si="22"/>
        <v/>
      </c>
      <c r="F384" s="116"/>
      <c r="G384" s="116"/>
      <c r="H384" s="52"/>
      <c r="I384" s="126"/>
      <c r="J384" s="139"/>
      <c r="K384" s="126"/>
      <c r="L384" s="126"/>
      <c r="M384" s="56"/>
      <c r="N384" s="118"/>
      <c r="O384" s="55"/>
      <c r="P384" s="53"/>
      <c r="Q384" s="55"/>
      <c r="R384" s="49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</row>
    <row r="385" spans="1:41" ht="13.8" x14ac:dyDescent="0.25">
      <c r="A385" s="46"/>
      <c r="B385" s="114"/>
      <c r="C385" s="48"/>
      <c r="D385" s="115"/>
      <c r="E385" s="26" t="str">
        <f t="shared" si="22"/>
        <v/>
      </c>
      <c r="F385" s="116"/>
      <c r="G385" s="116"/>
      <c r="H385" s="52"/>
      <c r="I385" s="126"/>
      <c r="J385" s="139"/>
      <c r="K385" s="126"/>
      <c r="L385" s="126"/>
      <c r="M385" s="56"/>
      <c r="N385" s="118"/>
      <c r="O385" s="55"/>
      <c r="P385" s="53"/>
      <c r="Q385" s="55"/>
      <c r="R385" s="49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</row>
    <row r="386" spans="1:41" ht="13.8" x14ac:dyDescent="0.25">
      <c r="A386" s="46"/>
      <c r="B386" s="114"/>
      <c r="C386" s="48"/>
      <c r="D386" s="115"/>
      <c r="E386" s="26" t="str">
        <f t="shared" si="22"/>
        <v/>
      </c>
      <c r="F386" s="116"/>
      <c r="G386" s="116"/>
      <c r="H386" s="52"/>
      <c r="I386" s="126"/>
      <c r="J386" s="139"/>
      <c r="K386" s="126"/>
      <c r="L386" s="126"/>
      <c r="M386" s="56"/>
      <c r="N386" s="118"/>
      <c r="O386" s="55"/>
      <c r="P386" s="53"/>
      <c r="Q386" s="55"/>
      <c r="R386" s="49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</row>
    <row r="387" spans="1:41" ht="13.8" x14ac:dyDescent="0.25">
      <c r="A387" s="46"/>
      <c r="B387" s="114"/>
      <c r="C387" s="48"/>
      <c r="D387" s="115"/>
      <c r="E387" s="26" t="str">
        <f t="shared" si="22"/>
        <v/>
      </c>
      <c r="F387" s="116"/>
      <c r="G387" s="116"/>
      <c r="H387" s="52"/>
      <c r="I387" s="126"/>
      <c r="J387" s="139"/>
      <c r="K387" s="126"/>
      <c r="L387" s="126"/>
      <c r="M387" s="56"/>
      <c r="N387" s="118"/>
      <c r="O387" s="55"/>
      <c r="P387" s="53"/>
      <c r="Q387" s="55"/>
      <c r="R387" s="49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</row>
    <row r="388" spans="1:41" ht="13.8" x14ac:dyDescent="0.25">
      <c r="A388" s="46"/>
      <c r="B388" s="114"/>
      <c r="C388" s="48"/>
      <c r="D388" s="115"/>
      <c r="E388" s="26" t="str">
        <f t="shared" si="22"/>
        <v/>
      </c>
      <c r="F388" s="116"/>
      <c r="G388" s="116"/>
      <c r="H388" s="52"/>
      <c r="I388" s="126"/>
      <c r="J388" s="139"/>
      <c r="K388" s="126"/>
      <c r="L388" s="126"/>
      <c r="M388" s="56"/>
      <c r="N388" s="118"/>
      <c r="O388" s="55"/>
      <c r="P388" s="53"/>
      <c r="Q388" s="55"/>
      <c r="R388" s="49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</row>
    <row r="389" spans="1:41" ht="13.8" x14ac:dyDescent="0.25">
      <c r="A389" s="46"/>
      <c r="B389" s="114"/>
      <c r="C389" s="48"/>
      <c r="D389" s="115"/>
      <c r="E389" s="26" t="str">
        <f t="shared" si="22"/>
        <v/>
      </c>
      <c r="F389" s="116"/>
      <c r="G389" s="116"/>
      <c r="H389" s="52"/>
      <c r="I389" s="126"/>
      <c r="J389" s="139"/>
      <c r="K389" s="126"/>
      <c r="L389" s="126"/>
      <c r="M389" s="56"/>
      <c r="N389" s="118"/>
      <c r="O389" s="55"/>
      <c r="P389" s="53"/>
      <c r="Q389" s="55"/>
      <c r="R389" s="49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</row>
    <row r="390" spans="1:41" ht="13.8" x14ac:dyDescent="0.25">
      <c r="A390" s="46"/>
      <c r="B390" s="114"/>
      <c r="C390" s="48"/>
      <c r="D390" s="115"/>
      <c r="E390" s="26" t="str">
        <f t="shared" si="22"/>
        <v/>
      </c>
      <c r="F390" s="116"/>
      <c r="G390" s="116"/>
      <c r="H390" s="52"/>
      <c r="I390" s="126"/>
      <c r="J390" s="139"/>
      <c r="K390" s="126"/>
      <c r="L390" s="126"/>
      <c r="M390" s="56"/>
      <c r="N390" s="118"/>
      <c r="O390" s="55"/>
      <c r="P390" s="53"/>
      <c r="Q390" s="55"/>
      <c r="R390" s="49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</row>
    <row r="391" spans="1:41" ht="13.8" x14ac:dyDescent="0.25">
      <c r="A391" s="46"/>
      <c r="B391" s="114"/>
      <c r="C391" s="48"/>
      <c r="D391" s="115"/>
      <c r="E391" s="26" t="str">
        <f t="shared" si="22"/>
        <v/>
      </c>
      <c r="F391" s="116"/>
      <c r="G391" s="116"/>
      <c r="H391" s="52"/>
      <c r="I391" s="126"/>
      <c r="J391" s="139"/>
      <c r="K391" s="126"/>
      <c r="L391" s="126"/>
      <c r="M391" s="56"/>
      <c r="N391" s="118"/>
      <c r="O391" s="55"/>
      <c r="P391" s="53"/>
      <c r="Q391" s="55"/>
      <c r="R391" s="49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</row>
    <row r="392" spans="1:41" ht="13.8" x14ac:dyDescent="0.25">
      <c r="A392" s="46"/>
      <c r="B392" s="114"/>
      <c r="C392" s="48"/>
      <c r="D392" s="115"/>
      <c r="E392" s="26" t="str">
        <f t="shared" si="22"/>
        <v/>
      </c>
      <c r="F392" s="116"/>
      <c r="G392" s="116"/>
      <c r="H392" s="52"/>
      <c r="I392" s="126"/>
      <c r="J392" s="139"/>
      <c r="K392" s="126"/>
      <c r="L392" s="126"/>
      <c r="M392" s="56"/>
      <c r="N392" s="118"/>
      <c r="O392" s="55"/>
      <c r="P392" s="53"/>
      <c r="Q392" s="55"/>
      <c r="R392" s="49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</row>
    <row r="393" spans="1:41" ht="13.8" x14ac:dyDescent="0.25">
      <c r="A393" s="46"/>
      <c r="B393" s="114"/>
      <c r="C393" s="48"/>
      <c r="D393" s="115"/>
      <c r="E393" s="26" t="str">
        <f t="shared" si="22"/>
        <v/>
      </c>
      <c r="F393" s="116"/>
      <c r="G393" s="116"/>
      <c r="H393" s="52"/>
      <c r="I393" s="126"/>
      <c r="J393" s="139"/>
      <c r="K393" s="126"/>
      <c r="L393" s="126"/>
      <c r="M393" s="56"/>
      <c r="N393" s="118"/>
      <c r="O393" s="55"/>
      <c r="P393" s="53"/>
      <c r="Q393" s="55"/>
      <c r="R393" s="49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</row>
    <row r="394" spans="1:41" ht="13.8" x14ac:dyDescent="0.25">
      <c r="A394" s="46"/>
      <c r="B394" s="114"/>
      <c r="C394" s="48"/>
      <c r="D394" s="115"/>
      <c r="E394" s="26" t="str">
        <f t="shared" si="22"/>
        <v/>
      </c>
      <c r="F394" s="116"/>
      <c r="G394" s="116"/>
      <c r="H394" s="52"/>
      <c r="I394" s="126"/>
      <c r="J394" s="139"/>
      <c r="K394" s="126"/>
      <c r="L394" s="126"/>
      <c r="M394" s="56"/>
      <c r="N394" s="118"/>
      <c r="O394" s="55"/>
      <c r="P394" s="53"/>
      <c r="Q394" s="55"/>
      <c r="R394" s="49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</row>
    <row r="395" spans="1:41" ht="13.8" x14ac:dyDescent="0.25">
      <c r="A395" s="46"/>
      <c r="B395" s="114"/>
      <c r="C395" s="48"/>
      <c r="D395" s="115"/>
      <c r="E395" s="26" t="str">
        <f t="shared" si="22"/>
        <v/>
      </c>
      <c r="F395" s="116"/>
      <c r="G395" s="116"/>
      <c r="H395" s="52"/>
      <c r="I395" s="126"/>
      <c r="J395" s="139"/>
      <c r="K395" s="126"/>
      <c r="L395" s="126"/>
      <c r="M395" s="56"/>
      <c r="N395" s="118"/>
      <c r="O395" s="55"/>
      <c r="P395" s="53"/>
      <c r="Q395" s="55"/>
      <c r="R395" s="49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</row>
    <row r="396" spans="1:41" ht="13.8" x14ac:dyDescent="0.25">
      <c r="A396" s="46"/>
      <c r="B396" s="114"/>
      <c r="C396" s="48"/>
      <c r="D396" s="115"/>
      <c r="E396" s="26" t="str">
        <f t="shared" si="22"/>
        <v/>
      </c>
      <c r="F396" s="116"/>
      <c r="G396" s="116"/>
      <c r="H396" s="52"/>
      <c r="I396" s="126"/>
      <c r="J396" s="139"/>
      <c r="K396" s="126"/>
      <c r="L396" s="126"/>
      <c r="M396" s="56"/>
      <c r="N396" s="118"/>
      <c r="O396" s="55"/>
      <c r="P396" s="53"/>
      <c r="Q396" s="55"/>
      <c r="R396" s="49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</row>
    <row r="397" spans="1:41" ht="13.8" x14ac:dyDescent="0.25">
      <c r="A397" s="46"/>
      <c r="B397" s="114"/>
      <c r="C397" s="48"/>
      <c r="D397" s="115"/>
      <c r="E397" s="26" t="str">
        <f t="shared" si="22"/>
        <v/>
      </c>
      <c r="F397" s="116"/>
      <c r="G397" s="116"/>
      <c r="H397" s="52"/>
      <c r="I397" s="126"/>
      <c r="J397" s="139"/>
      <c r="K397" s="126"/>
      <c r="L397" s="126"/>
      <c r="M397" s="56"/>
      <c r="N397" s="118"/>
      <c r="O397" s="55"/>
      <c r="P397" s="53"/>
      <c r="Q397" s="55"/>
      <c r="R397" s="49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</row>
    <row r="398" spans="1:41" ht="13.8" x14ac:dyDescent="0.25">
      <c r="A398" s="46"/>
      <c r="B398" s="114"/>
      <c r="C398" s="48"/>
      <c r="D398" s="115"/>
      <c r="E398" s="26" t="str">
        <f t="shared" si="22"/>
        <v/>
      </c>
      <c r="F398" s="116"/>
      <c r="G398" s="116"/>
      <c r="H398" s="52"/>
      <c r="I398" s="126"/>
      <c r="J398" s="139"/>
      <c r="K398" s="126"/>
      <c r="L398" s="126"/>
      <c r="M398" s="56"/>
      <c r="N398" s="118"/>
      <c r="O398" s="55"/>
      <c r="P398" s="53"/>
      <c r="Q398" s="55"/>
      <c r="R398" s="49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</row>
    <row r="399" spans="1:41" ht="13.8" x14ac:dyDescent="0.25">
      <c r="A399" s="46"/>
      <c r="B399" s="114"/>
      <c r="C399" s="48"/>
      <c r="D399" s="115"/>
      <c r="E399" s="26" t="str">
        <f t="shared" si="22"/>
        <v/>
      </c>
      <c r="F399" s="116"/>
      <c r="G399" s="116"/>
      <c r="H399" s="52"/>
      <c r="I399" s="126"/>
      <c r="J399" s="139"/>
      <c r="K399" s="126"/>
      <c r="L399" s="126"/>
      <c r="M399" s="56"/>
      <c r="N399" s="118"/>
      <c r="O399" s="55"/>
      <c r="P399" s="53"/>
      <c r="Q399" s="55"/>
      <c r="R399" s="49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</row>
    <row r="400" spans="1:41" ht="13.8" x14ac:dyDescent="0.25">
      <c r="A400" s="46"/>
      <c r="B400" s="114"/>
      <c r="C400" s="48"/>
      <c r="D400" s="115"/>
      <c r="E400" s="26" t="str">
        <f t="shared" si="22"/>
        <v/>
      </c>
      <c r="F400" s="116"/>
      <c r="G400" s="116"/>
      <c r="H400" s="52"/>
      <c r="I400" s="126"/>
      <c r="J400" s="139"/>
      <c r="K400" s="126"/>
      <c r="L400" s="126"/>
      <c r="M400" s="56"/>
      <c r="N400" s="118"/>
      <c r="O400" s="55"/>
      <c r="P400" s="53"/>
      <c r="Q400" s="55"/>
      <c r="R400" s="49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</row>
    <row r="401" spans="1:41" ht="13.8" x14ac:dyDescent="0.25">
      <c r="A401" s="46"/>
      <c r="B401" s="114"/>
      <c r="C401" s="48"/>
      <c r="D401" s="115"/>
      <c r="E401" s="26" t="str">
        <f t="shared" si="22"/>
        <v/>
      </c>
      <c r="F401" s="116"/>
      <c r="G401" s="116"/>
      <c r="H401" s="52"/>
      <c r="I401" s="126"/>
      <c r="J401" s="139"/>
      <c r="K401" s="126"/>
      <c r="L401" s="126"/>
      <c r="M401" s="56"/>
      <c r="N401" s="118"/>
      <c r="O401" s="55"/>
      <c r="P401" s="53"/>
      <c r="Q401" s="55"/>
      <c r="R401" s="49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</row>
    <row r="402" spans="1:41" ht="13.8" x14ac:dyDescent="0.25">
      <c r="A402" s="46"/>
      <c r="B402" s="114"/>
      <c r="C402" s="48"/>
      <c r="D402" s="115"/>
      <c r="E402" s="26" t="str">
        <f t="shared" si="22"/>
        <v/>
      </c>
      <c r="F402" s="116"/>
      <c r="G402" s="116"/>
      <c r="H402" s="52"/>
      <c r="I402" s="126"/>
      <c r="J402" s="139"/>
      <c r="K402" s="126"/>
      <c r="L402" s="126"/>
      <c r="M402" s="56"/>
      <c r="N402" s="118"/>
      <c r="O402" s="55"/>
      <c r="P402" s="53"/>
      <c r="Q402" s="55"/>
      <c r="R402" s="49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</row>
    <row r="403" spans="1:41" ht="13.8" x14ac:dyDescent="0.25">
      <c r="A403" s="46"/>
      <c r="B403" s="114"/>
      <c r="C403" s="48"/>
      <c r="D403" s="115"/>
      <c r="E403" s="26" t="str">
        <f t="shared" si="22"/>
        <v/>
      </c>
      <c r="F403" s="116"/>
      <c r="G403" s="116"/>
      <c r="H403" s="52"/>
      <c r="I403" s="126"/>
      <c r="J403" s="139"/>
      <c r="K403" s="126"/>
      <c r="L403" s="126"/>
      <c r="M403" s="56"/>
      <c r="N403" s="118"/>
      <c r="O403" s="55"/>
      <c r="P403" s="53"/>
      <c r="Q403" s="55"/>
      <c r="R403" s="49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</row>
    <row r="404" spans="1:41" ht="13.8" x14ac:dyDescent="0.25">
      <c r="A404" s="46"/>
      <c r="B404" s="114"/>
      <c r="C404" s="48"/>
      <c r="D404" s="115"/>
      <c r="E404" s="26" t="str">
        <f t="shared" si="22"/>
        <v/>
      </c>
      <c r="F404" s="116"/>
      <c r="G404" s="116"/>
      <c r="H404" s="52"/>
      <c r="I404" s="126"/>
      <c r="J404" s="139"/>
      <c r="K404" s="126"/>
      <c r="L404" s="126"/>
      <c r="M404" s="56"/>
      <c r="N404" s="118"/>
      <c r="O404" s="55"/>
      <c r="P404" s="53"/>
      <c r="Q404" s="55"/>
      <c r="R404" s="49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</row>
    <row r="405" spans="1:41" ht="13.8" x14ac:dyDescent="0.25">
      <c r="A405" s="46"/>
      <c r="B405" s="114"/>
      <c r="C405" s="48"/>
      <c r="D405" s="115"/>
      <c r="E405" s="26" t="str">
        <f t="shared" si="22"/>
        <v/>
      </c>
      <c r="F405" s="116"/>
      <c r="G405" s="116"/>
      <c r="H405" s="52"/>
      <c r="I405" s="126"/>
      <c r="J405" s="139"/>
      <c r="K405" s="126"/>
      <c r="L405" s="126"/>
      <c r="M405" s="56"/>
      <c r="N405" s="118"/>
      <c r="O405" s="55"/>
      <c r="P405" s="53"/>
      <c r="Q405" s="55"/>
      <c r="R405" s="49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</row>
    <row r="406" spans="1:41" ht="13.8" x14ac:dyDescent="0.25">
      <c r="A406" s="46"/>
      <c r="B406" s="114"/>
      <c r="C406" s="48"/>
      <c r="D406" s="115"/>
      <c r="E406" s="26" t="str">
        <f t="shared" si="22"/>
        <v/>
      </c>
      <c r="F406" s="116"/>
      <c r="G406" s="116"/>
      <c r="H406" s="52"/>
      <c r="I406" s="126"/>
      <c r="J406" s="139"/>
      <c r="K406" s="126"/>
      <c r="L406" s="126"/>
      <c r="M406" s="56"/>
      <c r="N406" s="118"/>
      <c r="O406" s="55"/>
      <c r="P406" s="53"/>
      <c r="Q406" s="55"/>
      <c r="R406" s="49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</row>
    <row r="407" spans="1:41" ht="13.8" x14ac:dyDescent="0.25">
      <c r="A407" s="46"/>
      <c r="B407" s="114"/>
      <c r="C407" s="48"/>
      <c r="D407" s="115"/>
      <c r="E407" s="26" t="str">
        <f t="shared" si="22"/>
        <v/>
      </c>
      <c r="F407" s="116"/>
      <c r="G407" s="116"/>
      <c r="H407" s="52"/>
      <c r="I407" s="126"/>
      <c r="J407" s="139"/>
      <c r="K407" s="126"/>
      <c r="L407" s="126"/>
      <c r="M407" s="56"/>
      <c r="N407" s="118"/>
      <c r="O407" s="55"/>
      <c r="P407" s="53"/>
      <c r="Q407" s="55"/>
      <c r="R407" s="49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</row>
    <row r="408" spans="1:41" ht="13.8" x14ac:dyDescent="0.25">
      <c r="A408" s="46"/>
      <c r="B408" s="114"/>
      <c r="C408" s="48"/>
      <c r="D408" s="115"/>
      <c r="E408" s="26" t="str">
        <f t="shared" si="22"/>
        <v/>
      </c>
      <c r="F408" s="116"/>
      <c r="G408" s="116"/>
      <c r="H408" s="52"/>
      <c r="I408" s="126"/>
      <c r="J408" s="139"/>
      <c r="K408" s="126"/>
      <c r="L408" s="126"/>
      <c r="M408" s="56"/>
      <c r="N408" s="118"/>
      <c r="O408" s="55"/>
      <c r="P408" s="53"/>
      <c r="Q408" s="55"/>
      <c r="R408" s="49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</row>
    <row r="409" spans="1:41" ht="13.8" x14ac:dyDescent="0.25">
      <c r="A409" s="46"/>
      <c r="B409" s="114"/>
      <c r="C409" s="48"/>
      <c r="D409" s="115"/>
      <c r="E409" s="26" t="str">
        <f t="shared" si="22"/>
        <v/>
      </c>
      <c r="F409" s="116"/>
      <c r="G409" s="116"/>
      <c r="H409" s="52"/>
      <c r="I409" s="126"/>
      <c r="J409" s="139"/>
      <c r="K409" s="126"/>
      <c r="L409" s="126"/>
      <c r="M409" s="56"/>
      <c r="N409" s="118"/>
      <c r="O409" s="55"/>
      <c r="P409" s="53"/>
      <c r="Q409" s="55"/>
      <c r="R409" s="49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</row>
    <row r="410" spans="1:41" ht="13.8" x14ac:dyDescent="0.25">
      <c r="A410" s="46"/>
      <c r="B410" s="114"/>
      <c r="C410" s="48"/>
      <c r="D410" s="115"/>
      <c r="E410" s="26" t="str">
        <f t="shared" si="22"/>
        <v/>
      </c>
      <c r="F410" s="116"/>
      <c r="G410" s="116"/>
      <c r="H410" s="52"/>
      <c r="I410" s="126"/>
      <c r="J410" s="139"/>
      <c r="K410" s="126"/>
      <c r="L410" s="126"/>
      <c r="M410" s="56"/>
      <c r="N410" s="118"/>
      <c r="O410" s="55"/>
      <c r="P410" s="53"/>
      <c r="Q410" s="55"/>
      <c r="R410" s="49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</row>
    <row r="411" spans="1:41" ht="13.8" x14ac:dyDescent="0.25">
      <c r="A411" s="46"/>
      <c r="B411" s="114"/>
      <c r="C411" s="48"/>
      <c r="D411" s="115"/>
      <c r="E411" s="26" t="str">
        <f t="shared" si="22"/>
        <v/>
      </c>
      <c r="F411" s="116"/>
      <c r="G411" s="116"/>
      <c r="H411" s="52"/>
      <c r="I411" s="126"/>
      <c r="J411" s="139"/>
      <c r="K411" s="126"/>
      <c r="L411" s="126"/>
      <c r="M411" s="56"/>
      <c r="N411" s="118"/>
      <c r="O411" s="55"/>
      <c r="P411" s="53"/>
      <c r="Q411" s="55"/>
      <c r="R411" s="49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</row>
    <row r="412" spans="1:41" ht="13.8" x14ac:dyDescent="0.25">
      <c r="A412" s="46"/>
      <c r="B412" s="114"/>
      <c r="C412" s="48"/>
      <c r="D412" s="115"/>
      <c r="E412" s="26" t="str">
        <f t="shared" si="22"/>
        <v/>
      </c>
      <c r="F412" s="116"/>
      <c r="G412" s="116"/>
      <c r="H412" s="52"/>
      <c r="I412" s="126"/>
      <c r="J412" s="139"/>
      <c r="K412" s="126"/>
      <c r="L412" s="126"/>
      <c r="M412" s="56"/>
      <c r="N412" s="118"/>
      <c r="O412" s="55"/>
      <c r="P412" s="53"/>
      <c r="Q412" s="55"/>
      <c r="R412" s="49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</row>
    <row r="413" spans="1:41" ht="13.8" x14ac:dyDescent="0.25">
      <c r="A413" s="46"/>
      <c r="B413" s="114"/>
      <c r="C413" s="48"/>
      <c r="D413" s="115"/>
      <c r="E413" s="26" t="str">
        <f t="shared" si="22"/>
        <v/>
      </c>
      <c r="F413" s="116"/>
      <c r="G413" s="116"/>
      <c r="H413" s="52"/>
      <c r="I413" s="126"/>
      <c r="J413" s="139"/>
      <c r="K413" s="126"/>
      <c r="L413" s="126"/>
      <c r="M413" s="56"/>
      <c r="N413" s="118"/>
      <c r="O413" s="55"/>
      <c r="P413" s="53"/>
      <c r="Q413" s="55"/>
      <c r="R413" s="49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</row>
    <row r="414" spans="1:41" ht="13.8" x14ac:dyDescent="0.25">
      <c r="A414" s="46"/>
      <c r="B414" s="114"/>
      <c r="C414" s="48"/>
      <c r="D414" s="115"/>
      <c r="E414" s="26" t="str">
        <f t="shared" si="22"/>
        <v/>
      </c>
      <c r="F414" s="116"/>
      <c r="G414" s="116"/>
      <c r="H414" s="52"/>
      <c r="I414" s="126"/>
      <c r="J414" s="139"/>
      <c r="K414" s="126"/>
      <c r="L414" s="126"/>
      <c r="M414" s="56"/>
      <c r="N414" s="118"/>
      <c r="O414" s="55"/>
      <c r="P414" s="53"/>
      <c r="Q414" s="55"/>
      <c r="R414" s="49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</row>
    <row r="415" spans="1:41" ht="13.8" x14ac:dyDescent="0.25">
      <c r="A415" s="46"/>
      <c r="B415" s="114"/>
      <c r="C415" s="48"/>
      <c r="D415" s="115"/>
      <c r="E415" s="26" t="str">
        <f t="shared" si="22"/>
        <v/>
      </c>
      <c r="F415" s="116"/>
      <c r="G415" s="116"/>
      <c r="H415" s="52"/>
      <c r="I415" s="126"/>
      <c r="J415" s="139"/>
      <c r="K415" s="126"/>
      <c r="L415" s="126"/>
      <c r="M415" s="56"/>
      <c r="N415" s="118"/>
      <c r="O415" s="55"/>
      <c r="P415" s="53"/>
      <c r="Q415" s="55"/>
      <c r="R415" s="49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</row>
    <row r="416" spans="1:41" ht="13.8" x14ac:dyDescent="0.25">
      <c r="A416" s="46"/>
      <c r="B416" s="114"/>
      <c r="C416" s="48"/>
      <c r="D416" s="115"/>
      <c r="E416" s="26" t="str">
        <f t="shared" si="22"/>
        <v/>
      </c>
      <c r="F416" s="116"/>
      <c r="G416" s="116"/>
      <c r="H416" s="52"/>
      <c r="I416" s="126"/>
      <c r="J416" s="139"/>
      <c r="K416" s="126"/>
      <c r="L416" s="126"/>
      <c r="M416" s="56"/>
      <c r="N416" s="118"/>
      <c r="O416" s="55"/>
      <c r="P416" s="53"/>
      <c r="Q416" s="55"/>
      <c r="R416" s="49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</row>
    <row r="417" spans="1:41" ht="13.8" x14ac:dyDescent="0.25">
      <c r="A417" s="46"/>
      <c r="B417" s="114"/>
      <c r="C417" s="48"/>
      <c r="D417" s="115"/>
      <c r="E417" s="26" t="str">
        <f t="shared" si="22"/>
        <v/>
      </c>
      <c r="F417" s="116"/>
      <c r="G417" s="116"/>
      <c r="H417" s="52"/>
      <c r="I417" s="126"/>
      <c r="J417" s="139"/>
      <c r="K417" s="126"/>
      <c r="L417" s="126"/>
      <c r="M417" s="56"/>
      <c r="N417" s="118"/>
      <c r="O417" s="55"/>
      <c r="P417" s="53"/>
      <c r="Q417" s="55"/>
      <c r="R417" s="49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</row>
    <row r="418" spans="1:41" ht="13.8" x14ac:dyDescent="0.25">
      <c r="A418" s="46"/>
      <c r="B418" s="114"/>
      <c r="C418" s="48"/>
      <c r="D418" s="115"/>
      <c r="E418" s="26" t="str">
        <f t="shared" si="22"/>
        <v/>
      </c>
      <c r="F418" s="116"/>
      <c r="G418" s="116"/>
      <c r="H418" s="52"/>
      <c r="I418" s="126"/>
      <c r="J418" s="139"/>
      <c r="K418" s="126"/>
      <c r="L418" s="126"/>
      <c r="M418" s="56"/>
      <c r="N418" s="118"/>
      <c r="O418" s="55"/>
      <c r="P418" s="53"/>
      <c r="Q418" s="55"/>
      <c r="R418" s="49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</row>
    <row r="419" spans="1:41" ht="13.8" x14ac:dyDescent="0.25">
      <c r="A419" s="46"/>
      <c r="B419" s="114"/>
      <c r="C419" s="48"/>
      <c r="D419" s="115"/>
      <c r="E419" s="26" t="str">
        <f t="shared" si="22"/>
        <v/>
      </c>
      <c r="F419" s="116"/>
      <c r="G419" s="116"/>
      <c r="H419" s="52"/>
      <c r="I419" s="126"/>
      <c r="J419" s="139"/>
      <c r="K419" s="126"/>
      <c r="L419" s="126"/>
      <c r="M419" s="56"/>
      <c r="N419" s="118"/>
      <c r="O419" s="55"/>
      <c r="P419" s="53"/>
      <c r="Q419" s="55"/>
      <c r="R419" s="49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</row>
    <row r="420" spans="1:41" ht="13.8" x14ac:dyDescent="0.25">
      <c r="A420" s="46"/>
      <c r="B420" s="114"/>
      <c r="C420" s="48"/>
      <c r="D420" s="115"/>
      <c r="E420" s="26" t="str">
        <f t="shared" si="22"/>
        <v/>
      </c>
      <c r="F420" s="116"/>
      <c r="G420" s="116"/>
      <c r="H420" s="52"/>
      <c r="I420" s="126"/>
      <c r="J420" s="139"/>
      <c r="K420" s="126"/>
      <c r="L420" s="126"/>
      <c r="M420" s="56"/>
      <c r="N420" s="118"/>
      <c r="O420" s="55"/>
      <c r="P420" s="53"/>
      <c r="Q420" s="55"/>
      <c r="R420" s="49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</row>
    <row r="421" spans="1:41" ht="13.8" x14ac:dyDescent="0.25">
      <c r="A421" s="46"/>
      <c r="B421" s="114"/>
      <c r="C421" s="48"/>
      <c r="D421" s="115"/>
      <c r="E421" s="26" t="str">
        <f t="shared" si="22"/>
        <v/>
      </c>
      <c r="F421" s="116"/>
      <c r="G421" s="116"/>
      <c r="H421" s="52"/>
      <c r="I421" s="126"/>
      <c r="J421" s="139"/>
      <c r="K421" s="126"/>
      <c r="L421" s="126"/>
      <c r="M421" s="56"/>
      <c r="N421" s="118"/>
      <c r="O421" s="55"/>
      <c r="P421" s="53"/>
      <c r="Q421" s="55"/>
      <c r="R421" s="49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</row>
    <row r="422" spans="1:41" ht="13.8" x14ac:dyDescent="0.25">
      <c r="A422" s="46"/>
      <c r="B422" s="114"/>
      <c r="C422" s="48"/>
      <c r="D422" s="115"/>
      <c r="E422" s="26" t="str">
        <f t="shared" si="22"/>
        <v/>
      </c>
      <c r="F422" s="116"/>
      <c r="G422" s="116"/>
      <c r="H422" s="52"/>
      <c r="I422" s="126"/>
      <c r="J422" s="139"/>
      <c r="K422" s="126"/>
      <c r="L422" s="126"/>
      <c r="M422" s="56"/>
      <c r="N422" s="118"/>
      <c r="O422" s="55"/>
      <c r="P422" s="53"/>
      <c r="Q422" s="55"/>
      <c r="R422" s="49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</row>
    <row r="423" spans="1:41" ht="13.8" x14ac:dyDescent="0.25">
      <c r="A423" s="46"/>
      <c r="B423" s="114"/>
      <c r="C423" s="48"/>
      <c r="D423" s="115"/>
      <c r="E423" s="26" t="str">
        <f t="shared" si="22"/>
        <v/>
      </c>
      <c r="F423" s="116"/>
      <c r="G423" s="116"/>
      <c r="H423" s="52"/>
      <c r="I423" s="126"/>
      <c r="J423" s="139"/>
      <c r="K423" s="126"/>
      <c r="L423" s="126"/>
      <c r="M423" s="56"/>
      <c r="N423" s="118"/>
      <c r="O423" s="55"/>
      <c r="P423" s="53"/>
      <c r="Q423" s="55"/>
      <c r="R423" s="49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</row>
    <row r="424" spans="1:41" ht="13.8" x14ac:dyDescent="0.25">
      <c r="A424" s="46"/>
      <c r="B424" s="114"/>
      <c r="C424" s="48"/>
      <c r="D424" s="115"/>
      <c r="E424" s="26" t="str">
        <f t="shared" si="22"/>
        <v/>
      </c>
      <c r="F424" s="116"/>
      <c r="G424" s="116"/>
      <c r="H424" s="52"/>
      <c r="I424" s="126"/>
      <c r="J424" s="139"/>
      <c r="K424" s="126"/>
      <c r="L424" s="126"/>
      <c r="M424" s="56"/>
      <c r="N424" s="118"/>
      <c r="O424" s="55"/>
      <c r="P424" s="53"/>
      <c r="Q424" s="55"/>
      <c r="R424" s="49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</row>
    <row r="425" spans="1:41" ht="13.8" x14ac:dyDescent="0.25">
      <c r="A425" s="46"/>
      <c r="B425" s="114"/>
      <c r="C425" s="48"/>
      <c r="D425" s="115"/>
      <c r="E425" s="26" t="str">
        <f t="shared" si="22"/>
        <v/>
      </c>
      <c r="F425" s="116"/>
      <c r="G425" s="116"/>
      <c r="H425" s="52"/>
      <c r="I425" s="126"/>
      <c r="J425" s="139"/>
      <c r="K425" s="126"/>
      <c r="L425" s="126"/>
      <c r="M425" s="56"/>
      <c r="N425" s="118"/>
      <c r="O425" s="55"/>
      <c r="P425" s="53"/>
      <c r="Q425" s="55"/>
      <c r="R425" s="49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</row>
    <row r="426" spans="1:41" ht="13.8" x14ac:dyDescent="0.25">
      <c r="A426" s="46"/>
      <c r="B426" s="114"/>
      <c r="C426" s="48"/>
      <c r="D426" s="115"/>
      <c r="E426" s="26" t="str">
        <f t="shared" si="22"/>
        <v/>
      </c>
      <c r="F426" s="116"/>
      <c r="G426" s="116"/>
      <c r="H426" s="52"/>
      <c r="I426" s="126"/>
      <c r="J426" s="139"/>
      <c r="K426" s="126"/>
      <c r="L426" s="126"/>
      <c r="M426" s="56"/>
      <c r="N426" s="118"/>
      <c r="O426" s="55"/>
      <c r="P426" s="53"/>
      <c r="Q426" s="55"/>
      <c r="R426" s="49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</row>
    <row r="427" spans="1:41" ht="13.8" x14ac:dyDescent="0.25">
      <c r="A427" s="46"/>
      <c r="B427" s="114"/>
      <c r="C427" s="48"/>
      <c r="D427" s="115"/>
      <c r="E427" s="26" t="str">
        <f t="shared" si="22"/>
        <v/>
      </c>
      <c r="F427" s="116"/>
      <c r="G427" s="116"/>
      <c r="H427" s="52"/>
      <c r="I427" s="126"/>
      <c r="J427" s="139"/>
      <c r="K427" s="126"/>
      <c r="L427" s="126"/>
      <c r="M427" s="56"/>
      <c r="N427" s="118"/>
      <c r="O427" s="55"/>
      <c r="P427" s="53"/>
      <c r="Q427" s="55"/>
      <c r="R427" s="49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</row>
    <row r="428" spans="1:41" ht="13.8" x14ac:dyDescent="0.25">
      <c r="A428" s="46"/>
      <c r="B428" s="114"/>
      <c r="C428" s="48"/>
      <c r="D428" s="115"/>
      <c r="E428" s="26" t="str">
        <f t="shared" si="22"/>
        <v/>
      </c>
      <c r="F428" s="116"/>
      <c r="G428" s="116"/>
      <c r="H428" s="52"/>
      <c r="I428" s="126"/>
      <c r="J428" s="139"/>
      <c r="K428" s="126"/>
      <c r="L428" s="126"/>
      <c r="M428" s="56"/>
      <c r="N428" s="118"/>
      <c r="O428" s="55"/>
      <c r="P428" s="53"/>
      <c r="Q428" s="55"/>
      <c r="R428" s="49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</row>
    <row r="429" spans="1:41" ht="13.8" x14ac:dyDescent="0.25">
      <c r="A429" s="46"/>
      <c r="B429" s="114"/>
      <c r="C429" s="48"/>
      <c r="D429" s="115"/>
      <c r="E429" s="26" t="str">
        <f t="shared" si="22"/>
        <v/>
      </c>
      <c r="F429" s="116"/>
      <c r="G429" s="116"/>
      <c r="H429" s="52"/>
      <c r="I429" s="126"/>
      <c r="J429" s="139"/>
      <c r="K429" s="126"/>
      <c r="L429" s="126"/>
      <c r="M429" s="56"/>
      <c r="N429" s="118"/>
      <c r="O429" s="55"/>
      <c r="P429" s="53"/>
      <c r="Q429" s="55"/>
      <c r="R429" s="49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</row>
    <row r="430" spans="1:41" ht="13.8" x14ac:dyDescent="0.25">
      <c r="A430" s="46"/>
      <c r="B430" s="114"/>
      <c r="C430" s="48"/>
      <c r="D430" s="115"/>
      <c r="E430" s="26" t="str">
        <f t="shared" si="22"/>
        <v/>
      </c>
      <c r="F430" s="116"/>
      <c r="G430" s="116"/>
      <c r="H430" s="52"/>
      <c r="I430" s="126"/>
      <c r="J430" s="139"/>
      <c r="K430" s="126"/>
      <c r="L430" s="126"/>
      <c r="M430" s="56"/>
      <c r="N430" s="118"/>
      <c r="O430" s="55"/>
      <c r="P430" s="53"/>
      <c r="Q430" s="55"/>
      <c r="R430" s="49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</row>
    <row r="431" spans="1:41" ht="13.8" x14ac:dyDescent="0.25">
      <c r="A431" s="46"/>
      <c r="B431" s="114"/>
      <c r="C431" s="48"/>
      <c r="D431" s="115"/>
      <c r="E431" s="26" t="str">
        <f t="shared" si="22"/>
        <v/>
      </c>
      <c r="F431" s="116"/>
      <c r="G431" s="116"/>
      <c r="H431" s="52"/>
      <c r="I431" s="126"/>
      <c r="J431" s="139"/>
      <c r="K431" s="126"/>
      <c r="L431" s="126"/>
      <c r="M431" s="56"/>
      <c r="N431" s="118"/>
      <c r="O431" s="55"/>
      <c r="P431" s="53"/>
      <c r="Q431" s="55"/>
      <c r="R431" s="49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</row>
    <row r="432" spans="1:41" ht="13.8" x14ac:dyDescent="0.25">
      <c r="A432" s="46"/>
      <c r="B432" s="114"/>
      <c r="C432" s="48"/>
      <c r="D432" s="115"/>
      <c r="E432" s="26" t="str">
        <f t="shared" si="22"/>
        <v/>
      </c>
      <c r="F432" s="116"/>
      <c r="G432" s="116"/>
      <c r="H432" s="52"/>
      <c r="I432" s="126"/>
      <c r="J432" s="139"/>
      <c r="K432" s="126"/>
      <c r="L432" s="126"/>
      <c r="M432" s="56"/>
      <c r="N432" s="118"/>
      <c r="O432" s="55"/>
      <c r="P432" s="53"/>
      <c r="Q432" s="55"/>
      <c r="R432" s="49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</row>
    <row r="433" spans="1:41" ht="13.8" x14ac:dyDescent="0.25">
      <c r="A433" s="46"/>
      <c r="B433" s="114"/>
      <c r="C433" s="48"/>
      <c r="D433" s="115"/>
      <c r="E433" s="26" t="str">
        <f t="shared" si="22"/>
        <v/>
      </c>
      <c r="F433" s="116"/>
      <c r="G433" s="116"/>
      <c r="H433" s="52"/>
      <c r="I433" s="126"/>
      <c r="J433" s="139"/>
      <c r="K433" s="126"/>
      <c r="L433" s="126"/>
      <c r="M433" s="56"/>
      <c r="N433" s="118"/>
      <c r="O433" s="55"/>
      <c r="P433" s="53"/>
      <c r="Q433" s="55"/>
      <c r="R433" s="49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</row>
    <row r="434" spans="1:41" ht="13.8" x14ac:dyDescent="0.25">
      <c r="A434" s="46"/>
      <c r="B434" s="114"/>
      <c r="C434" s="48"/>
      <c r="D434" s="115"/>
      <c r="E434" s="26" t="str">
        <f t="shared" si="22"/>
        <v/>
      </c>
      <c r="F434" s="116"/>
      <c r="G434" s="116"/>
      <c r="H434" s="52"/>
      <c r="I434" s="126"/>
      <c r="J434" s="139"/>
      <c r="K434" s="126"/>
      <c r="L434" s="126"/>
      <c r="M434" s="56"/>
      <c r="N434" s="118"/>
      <c r="O434" s="55"/>
      <c r="P434" s="53"/>
      <c r="Q434" s="55"/>
      <c r="R434" s="49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</row>
    <row r="435" spans="1:41" ht="13.8" x14ac:dyDescent="0.25">
      <c r="A435" s="46"/>
      <c r="B435" s="114"/>
      <c r="C435" s="48"/>
      <c r="D435" s="115"/>
      <c r="E435" s="26" t="str">
        <f t="shared" si="22"/>
        <v/>
      </c>
      <c r="F435" s="116"/>
      <c r="G435" s="116"/>
      <c r="H435" s="52"/>
      <c r="I435" s="126"/>
      <c r="J435" s="139"/>
      <c r="K435" s="126"/>
      <c r="L435" s="126"/>
      <c r="M435" s="56"/>
      <c r="N435" s="118"/>
      <c r="O435" s="55"/>
      <c r="P435" s="53"/>
      <c r="Q435" s="55"/>
      <c r="R435" s="49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</row>
    <row r="436" spans="1:41" ht="13.8" x14ac:dyDescent="0.25">
      <c r="A436" s="46"/>
      <c r="B436" s="114"/>
      <c r="C436" s="48"/>
      <c r="D436" s="115"/>
      <c r="E436" s="26" t="str">
        <f t="shared" si="22"/>
        <v/>
      </c>
      <c r="F436" s="116"/>
      <c r="G436" s="116"/>
      <c r="H436" s="52"/>
      <c r="I436" s="126"/>
      <c r="J436" s="139"/>
      <c r="K436" s="126"/>
      <c r="L436" s="126"/>
      <c r="M436" s="56"/>
      <c r="N436" s="118"/>
      <c r="O436" s="55"/>
      <c r="P436" s="53"/>
      <c r="Q436" s="55"/>
      <c r="R436" s="49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</row>
    <row r="437" spans="1:41" ht="13.8" x14ac:dyDescent="0.25">
      <c r="A437" s="46"/>
      <c r="B437" s="114"/>
      <c r="C437" s="48"/>
      <c r="D437" s="115"/>
      <c r="E437" s="26" t="str">
        <f t="shared" si="22"/>
        <v/>
      </c>
      <c r="F437" s="116"/>
      <c r="G437" s="116"/>
      <c r="H437" s="52"/>
      <c r="I437" s="126"/>
      <c r="J437" s="139"/>
      <c r="K437" s="126"/>
      <c r="L437" s="126"/>
      <c r="M437" s="56"/>
      <c r="N437" s="118"/>
      <c r="O437" s="55"/>
      <c r="P437" s="53"/>
      <c r="Q437" s="55"/>
      <c r="R437" s="49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</row>
    <row r="438" spans="1:41" ht="13.8" x14ac:dyDescent="0.25">
      <c r="A438" s="46"/>
      <c r="B438" s="114"/>
      <c r="C438" s="48"/>
      <c r="D438" s="115"/>
      <c r="E438" s="26" t="str">
        <f t="shared" si="22"/>
        <v/>
      </c>
      <c r="F438" s="116"/>
      <c r="G438" s="116"/>
      <c r="H438" s="52"/>
      <c r="I438" s="126"/>
      <c r="J438" s="139"/>
      <c r="K438" s="126"/>
      <c r="L438" s="126"/>
      <c r="M438" s="56"/>
      <c r="N438" s="118"/>
      <c r="O438" s="55"/>
      <c r="P438" s="53"/>
      <c r="Q438" s="55"/>
      <c r="R438" s="49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</row>
    <row r="439" spans="1:41" ht="13.8" x14ac:dyDescent="0.25">
      <c r="A439" s="46"/>
      <c r="B439" s="114"/>
      <c r="C439" s="48"/>
      <c r="D439" s="115"/>
      <c r="E439" s="26" t="str">
        <f t="shared" si="22"/>
        <v/>
      </c>
      <c r="F439" s="116"/>
      <c r="G439" s="116"/>
      <c r="H439" s="52"/>
      <c r="I439" s="126"/>
      <c r="J439" s="139"/>
      <c r="K439" s="126"/>
      <c r="L439" s="126"/>
      <c r="M439" s="56"/>
      <c r="N439" s="118"/>
      <c r="O439" s="55"/>
      <c r="P439" s="53"/>
      <c r="Q439" s="55"/>
      <c r="R439" s="49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</row>
    <row r="440" spans="1:41" ht="13.8" x14ac:dyDescent="0.25">
      <c r="A440" s="46"/>
      <c r="B440" s="114"/>
      <c r="C440" s="48"/>
      <c r="D440" s="115"/>
      <c r="E440" s="26" t="str">
        <f t="shared" si="22"/>
        <v/>
      </c>
      <c r="F440" s="116"/>
      <c r="G440" s="116"/>
      <c r="H440" s="52"/>
      <c r="I440" s="126"/>
      <c r="J440" s="139"/>
      <c r="K440" s="126"/>
      <c r="L440" s="126"/>
      <c r="M440" s="56"/>
      <c r="N440" s="118"/>
      <c r="O440" s="55"/>
      <c r="P440" s="53"/>
      <c r="Q440" s="55"/>
      <c r="R440" s="49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</row>
    <row r="441" spans="1:41" ht="13.8" x14ac:dyDescent="0.25">
      <c r="A441" s="46"/>
      <c r="B441" s="114"/>
      <c r="C441" s="48"/>
      <c r="D441" s="115"/>
      <c r="E441" s="26" t="str">
        <f t="shared" si="22"/>
        <v/>
      </c>
      <c r="F441" s="116"/>
      <c r="G441" s="116"/>
      <c r="H441" s="52"/>
      <c r="I441" s="126"/>
      <c r="J441" s="139"/>
      <c r="K441" s="126"/>
      <c r="L441" s="126"/>
      <c r="M441" s="56"/>
      <c r="N441" s="118"/>
      <c r="O441" s="55"/>
      <c r="P441" s="53"/>
      <c r="Q441" s="55"/>
      <c r="R441" s="49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</row>
    <row r="442" spans="1:41" ht="13.8" x14ac:dyDescent="0.25">
      <c r="A442" s="46"/>
      <c r="B442" s="114"/>
      <c r="C442" s="48"/>
      <c r="D442" s="115"/>
      <c r="E442" s="26" t="str">
        <f t="shared" si="22"/>
        <v/>
      </c>
      <c r="F442" s="116"/>
      <c r="G442" s="116"/>
      <c r="H442" s="52"/>
      <c r="I442" s="126"/>
      <c r="J442" s="139"/>
      <c r="K442" s="126"/>
      <c r="L442" s="126"/>
      <c r="M442" s="56"/>
      <c r="N442" s="118"/>
      <c r="O442" s="55"/>
      <c r="P442" s="53"/>
      <c r="Q442" s="55"/>
      <c r="R442" s="49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</row>
    <row r="443" spans="1:41" ht="13.8" x14ac:dyDescent="0.25">
      <c r="A443" s="46"/>
      <c r="B443" s="114"/>
      <c r="C443" s="48"/>
      <c r="D443" s="115"/>
      <c r="E443" s="26" t="str">
        <f t="shared" si="22"/>
        <v/>
      </c>
      <c r="F443" s="116"/>
      <c r="G443" s="116"/>
      <c r="H443" s="52"/>
      <c r="I443" s="126"/>
      <c r="J443" s="139"/>
      <c r="K443" s="126"/>
      <c r="L443" s="126"/>
      <c r="M443" s="56"/>
      <c r="N443" s="118"/>
      <c r="O443" s="55"/>
      <c r="P443" s="53"/>
      <c r="Q443" s="55"/>
      <c r="R443" s="49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</row>
    <row r="444" spans="1:41" ht="13.8" x14ac:dyDescent="0.25">
      <c r="A444" s="46"/>
      <c r="B444" s="114"/>
      <c r="C444" s="48"/>
      <c r="D444" s="115"/>
      <c r="E444" s="26" t="str">
        <f t="shared" si="22"/>
        <v/>
      </c>
      <c r="F444" s="116"/>
      <c r="G444" s="116"/>
      <c r="H444" s="52"/>
      <c r="I444" s="126"/>
      <c r="J444" s="139"/>
      <c r="K444" s="126"/>
      <c r="L444" s="126"/>
      <c r="M444" s="56"/>
      <c r="N444" s="118"/>
      <c r="O444" s="55"/>
      <c r="P444" s="53"/>
      <c r="Q444" s="55"/>
      <c r="R444" s="49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</row>
    <row r="445" spans="1:41" ht="13.8" x14ac:dyDescent="0.25">
      <c r="A445" s="46"/>
      <c r="B445" s="114"/>
      <c r="C445" s="48"/>
      <c r="D445" s="115"/>
      <c r="E445" s="26" t="str">
        <f t="shared" si="22"/>
        <v/>
      </c>
      <c r="F445" s="116"/>
      <c r="G445" s="116"/>
      <c r="H445" s="52"/>
      <c r="I445" s="126"/>
      <c r="J445" s="139"/>
      <c r="K445" s="126"/>
      <c r="L445" s="126"/>
      <c r="M445" s="56"/>
      <c r="N445" s="118"/>
      <c r="O445" s="55"/>
      <c r="P445" s="53"/>
      <c r="Q445" s="55"/>
      <c r="R445" s="49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</row>
    <row r="446" spans="1:41" ht="13.8" x14ac:dyDescent="0.25">
      <c r="A446" s="46"/>
      <c r="B446" s="114"/>
      <c r="C446" s="48"/>
      <c r="D446" s="115"/>
      <c r="E446" s="26" t="str">
        <f t="shared" si="22"/>
        <v/>
      </c>
      <c r="F446" s="116"/>
      <c r="G446" s="116"/>
      <c r="H446" s="52"/>
      <c r="I446" s="126"/>
      <c r="J446" s="139"/>
      <c r="K446" s="126"/>
      <c r="L446" s="126"/>
      <c r="M446" s="56"/>
      <c r="N446" s="118"/>
      <c r="O446" s="55"/>
      <c r="P446" s="53"/>
      <c r="Q446" s="55"/>
      <c r="R446" s="49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</row>
    <row r="447" spans="1:41" ht="13.8" x14ac:dyDescent="0.25">
      <c r="A447" s="46"/>
      <c r="B447" s="114"/>
      <c r="C447" s="48"/>
      <c r="D447" s="115"/>
      <c r="E447" s="26" t="str">
        <f t="shared" si="22"/>
        <v/>
      </c>
      <c r="F447" s="116"/>
      <c r="G447" s="116"/>
      <c r="H447" s="52"/>
      <c r="I447" s="126"/>
      <c r="J447" s="139"/>
      <c r="K447" s="126"/>
      <c r="L447" s="126"/>
      <c r="M447" s="56"/>
      <c r="N447" s="118"/>
      <c r="O447" s="55"/>
      <c r="P447" s="53"/>
      <c r="Q447" s="55"/>
      <c r="R447" s="49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</row>
    <row r="448" spans="1:41" ht="13.8" x14ac:dyDescent="0.25">
      <c r="A448" s="46"/>
      <c r="B448" s="114"/>
      <c r="C448" s="48"/>
      <c r="D448" s="115"/>
      <c r="E448" s="26" t="str">
        <f t="shared" si="22"/>
        <v/>
      </c>
      <c r="F448" s="116"/>
      <c r="G448" s="116"/>
      <c r="H448" s="52"/>
      <c r="I448" s="126"/>
      <c r="J448" s="139"/>
      <c r="K448" s="126"/>
      <c r="L448" s="126"/>
      <c r="M448" s="56"/>
      <c r="N448" s="118"/>
      <c r="O448" s="55"/>
      <c r="P448" s="53"/>
      <c r="Q448" s="55"/>
      <c r="R448" s="49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</row>
    <row r="449" spans="1:41" ht="13.8" x14ac:dyDescent="0.25">
      <c r="A449" s="46"/>
      <c r="B449" s="114"/>
      <c r="C449" s="48"/>
      <c r="D449" s="115"/>
      <c r="E449" s="26" t="str">
        <f t="shared" si="22"/>
        <v/>
      </c>
      <c r="F449" s="116"/>
      <c r="G449" s="116"/>
      <c r="H449" s="52"/>
      <c r="I449" s="126"/>
      <c r="J449" s="139"/>
      <c r="K449" s="126"/>
      <c r="L449" s="126"/>
      <c r="M449" s="56"/>
      <c r="N449" s="118"/>
      <c r="O449" s="55"/>
      <c r="P449" s="53"/>
      <c r="Q449" s="55"/>
      <c r="R449" s="49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</row>
    <row r="450" spans="1:41" ht="13.8" x14ac:dyDescent="0.25">
      <c r="A450" s="46"/>
      <c r="B450" s="114"/>
      <c r="C450" s="48"/>
      <c r="D450" s="115"/>
      <c r="E450" s="26" t="str">
        <f t="shared" si="22"/>
        <v/>
      </c>
      <c r="F450" s="116"/>
      <c r="G450" s="116"/>
      <c r="H450" s="52"/>
      <c r="I450" s="126"/>
      <c r="J450" s="139"/>
      <c r="K450" s="126"/>
      <c r="L450" s="126"/>
      <c r="M450" s="56"/>
      <c r="N450" s="118"/>
      <c r="O450" s="55"/>
      <c r="P450" s="53"/>
      <c r="Q450" s="55"/>
      <c r="R450" s="49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</row>
    <row r="451" spans="1:41" ht="13.8" x14ac:dyDescent="0.25">
      <c r="A451" s="46"/>
      <c r="B451" s="114"/>
      <c r="C451" s="48"/>
      <c r="D451" s="115"/>
      <c r="E451" s="26" t="str">
        <f t="shared" si="22"/>
        <v/>
      </c>
      <c r="F451" s="116"/>
      <c r="G451" s="116"/>
      <c r="H451" s="52"/>
      <c r="I451" s="126"/>
      <c r="J451" s="139"/>
      <c r="K451" s="126"/>
      <c r="L451" s="126"/>
      <c r="M451" s="56"/>
      <c r="N451" s="118"/>
      <c r="O451" s="55"/>
      <c r="P451" s="53"/>
      <c r="Q451" s="55"/>
      <c r="R451" s="49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</row>
    <row r="452" spans="1:41" ht="13.8" x14ac:dyDescent="0.25">
      <c r="A452" s="46"/>
      <c r="B452" s="114"/>
      <c r="C452" s="48"/>
      <c r="D452" s="115"/>
      <c r="E452" s="26" t="str">
        <f t="shared" si="22"/>
        <v/>
      </c>
      <c r="F452" s="116"/>
      <c r="G452" s="116"/>
      <c r="H452" s="52"/>
      <c r="I452" s="126"/>
      <c r="J452" s="139"/>
      <c r="K452" s="126"/>
      <c r="L452" s="126"/>
      <c r="M452" s="56"/>
      <c r="N452" s="118"/>
      <c r="O452" s="55"/>
      <c r="P452" s="53"/>
      <c r="Q452" s="55"/>
      <c r="R452" s="49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</row>
    <row r="453" spans="1:41" ht="13.8" x14ac:dyDescent="0.25">
      <c r="A453" s="46"/>
      <c r="B453" s="114"/>
      <c r="C453" s="48"/>
      <c r="D453" s="115"/>
      <c r="E453" s="26" t="str">
        <f t="shared" si="22"/>
        <v/>
      </c>
      <c r="F453" s="116"/>
      <c r="G453" s="116"/>
      <c r="H453" s="52"/>
      <c r="I453" s="126"/>
      <c r="J453" s="139"/>
      <c r="K453" s="126"/>
      <c r="L453" s="126"/>
      <c r="M453" s="56"/>
      <c r="N453" s="118"/>
      <c r="O453" s="55"/>
      <c r="P453" s="53"/>
      <c r="Q453" s="55"/>
      <c r="R453" s="49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</row>
    <row r="454" spans="1:41" ht="13.8" x14ac:dyDescent="0.25">
      <c r="A454" s="46"/>
      <c r="B454" s="114"/>
      <c r="C454" s="48"/>
      <c r="D454" s="115"/>
      <c r="E454" s="26" t="str">
        <f t="shared" si="22"/>
        <v/>
      </c>
      <c r="F454" s="116"/>
      <c r="G454" s="116"/>
      <c r="H454" s="52"/>
      <c r="I454" s="126"/>
      <c r="J454" s="139"/>
      <c r="K454" s="126"/>
      <c r="L454" s="126"/>
      <c r="M454" s="56"/>
      <c r="N454" s="118"/>
      <c r="O454" s="55"/>
      <c r="P454" s="53"/>
      <c r="Q454" s="55"/>
      <c r="R454" s="49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</row>
    <row r="455" spans="1:41" ht="13.8" x14ac:dyDescent="0.25">
      <c r="A455" s="46"/>
      <c r="B455" s="114"/>
      <c r="C455" s="48"/>
      <c r="D455" s="115"/>
      <c r="E455" s="26" t="str">
        <f t="shared" si="22"/>
        <v/>
      </c>
      <c r="F455" s="116"/>
      <c r="G455" s="116"/>
      <c r="H455" s="52"/>
      <c r="I455" s="126"/>
      <c r="J455" s="139"/>
      <c r="K455" s="126"/>
      <c r="L455" s="126"/>
      <c r="M455" s="56"/>
      <c r="N455" s="118"/>
      <c r="O455" s="55"/>
      <c r="P455" s="53"/>
      <c r="Q455" s="55"/>
      <c r="R455" s="49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</row>
    <row r="456" spans="1:41" ht="13.8" x14ac:dyDescent="0.25">
      <c r="A456" s="46"/>
      <c r="B456" s="114"/>
      <c r="C456" s="48"/>
      <c r="D456" s="115"/>
      <c r="E456" s="26" t="str">
        <f t="shared" si="22"/>
        <v/>
      </c>
      <c r="F456" s="116"/>
      <c r="G456" s="116"/>
      <c r="H456" s="52"/>
      <c r="I456" s="126"/>
      <c r="J456" s="139"/>
      <c r="K456" s="126"/>
      <c r="L456" s="126"/>
      <c r="M456" s="56"/>
      <c r="N456" s="118"/>
      <c r="O456" s="55"/>
      <c r="P456" s="53"/>
      <c r="Q456" s="55"/>
      <c r="R456" s="49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</row>
    <row r="457" spans="1:41" ht="13.8" x14ac:dyDescent="0.25">
      <c r="A457" s="46"/>
      <c r="B457" s="114"/>
      <c r="C457" s="48"/>
      <c r="D457" s="115"/>
      <c r="E457" s="26" t="str">
        <f t="shared" si="22"/>
        <v/>
      </c>
      <c r="F457" s="116"/>
      <c r="G457" s="116"/>
      <c r="H457" s="52"/>
      <c r="I457" s="126"/>
      <c r="J457" s="139"/>
      <c r="K457" s="126"/>
      <c r="L457" s="126"/>
      <c r="M457" s="56"/>
      <c r="N457" s="118"/>
      <c r="O457" s="55"/>
      <c r="P457" s="53"/>
      <c r="Q457" s="55"/>
      <c r="R457" s="49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</row>
    <row r="458" spans="1:41" ht="13.8" x14ac:dyDescent="0.25">
      <c r="A458" s="46"/>
      <c r="B458" s="114"/>
      <c r="C458" s="48"/>
      <c r="D458" s="115"/>
      <c r="E458" s="26" t="str">
        <f t="shared" si="22"/>
        <v/>
      </c>
      <c r="F458" s="116"/>
      <c r="G458" s="116"/>
      <c r="H458" s="52"/>
      <c r="I458" s="126"/>
      <c r="J458" s="139"/>
      <c r="K458" s="126"/>
      <c r="L458" s="126"/>
      <c r="M458" s="56"/>
      <c r="N458" s="118"/>
      <c r="O458" s="55"/>
      <c r="P458" s="53"/>
      <c r="Q458" s="55"/>
      <c r="R458" s="49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</row>
    <row r="459" spans="1:41" ht="13.8" x14ac:dyDescent="0.25">
      <c r="A459" s="46"/>
      <c r="B459" s="114"/>
      <c r="C459" s="48"/>
      <c r="D459" s="115"/>
      <c r="E459" s="26" t="str">
        <f t="shared" si="22"/>
        <v/>
      </c>
      <c r="F459" s="116"/>
      <c r="G459" s="116"/>
      <c r="H459" s="52"/>
      <c r="I459" s="126"/>
      <c r="J459" s="139"/>
      <c r="K459" s="126"/>
      <c r="L459" s="126"/>
      <c r="M459" s="56"/>
      <c r="N459" s="118"/>
      <c r="O459" s="55"/>
      <c r="P459" s="53"/>
      <c r="Q459" s="55"/>
      <c r="R459" s="49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</row>
    <row r="460" spans="1:41" ht="13.8" x14ac:dyDescent="0.25">
      <c r="A460" s="46"/>
      <c r="B460" s="114"/>
      <c r="C460" s="48"/>
      <c r="D460" s="115"/>
      <c r="E460" s="26" t="str">
        <f t="shared" si="22"/>
        <v/>
      </c>
      <c r="F460" s="116"/>
      <c r="G460" s="116"/>
      <c r="H460" s="52"/>
      <c r="I460" s="126"/>
      <c r="J460" s="139"/>
      <c r="K460" s="126"/>
      <c r="L460" s="126"/>
      <c r="M460" s="56"/>
      <c r="N460" s="118"/>
      <c r="O460" s="55"/>
      <c r="P460" s="53"/>
      <c r="Q460" s="55"/>
      <c r="R460" s="49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</row>
    <row r="461" spans="1:41" ht="13.8" x14ac:dyDescent="0.25">
      <c r="A461" s="46"/>
      <c r="B461" s="114"/>
      <c r="C461" s="48"/>
      <c r="D461" s="115"/>
      <c r="E461" s="26" t="str">
        <f t="shared" si="22"/>
        <v/>
      </c>
      <c r="F461" s="116"/>
      <c r="G461" s="116"/>
      <c r="H461" s="52"/>
      <c r="I461" s="126"/>
      <c r="J461" s="139"/>
      <c r="K461" s="126"/>
      <c r="L461" s="126"/>
      <c r="M461" s="56"/>
      <c r="N461" s="118"/>
      <c r="O461" s="55"/>
      <c r="P461" s="53"/>
      <c r="Q461" s="55"/>
      <c r="R461" s="49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</row>
    <row r="462" spans="1:41" ht="13.8" x14ac:dyDescent="0.25">
      <c r="A462" s="46"/>
      <c r="B462" s="114"/>
      <c r="C462" s="48"/>
      <c r="D462" s="115"/>
      <c r="E462" s="26" t="str">
        <f t="shared" si="22"/>
        <v/>
      </c>
      <c r="F462" s="116"/>
      <c r="G462" s="116"/>
      <c r="H462" s="52"/>
      <c r="I462" s="126"/>
      <c r="J462" s="139"/>
      <c r="K462" s="126"/>
      <c r="L462" s="126"/>
      <c r="M462" s="56"/>
      <c r="N462" s="118"/>
      <c r="O462" s="55"/>
      <c r="P462" s="53"/>
      <c r="Q462" s="55"/>
      <c r="R462" s="49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</row>
    <row r="463" spans="1:41" ht="13.8" x14ac:dyDescent="0.25">
      <c r="A463" s="46"/>
      <c r="B463" s="114"/>
      <c r="C463" s="48"/>
      <c r="D463" s="115"/>
      <c r="E463" s="26" t="str">
        <f t="shared" si="22"/>
        <v/>
      </c>
      <c r="F463" s="116"/>
      <c r="G463" s="116"/>
      <c r="H463" s="52"/>
      <c r="I463" s="126"/>
      <c r="J463" s="139"/>
      <c r="K463" s="126"/>
      <c r="L463" s="126"/>
      <c r="M463" s="56"/>
      <c r="N463" s="118"/>
      <c r="O463" s="55"/>
      <c r="P463" s="53"/>
      <c r="Q463" s="55"/>
      <c r="R463" s="49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</row>
    <row r="464" spans="1:41" ht="13.8" x14ac:dyDescent="0.25">
      <c r="A464" s="46"/>
      <c r="B464" s="114"/>
      <c r="C464" s="48"/>
      <c r="D464" s="115"/>
      <c r="E464" s="26" t="str">
        <f t="shared" si="22"/>
        <v/>
      </c>
      <c r="F464" s="116"/>
      <c r="G464" s="116"/>
      <c r="H464" s="52"/>
      <c r="I464" s="126"/>
      <c r="J464" s="139"/>
      <c r="K464" s="126"/>
      <c r="L464" s="126"/>
      <c r="M464" s="56"/>
      <c r="N464" s="118"/>
      <c r="O464" s="55"/>
      <c r="P464" s="53"/>
      <c r="Q464" s="55"/>
      <c r="R464" s="49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</row>
    <row r="465" spans="1:41" ht="13.8" x14ac:dyDescent="0.25">
      <c r="A465" s="46"/>
      <c r="B465" s="114"/>
      <c r="C465" s="48"/>
      <c r="D465" s="115"/>
      <c r="E465" s="26" t="str">
        <f t="shared" si="22"/>
        <v/>
      </c>
      <c r="F465" s="116"/>
      <c r="G465" s="116"/>
      <c r="H465" s="52"/>
      <c r="I465" s="126"/>
      <c r="J465" s="139"/>
      <c r="K465" s="126"/>
      <c r="L465" s="126"/>
      <c r="M465" s="56"/>
      <c r="N465" s="118"/>
      <c r="O465" s="55"/>
      <c r="P465" s="53"/>
      <c r="Q465" s="55"/>
      <c r="R465" s="49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</row>
    <row r="466" spans="1:41" ht="13.8" x14ac:dyDescent="0.25">
      <c r="A466" s="46"/>
      <c r="B466" s="114"/>
      <c r="C466" s="48"/>
      <c r="D466" s="115"/>
      <c r="E466" s="26" t="str">
        <f t="shared" si="22"/>
        <v/>
      </c>
      <c r="F466" s="116"/>
      <c r="G466" s="116"/>
      <c r="H466" s="52"/>
      <c r="I466" s="126"/>
      <c r="J466" s="139"/>
      <c r="K466" s="126"/>
      <c r="L466" s="126"/>
      <c r="M466" s="56"/>
      <c r="N466" s="118"/>
      <c r="O466" s="55"/>
      <c r="P466" s="53"/>
      <c r="Q466" s="55"/>
      <c r="R466" s="49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</row>
    <row r="467" spans="1:41" ht="13.8" x14ac:dyDescent="0.25">
      <c r="A467" s="46"/>
      <c r="B467" s="114"/>
      <c r="C467" s="48"/>
      <c r="D467" s="115"/>
      <c r="E467" s="26" t="str">
        <f t="shared" si="22"/>
        <v/>
      </c>
      <c r="F467" s="116"/>
      <c r="G467" s="116"/>
      <c r="H467" s="52"/>
      <c r="I467" s="126"/>
      <c r="J467" s="139"/>
      <c r="K467" s="126"/>
      <c r="L467" s="126"/>
      <c r="M467" s="56"/>
      <c r="N467" s="118"/>
      <c r="O467" s="55"/>
      <c r="P467" s="53"/>
      <c r="Q467" s="55"/>
      <c r="R467" s="49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</row>
    <row r="468" spans="1:41" ht="13.8" x14ac:dyDescent="0.25">
      <c r="A468" s="46"/>
      <c r="B468" s="114"/>
      <c r="C468" s="48"/>
      <c r="D468" s="115"/>
      <c r="E468" s="26" t="str">
        <f t="shared" si="22"/>
        <v/>
      </c>
      <c r="F468" s="116"/>
      <c r="G468" s="116"/>
      <c r="H468" s="52"/>
      <c r="I468" s="126"/>
      <c r="J468" s="139"/>
      <c r="K468" s="126"/>
      <c r="L468" s="126"/>
      <c r="M468" s="56"/>
      <c r="N468" s="118"/>
      <c r="O468" s="55"/>
      <c r="P468" s="53"/>
      <c r="Q468" s="55"/>
      <c r="R468" s="49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</row>
    <row r="469" spans="1:41" ht="13.8" x14ac:dyDescent="0.25">
      <c r="A469" s="46"/>
      <c r="B469" s="114"/>
      <c r="C469" s="48"/>
      <c r="D469" s="115"/>
      <c r="E469" s="26" t="str">
        <f t="shared" si="22"/>
        <v/>
      </c>
      <c r="F469" s="116"/>
      <c r="G469" s="116"/>
      <c r="H469" s="52"/>
      <c r="I469" s="126"/>
      <c r="J469" s="139"/>
      <c r="K469" s="126"/>
      <c r="L469" s="126"/>
      <c r="M469" s="56"/>
      <c r="N469" s="118"/>
      <c r="O469" s="55"/>
      <c r="P469" s="53"/>
      <c r="Q469" s="55"/>
      <c r="R469" s="49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</row>
    <row r="470" spans="1:41" ht="13.8" x14ac:dyDescent="0.25">
      <c r="A470" s="46"/>
      <c r="B470" s="114"/>
      <c r="C470" s="48"/>
      <c r="D470" s="115"/>
      <c r="E470" s="26" t="str">
        <f t="shared" si="22"/>
        <v/>
      </c>
      <c r="F470" s="116"/>
      <c r="G470" s="116"/>
      <c r="H470" s="52"/>
      <c r="I470" s="126"/>
      <c r="J470" s="139"/>
      <c r="K470" s="126"/>
      <c r="L470" s="126"/>
      <c r="M470" s="56"/>
      <c r="N470" s="118"/>
      <c r="O470" s="55"/>
      <c r="P470" s="53"/>
      <c r="Q470" s="55"/>
      <c r="R470" s="49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</row>
    <row r="471" spans="1:41" ht="13.8" x14ac:dyDescent="0.25">
      <c r="A471" s="46"/>
      <c r="B471" s="114"/>
      <c r="C471" s="48"/>
      <c r="D471" s="115"/>
      <c r="E471" s="26" t="str">
        <f t="shared" si="22"/>
        <v/>
      </c>
      <c r="F471" s="116"/>
      <c r="G471" s="116"/>
      <c r="H471" s="52"/>
      <c r="I471" s="126"/>
      <c r="J471" s="139"/>
      <c r="K471" s="126"/>
      <c r="L471" s="126"/>
      <c r="M471" s="56"/>
      <c r="N471" s="118"/>
      <c r="O471" s="55"/>
      <c r="P471" s="53"/>
      <c r="Q471" s="55"/>
      <c r="R471" s="49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</row>
    <row r="472" spans="1:41" ht="13.8" x14ac:dyDescent="0.25">
      <c r="A472" s="46"/>
      <c r="B472" s="114"/>
      <c r="C472" s="48"/>
      <c r="D472" s="115"/>
      <c r="E472" s="26" t="str">
        <f t="shared" si="22"/>
        <v/>
      </c>
      <c r="F472" s="116"/>
      <c r="G472" s="116"/>
      <c r="H472" s="52"/>
      <c r="I472" s="126"/>
      <c r="J472" s="139"/>
      <c r="K472" s="126"/>
      <c r="L472" s="126"/>
      <c r="M472" s="56"/>
      <c r="N472" s="118"/>
      <c r="O472" s="55"/>
      <c r="P472" s="53"/>
      <c r="Q472" s="55"/>
      <c r="R472" s="49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</row>
    <row r="473" spans="1:41" ht="13.8" x14ac:dyDescent="0.25">
      <c r="A473" s="46"/>
      <c r="B473" s="114"/>
      <c r="C473" s="48"/>
      <c r="D473" s="115"/>
      <c r="E473" s="26" t="str">
        <f t="shared" si="22"/>
        <v/>
      </c>
      <c r="F473" s="116"/>
      <c r="G473" s="116"/>
      <c r="H473" s="52"/>
      <c r="I473" s="126"/>
      <c r="J473" s="139"/>
      <c r="K473" s="126"/>
      <c r="L473" s="126"/>
      <c r="M473" s="56"/>
      <c r="N473" s="118"/>
      <c r="O473" s="55"/>
      <c r="P473" s="53"/>
      <c r="Q473" s="55"/>
      <c r="R473" s="49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</row>
    <row r="474" spans="1:41" ht="13.8" x14ac:dyDescent="0.25">
      <c r="A474" s="46"/>
      <c r="B474" s="114"/>
      <c r="C474" s="48"/>
      <c r="D474" s="115"/>
      <c r="E474" s="26" t="str">
        <f t="shared" si="22"/>
        <v/>
      </c>
      <c r="F474" s="116"/>
      <c r="G474" s="116"/>
      <c r="H474" s="52"/>
      <c r="I474" s="126"/>
      <c r="J474" s="139"/>
      <c r="K474" s="126"/>
      <c r="L474" s="126"/>
      <c r="M474" s="56"/>
      <c r="N474" s="118"/>
      <c r="O474" s="55"/>
      <c r="P474" s="53"/>
      <c r="Q474" s="55"/>
      <c r="R474" s="49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</row>
    <row r="475" spans="1:41" ht="13.8" x14ac:dyDescent="0.25">
      <c r="A475" s="46"/>
      <c r="B475" s="114"/>
      <c r="C475" s="48"/>
      <c r="D475" s="115"/>
      <c r="E475" s="26" t="str">
        <f t="shared" si="22"/>
        <v/>
      </c>
      <c r="F475" s="116"/>
      <c r="G475" s="116"/>
      <c r="H475" s="52"/>
      <c r="I475" s="126"/>
      <c r="J475" s="139"/>
      <c r="K475" s="126"/>
      <c r="L475" s="126"/>
      <c r="M475" s="56"/>
      <c r="N475" s="118"/>
      <c r="O475" s="55"/>
      <c r="P475" s="53"/>
      <c r="Q475" s="55"/>
      <c r="R475" s="49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</row>
    <row r="476" spans="1:41" ht="13.8" x14ac:dyDescent="0.25">
      <c r="A476" s="46"/>
      <c r="B476" s="114"/>
      <c r="C476" s="48"/>
      <c r="D476" s="115"/>
      <c r="E476" s="26" t="str">
        <f t="shared" si="22"/>
        <v/>
      </c>
      <c r="F476" s="116"/>
      <c r="G476" s="116"/>
      <c r="H476" s="52"/>
      <c r="I476" s="126"/>
      <c r="J476" s="139"/>
      <c r="K476" s="126"/>
      <c r="L476" s="126"/>
      <c r="M476" s="56"/>
      <c r="N476" s="118"/>
      <c r="O476" s="55"/>
      <c r="P476" s="53"/>
      <c r="Q476" s="55"/>
      <c r="R476" s="49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</row>
    <row r="477" spans="1:41" ht="13.8" x14ac:dyDescent="0.25">
      <c r="A477" s="46"/>
      <c r="B477" s="114"/>
      <c r="C477" s="48"/>
      <c r="D477" s="115"/>
      <c r="E477" s="26" t="str">
        <f t="shared" si="22"/>
        <v/>
      </c>
      <c r="F477" s="116"/>
      <c r="G477" s="116"/>
      <c r="H477" s="52"/>
      <c r="I477" s="126"/>
      <c r="J477" s="139"/>
      <c r="K477" s="126"/>
      <c r="L477" s="126"/>
      <c r="M477" s="56"/>
      <c r="N477" s="118"/>
      <c r="O477" s="55"/>
      <c r="P477" s="53"/>
      <c r="Q477" s="55"/>
      <c r="R477" s="49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</row>
    <row r="478" spans="1:41" ht="13.8" x14ac:dyDescent="0.25">
      <c r="A478" s="46"/>
      <c r="B478" s="114"/>
      <c r="C478" s="48"/>
      <c r="D478" s="115"/>
      <c r="E478" s="26" t="str">
        <f t="shared" si="22"/>
        <v/>
      </c>
      <c r="F478" s="116"/>
      <c r="G478" s="116"/>
      <c r="H478" s="52"/>
      <c r="I478" s="126"/>
      <c r="J478" s="139"/>
      <c r="K478" s="126"/>
      <c r="L478" s="126"/>
      <c r="M478" s="56"/>
      <c r="N478" s="118"/>
      <c r="O478" s="55"/>
      <c r="P478" s="53"/>
      <c r="Q478" s="55"/>
      <c r="R478" s="49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</row>
    <row r="479" spans="1:41" ht="13.8" x14ac:dyDescent="0.25">
      <c r="A479" s="46"/>
      <c r="B479" s="114"/>
      <c r="C479" s="48"/>
      <c r="D479" s="115"/>
      <c r="E479" s="26" t="str">
        <f t="shared" si="22"/>
        <v/>
      </c>
      <c r="F479" s="116"/>
      <c r="G479" s="116"/>
      <c r="H479" s="52"/>
      <c r="I479" s="126"/>
      <c r="J479" s="139"/>
      <c r="K479" s="126"/>
      <c r="L479" s="126"/>
      <c r="M479" s="56"/>
      <c r="N479" s="118"/>
      <c r="O479" s="55"/>
      <c r="P479" s="53"/>
      <c r="Q479" s="55"/>
      <c r="R479" s="49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</row>
    <row r="480" spans="1:41" ht="13.8" x14ac:dyDescent="0.25">
      <c r="A480" s="46"/>
      <c r="B480" s="114"/>
      <c r="C480" s="48"/>
      <c r="D480" s="115"/>
      <c r="E480" s="26" t="str">
        <f t="shared" si="22"/>
        <v/>
      </c>
      <c r="F480" s="116"/>
      <c r="G480" s="116"/>
      <c r="H480" s="52"/>
      <c r="I480" s="126"/>
      <c r="J480" s="139"/>
      <c r="K480" s="126"/>
      <c r="L480" s="126"/>
      <c r="M480" s="56"/>
      <c r="N480" s="118"/>
      <c r="O480" s="55"/>
      <c r="P480" s="53"/>
      <c r="Q480" s="55"/>
      <c r="R480" s="49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</row>
    <row r="481" spans="1:41" ht="13.8" x14ac:dyDescent="0.25">
      <c r="A481" s="46"/>
      <c r="B481" s="114"/>
      <c r="C481" s="48"/>
      <c r="D481" s="115"/>
      <c r="E481" s="26" t="str">
        <f t="shared" si="22"/>
        <v/>
      </c>
      <c r="F481" s="116"/>
      <c r="G481" s="116"/>
      <c r="H481" s="52"/>
      <c r="I481" s="126"/>
      <c r="J481" s="139"/>
      <c r="K481" s="126"/>
      <c r="L481" s="126"/>
      <c r="M481" s="56"/>
      <c r="N481" s="118"/>
      <c r="O481" s="55"/>
      <c r="P481" s="53"/>
      <c r="Q481" s="55"/>
      <c r="R481" s="49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</row>
    <row r="482" spans="1:41" ht="13.8" x14ac:dyDescent="0.25">
      <c r="A482" s="46"/>
      <c r="B482" s="114"/>
      <c r="C482" s="48"/>
      <c r="D482" s="115"/>
      <c r="E482" s="26" t="str">
        <f t="shared" si="22"/>
        <v/>
      </c>
      <c r="F482" s="116"/>
      <c r="G482" s="116"/>
      <c r="H482" s="52"/>
      <c r="I482" s="126"/>
      <c r="J482" s="139"/>
      <c r="K482" s="126"/>
      <c r="L482" s="126"/>
      <c r="M482" s="56"/>
      <c r="N482" s="118"/>
      <c r="O482" s="55"/>
      <c r="P482" s="53"/>
      <c r="Q482" s="55"/>
      <c r="R482" s="49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</row>
    <row r="483" spans="1:41" ht="13.8" x14ac:dyDescent="0.25">
      <c r="A483" s="46"/>
      <c r="B483" s="114"/>
      <c r="C483" s="48"/>
      <c r="D483" s="115"/>
      <c r="E483" s="26" t="str">
        <f t="shared" si="22"/>
        <v/>
      </c>
      <c r="F483" s="116"/>
      <c r="G483" s="116"/>
      <c r="H483" s="52"/>
      <c r="I483" s="126"/>
      <c r="J483" s="139"/>
      <c r="K483" s="126"/>
      <c r="L483" s="126"/>
      <c r="M483" s="56"/>
      <c r="N483" s="118"/>
      <c r="O483" s="55"/>
      <c r="P483" s="53"/>
      <c r="Q483" s="55"/>
      <c r="R483" s="49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</row>
    <row r="484" spans="1:41" ht="13.8" x14ac:dyDescent="0.25">
      <c r="A484" s="46"/>
      <c r="B484" s="114"/>
      <c r="C484" s="48"/>
      <c r="D484" s="115"/>
      <c r="E484" s="26" t="str">
        <f t="shared" si="22"/>
        <v/>
      </c>
      <c r="F484" s="116"/>
      <c r="G484" s="116"/>
      <c r="H484" s="52"/>
      <c r="I484" s="126"/>
      <c r="J484" s="139"/>
      <c r="K484" s="126"/>
      <c r="L484" s="126"/>
      <c r="M484" s="56"/>
      <c r="N484" s="118"/>
      <c r="O484" s="55"/>
      <c r="P484" s="53"/>
      <c r="Q484" s="55"/>
      <c r="R484" s="49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</row>
    <row r="485" spans="1:41" ht="13.8" x14ac:dyDescent="0.25">
      <c r="A485" s="46"/>
      <c r="B485" s="114"/>
      <c r="C485" s="48"/>
      <c r="D485" s="115"/>
      <c r="E485" s="26" t="str">
        <f t="shared" si="22"/>
        <v/>
      </c>
      <c r="F485" s="116"/>
      <c r="G485" s="116"/>
      <c r="H485" s="52"/>
      <c r="I485" s="126"/>
      <c r="J485" s="139"/>
      <c r="K485" s="126"/>
      <c r="L485" s="126"/>
      <c r="M485" s="56"/>
      <c r="N485" s="118"/>
      <c r="O485" s="55"/>
      <c r="P485" s="53"/>
      <c r="Q485" s="55"/>
      <c r="R485" s="49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</row>
    <row r="486" spans="1:41" ht="13.8" x14ac:dyDescent="0.25">
      <c r="A486" s="46"/>
      <c r="B486" s="114"/>
      <c r="C486" s="48"/>
      <c r="D486" s="115"/>
      <c r="E486" s="26" t="str">
        <f t="shared" si="22"/>
        <v/>
      </c>
      <c r="F486" s="116"/>
      <c r="G486" s="116"/>
      <c r="H486" s="52"/>
      <c r="I486" s="126"/>
      <c r="J486" s="139"/>
      <c r="K486" s="126"/>
      <c r="L486" s="126"/>
      <c r="M486" s="56"/>
      <c r="N486" s="118"/>
      <c r="O486" s="55"/>
      <c r="P486" s="53"/>
      <c r="Q486" s="55"/>
      <c r="R486" s="49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</row>
    <row r="487" spans="1:41" ht="13.8" x14ac:dyDescent="0.25">
      <c r="A487" s="46"/>
      <c r="B487" s="114"/>
      <c r="C487" s="48"/>
      <c r="D487" s="115"/>
      <c r="E487" s="26" t="str">
        <f t="shared" si="22"/>
        <v/>
      </c>
      <c r="F487" s="116"/>
      <c r="G487" s="116"/>
      <c r="H487" s="52"/>
      <c r="I487" s="126"/>
      <c r="J487" s="139"/>
      <c r="K487" s="126"/>
      <c r="L487" s="126"/>
      <c r="M487" s="56"/>
      <c r="N487" s="118"/>
      <c r="O487" s="55"/>
      <c r="P487" s="53"/>
      <c r="Q487" s="55"/>
      <c r="R487" s="49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</row>
    <row r="488" spans="1:41" ht="13.8" x14ac:dyDescent="0.25">
      <c r="A488" s="46"/>
      <c r="B488" s="114"/>
      <c r="C488" s="48"/>
      <c r="D488" s="115"/>
      <c r="E488" s="26" t="str">
        <f t="shared" si="22"/>
        <v/>
      </c>
      <c r="F488" s="116"/>
      <c r="G488" s="116"/>
      <c r="H488" s="52"/>
      <c r="I488" s="126"/>
      <c r="J488" s="139"/>
      <c r="K488" s="126"/>
      <c r="L488" s="126"/>
      <c r="M488" s="56"/>
      <c r="N488" s="118"/>
      <c r="O488" s="55"/>
      <c r="P488" s="53"/>
      <c r="Q488" s="55"/>
      <c r="R488" s="49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</row>
    <row r="489" spans="1:41" ht="13.8" x14ac:dyDescent="0.25">
      <c r="A489" s="46"/>
      <c r="B489" s="114"/>
      <c r="C489" s="48"/>
      <c r="D489" s="115"/>
      <c r="E489" s="26" t="str">
        <f t="shared" si="22"/>
        <v/>
      </c>
      <c r="F489" s="116"/>
      <c r="G489" s="116"/>
      <c r="H489" s="52"/>
      <c r="I489" s="126"/>
      <c r="J489" s="139"/>
      <c r="K489" s="126"/>
      <c r="L489" s="126"/>
      <c r="M489" s="56"/>
      <c r="N489" s="118"/>
      <c r="O489" s="55"/>
      <c r="P489" s="53"/>
      <c r="Q489" s="55"/>
      <c r="R489" s="49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</row>
    <row r="490" spans="1:41" ht="13.8" x14ac:dyDescent="0.25">
      <c r="A490" s="46"/>
      <c r="B490" s="114"/>
      <c r="C490" s="48"/>
      <c r="D490" s="115"/>
      <c r="E490" s="26" t="str">
        <f t="shared" si="22"/>
        <v/>
      </c>
      <c r="F490" s="116"/>
      <c r="G490" s="116"/>
      <c r="H490" s="52"/>
      <c r="I490" s="126"/>
      <c r="J490" s="139"/>
      <c r="K490" s="126"/>
      <c r="L490" s="126"/>
      <c r="M490" s="56"/>
      <c r="N490" s="118"/>
      <c r="O490" s="55"/>
      <c r="P490" s="53"/>
      <c r="Q490" s="55"/>
      <c r="R490" s="49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</row>
    <row r="491" spans="1:41" ht="13.8" x14ac:dyDescent="0.25">
      <c r="A491" s="46"/>
      <c r="B491" s="114"/>
      <c r="C491" s="48"/>
      <c r="D491" s="115"/>
      <c r="E491" s="26" t="str">
        <f t="shared" si="22"/>
        <v/>
      </c>
      <c r="F491" s="116"/>
      <c r="G491" s="116"/>
      <c r="H491" s="52"/>
      <c r="I491" s="126"/>
      <c r="J491" s="139"/>
      <c r="K491" s="126"/>
      <c r="L491" s="126"/>
      <c r="M491" s="56"/>
      <c r="N491" s="118"/>
      <c r="O491" s="55"/>
      <c r="P491" s="53"/>
      <c r="Q491" s="55"/>
      <c r="R491" s="49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</row>
    <row r="492" spans="1:41" ht="13.8" x14ac:dyDescent="0.25">
      <c r="A492" s="46"/>
      <c r="B492" s="114"/>
      <c r="C492" s="48"/>
      <c r="D492" s="115"/>
      <c r="E492" s="26" t="str">
        <f t="shared" si="22"/>
        <v/>
      </c>
      <c r="F492" s="116"/>
      <c r="G492" s="116"/>
      <c r="H492" s="52"/>
      <c r="I492" s="126"/>
      <c r="J492" s="139"/>
      <c r="K492" s="126"/>
      <c r="L492" s="126"/>
      <c r="M492" s="56"/>
      <c r="N492" s="118"/>
      <c r="O492" s="55"/>
      <c r="P492" s="53"/>
      <c r="Q492" s="55"/>
      <c r="R492" s="49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</row>
    <row r="493" spans="1:41" ht="13.8" x14ac:dyDescent="0.25">
      <c r="A493" s="46"/>
      <c r="B493" s="114"/>
      <c r="C493" s="48"/>
      <c r="D493" s="115"/>
      <c r="E493" s="26" t="str">
        <f t="shared" si="22"/>
        <v/>
      </c>
      <c r="F493" s="116"/>
      <c r="G493" s="116"/>
      <c r="H493" s="52"/>
      <c r="I493" s="126"/>
      <c r="J493" s="139"/>
      <c r="K493" s="126"/>
      <c r="L493" s="126"/>
      <c r="M493" s="56"/>
      <c r="N493" s="118"/>
      <c r="O493" s="55"/>
      <c r="P493" s="53"/>
      <c r="Q493" s="55"/>
      <c r="R493" s="49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</row>
    <row r="494" spans="1:41" ht="13.8" x14ac:dyDescent="0.25">
      <c r="A494" s="46"/>
      <c r="B494" s="114"/>
      <c r="C494" s="48"/>
      <c r="D494" s="115"/>
      <c r="E494" s="26" t="str">
        <f t="shared" si="22"/>
        <v/>
      </c>
      <c r="F494" s="116"/>
      <c r="G494" s="116"/>
      <c r="H494" s="52"/>
      <c r="I494" s="126"/>
      <c r="J494" s="139"/>
      <c r="K494" s="126"/>
      <c r="L494" s="126"/>
      <c r="M494" s="56"/>
      <c r="N494" s="118"/>
      <c r="O494" s="55"/>
      <c r="P494" s="53"/>
      <c r="Q494" s="55"/>
      <c r="R494" s="49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</row>
    <row r="495" spans="1:41" ht="13.8" x14ac:dyDescent="0.25">
      <c r="A495" s="46"/>
      <c r="B495" s="114"/>
      <c r="C495" s="48"/>
      <c r="D495" s="115"/>
      <c r="E495" s="26" t="str">
        <f t="shared" si="22"/>
        <v/>
      </c>
      <c r="F495" s="116"/>
      <c r="G495" s="116"/>
      <c r="H495" s="52"/>
      <c r="I495" s="126"/>
      <c r="J495" s="139"/>
      <c r="K495" s="126"/>
      <c r="L495" s="126"/>
      <c r="M495" s="56"/>
      <c r="N495" s="118"/>
      <c r="O495" s="55"/>
      <c r="P495" s="53"/>
      <c r="Q495" s="55"/>
      <c r="R495" s="49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</row>
    <row r="496" spans="1:41" ht="13.8" x14ac:dyDescent="0.25">
      <c r="A496" s="46"/>
      <c r="B496" s="114"/>
      <c r="C496" s="48"/>
      <c r="D496" s="115"/>
      <c r="E496" s="26" t="str">
        <f t="shared" si="22"/>
        <v/>
      </c>
      <c r="F496" s="116"/>
      <c r="G496" s="116"/>
      <c r="H496" s="52"/>
      <c r="I496" s="126"/>
      <c r="J496" s="139"/>
      <c r="K496" s="126"/>
      <c r="L496" s="126"/>
      <c r="M496" s="56"/>
      <c r="N496" s="118"/>
      <c r="O496" s="55"/>
      <c r="P496" s="53"/>
      <c r="Q496" s="55"/>
      <c r="R496" s="49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</row>
    <row r="497" spans="1:41" ht="13.8" x14ac:dyDescent="0.25">
      <c r="A497" s="46"/>
      <c r="B497" s="114"/>
      <c r="C497" s="48"/>
      <c r="D497" s="115"/>
      <c r="E497" s="26" t="str">
        <f t="shared" si="22"/>
        <v/>
      </c>
      <c r="F497" s="116"/>
      <c r="G497" s="116"/>
      <c r="H497" s="52"/>
      <c r="I497" s="126"/>
      <c r="J497" s="139"/>
      <c r="K497" s="126"/>
      <c r="L497" s="126"/>
      <c r="M497" s="56"/>
      <c r="N497" s="118"/>
      <c r="O497" s="55"/>
      <c r="P497" s="53"/>
      <c r="Q497" s="55"/>
      <c r="R497" s="49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</row>
    <row r="498" spans="1:41" ht="13.8" x14ac:dyDescent="0.25">
      <c r="A498" s="46"/>
      <c r="B498" s="114"/>
      <c r="C498" s="48"/>
      <c r="D498" s="115"/>
      <c r="E498" s="26" t="str">
        <f t="shared" si="22"/>
        <v/>
      </c>
      <c r="F498" s="116"/>
      <c r="G498" s="116"/>
      <c r="H498" s="52"/>
      <c r="I498" s="126"/>
      <c r="J498" s="139"/>
      <c r="K498" s="126"/>
      <c r="L498" s="126"/>
      <c r="M498" s="56"/>
      <c r="N498" s="118"/>
      <c r="O498" s="55"/>
      <c r="P498" s="53"/>
      <c r="Q498" s="55"/>
      <c r="R498" s="49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</row>
    <row r="499" spans="1:41" ht="13.8" x14ac:dyDescent="0.25">
      <c r="A499" s="46"/>
      <c r="B499" s="114"/>
      <c r="C499" s="48"/>
      <c r="D499" s="115"/>
      <c r="E499" s="26" t="str">
        <f t="shared" si="22"/>
        <v/>
      </c>
      <c r="F499" s="116"/>
      <c r="G499" s="116"/>
      <c r="H499" s="52"/>
      <c r="I499" s="126"/>
      <c r="J499" s="139"/>
      <c r="K499" s="126"/>
      <c r="L499" s="126"/>
      <c r="M499" s="56"/>
      <c r="N499" s="118"/>
      <c r="O499" s="55"/>
      <c r="P499" s="53"/>
      <c r="Q499" s="55"/>
      <c r="R499" s="49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</row>
    <row r="500" spans="1:41" ht="13.8" x14ac:dyDescent="0.25">
      <c r="A500" s="46"/>
      <c r="B500" s="114"/>
      <c r="C500" s="48"/>
      <c r="D500" s="115"/>
      <c r="E500" s="26" t="str">
        <f t="shared" si="22"/>
        <v/>
      </c>
      <c r="F500" s="116"/>
      <c r="G500" s="116"/>
      <c r="H500" s="52"/>
      <c r="I500" s="126"/>
      <c r="J500" s="139"/>
      <c r="K500" s="126"/>
      <c r="L500" s="126"/>
      <c r="M500" s="56"/>
      <c r="N500" s="118"/>
      <c r="O500" s="55"/>
      <c r="P500" s="53"/>
      <c r="Q500" s="55"/>
      <c r="R500" s="49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</row>
    <row r="501" spans="1:41" ht="13.8" x14ac:dyDescent="0.25">
      <c r="A501" s="46"/>
      <c r="B501" s="114"/>
      <c r="C501" s="48"/>
      <c r="D501" s="115"/>
      <c r="E501" s="26" t="str">
        <f t="shared" si="22"/>
        <v/>
      </c>
      <c r="F501" s="116"/>
      <c r="G501" s="116"/>
      <c r="H501" s="52"/>
      <c r="I501" s="126"/>
      <c r="J501" s="139"/>
      <c r="K501" s="126"/>
      <c r="L501" s="126"/>
      <c r="M501" s="56"/>
      <c r="N501" s="118"/>
      <c r="O501" s="55"/>
      <c r="P501" s="53"/>
      <c r="Q501" s="55"/>
      <c r="R501" s="49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</row>
    <row r="502" spans="1:41" ht="13.8" x14ac:dyDescent="0.25">
      <c r="A502" s="46"/>
      <c r="B502" s="114"/>
      <c r="C502" s="48"/>
      <c r="D502" s="115"/>
      <c r="E502" s="26" t="str">
        <f t="shared" si="22"/>
        <v/>
      </c>
      <c r="F502" s="116"/>
      <c r="G502" s="116"/>
      <c r="H502" s="52"/>
      <c r="I502" s="126"/>
      <c r="J502" s="139"/>
      <c r="K502" s="126"/>
      <c r="L502" s="126"/>
      <c r="M502" s="56"/>
      <c r="N502" s="118"/>
      <c r="O502" s="55"/>
      <c r="P502" s="53"/>
      <c r="Q502" s="55"/>
      <c r="R502" s="49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</row>
    <row r="503" spans="1:41" ht="13.8" x14ac:dyDescent="0.25">
      <c r="A503" s="46"/>
      <c r="B503" s="114"/>
      <c r="C503" s="48"/>
      <c r="D503" s="115"/>
      <c r="E503" s="26" t="str">
        <f t="shared" si="22"/>
        <v/>
      </c>
      <c r="F503" s="116"/>
      <c r="G503" s="116"/>
      <c r="H503" s="52"/>
      <c r="I503" s="126"/>
      <c r="J503" s="139"/>
      <c r="K503" s="126"/>
      <c r="L503" s="126"/>
      <c r="M503" s="56"/>
      <c r="N503" s="118"/>
      <c r="O503" s="55"/>
      <c r="P503" s="53"/>
      <c r="Q503" s="55"/>
      <c r="R503" s="49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</row>
    <row r="504" spans="1:41" ht="13.8" x14ac:dyDescent="0.25">
      <c r="A504" s="46"/>
      <c r="B504" s="114"/>
      <c r="C504" s="48"/>
      <c r="D504" s="115"/>
      <c r="E504" s="26" t="str">
        <f t="shared" si="22"/>
        <v/>
      </c>
      <c r="F504" s="116"/>
      <c r="G504" s="116"/>
      <c r="H504" s="52"/>
      <c r="I504" s="126"/>
      <c r="J504" s="139"/>
      <c r="K504" s="126"/>
      <c r="L504" s="126"/>
      <c r="M504" s="56"/>
      <c r="N504" s="118"/>
      <c r="O504" s="55"/>
      <c r="P504" s="53"/>
      <c r="Q504" s="55"/>
      <c r="R504" s="49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</row>
    <row r="505" spans="1:41" ht="13.8" x14ac:dyDescent="0.25">
      <c r="A505" s="46"/>
      <c r="B505" s="114"/>
      <c r="C505" s="48"/>
      <c r="D505" s="115"/>
      <c r="E505" s="26" t="str">
        <f t="shared" si="22"/>
        <v/>
      </c>
      <c r="F505" s="116"/>
      <c r="G505" s="116"/>
      <c r="H505" s="52"/>
      <c r="I505" s="126"/>
      <c r="J505" s="139"/>
      <c r="K505" s="126"/>
      <c r="L505" s="126"/>
      <c r="M505" s="56"/>
      <c r="N505" s="118"/>
      <c r="O505" s="55"/>
      <c r="P505" s="53"/>
      <c r="Q505" s="55"/>
      <c r="R505" s="49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</row>
    <row r="506" spans="1:41" ht="13.8" x14ac:dyDescent="0.25">
      <c r="A506" s="46"/>
      <c r="B506" s="114"/>
      <c r="C506" s="48"/>
      <c r="D506" s="115"/>
      <c r="E506" s="26" t="str">
        <f t="shared" si="22"/>
        <v/>
      </c>
      <c r="F506" s="116"/>
      <c r="G506" s="116"/>
      <c r="H506" s="52"/>
      <c r="I506" s="126"/>
      <c r="J506" s="139"/>
      <c r="K506" s="126"/>
      <c r="L506" s="126"/>
      <c r="M506" s="56"/>
      <c r="N506" s="118"/>
      <c r="O506" s="55"/>
      <c r="P506" s="53"/>
      <c r="Q506" s="55"/>
      <c r="R506" s="49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</row>
    <row r="507" spans="1:41" ht="13.8" x14ac:dyDescent="0.25">
      <c r="A507" s="46"/>
      <c r="B507" s="114"/>
      <c r="C507" s="48"/>
      <c r="D507" s="115"/>
      <c r="E507" s="26" t="str">
        <f t="shared" si="22"/>
        <v/>
      </c>
      <c r="F507" s="116"/>
      <c r="G507" s="116"/>
      <c r="H507" s="52"/>
      <c r="I507" s="126"/>
      <c r="J507" s="139"/>
      <c r="K507" s="126"/>
      <c r="L507" s="126"/>
      <c r="M507" s="56"/>
      <c r="N507" s="118"/>
      <c r="O507" s="55"/>
      <c r="P507" s="53"/>
      <c r="Q507" s="55"/>
      <c r="R507" s="49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</row>
    <row r="508" spans="1:41" ht="13.8" x14ac:dyDescent="0.25">
      <c r="A508" s="46"/>
      <c r="B508" s="114"/>
      <c r="C508" s="48"/>
      <c r="D508" s="115"/>
      <c r="E508" s="26" t="str">
        <f t="shared" si="22"/>
        <v/>
      </c>
      <c r="F508" s="116"/>
      <c r="G508" s="116"/>
      <c r="H508" s="52"/>
      <c r="I508" s="126"/>
      <c r="J508" s="139"/>
      <c r="K508" s="126"/>
      <c r="L508" s="126"/>
      <c r="M508" s="56"/>
      <c r="N508" s="118"/>
      <c r="O508" s="55"/>
      <c r="P508" s="53"/>
      <c r="Q508" s="55"/>
      <c r="R508" s="49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</row>
    <row r="509" spans="1:41" ht="13.8" x14ac:dyDescent="0.25">
      <c r="A509" s="46"/>
      <c r="B509" s="114"/>
      <c r="C509" s="48"/>
      <c r="D509" s="115"/>
      <c r="E509" s="26" t="str">
        <f t="shared" si="22"/>
        <v/>
      </c>
      <c r="F509" s="116"/>
      <c r="G509" s="116"/>
      <c r="H509" s="52"/>
      <c r="I509" s="126"/>
      <c r="J509" s="139"/>
      <c r="K509" s="126"/>
      <c r="L509" s="126"/>
      <c r="M509" s="56"/>
      <c r="N509" s="118"/>
      <c r="O509" s="55"/>
      <c r="P509" s="53"/>
      <c r="Q509" s="55"/>
      <c r="R509" s="49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</row>
    <row r="510" spans="1:41" ht="13.8" x14ac:dyDescent="0.25">
      <c r="A510" s="46"/>
      <c r="B510" s="114"/>
      <c r="C510" s="48"/>
      <c r="D510" s="115"/>
      <c r="E510" s="26" t="str">
        <f t="shared" si="22"/>
        <v/>
      </c>
      <c r="F510" s="116"/>
      <c r="G510" s="116"/>
      <c r="H510" s="52"/>
      <c r="I510" s="126"/>
      <c r="J510" s="139"/>
      <c r="K510" s="126"/>
      <c r="L510" s="126"/>
      <c r="M510" s="56"/>
      <c r="N510" s="118"/>
      <c r="O510" s="55"/>
      <c r="P510" s="53"/>
      <c r="Q510" s="55"/>
      <c r="R510" s="49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</row>
    <row r="511" spans="1:41" ht="13.8" x14ac:dyDescent="0.25">
      <c r="A511" s="46"/>
      <c r="B511" s="114"/>
      <c r="C511" s="48"/>
      <c r="D511" s="115"/>
      <c r="E511" s="26" t="str">
        <f t="shared" si="22"/>
        <v/>
      </c>
      <c r="F511" s="116"/>
      <c r="G511" s="116"/>
      <c r="H511" s="52"/>
      <c r="I511" s="126"/>
      <c r="J511" s="139"/>
      <c r="K511" s="126"/>
      <c r="L511" s="126"/>
      <c r="M511" s="56"/>
      <c r="N511" s="118"/>
      <c r="O511" s="55"/>
      <c r="P511" s="53"/>
      <c r="Q511" s="55"/>
      <c r="R511" s="49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</row>
    <row r="512" spans="1:41" ht="13.8" x14ac:dyDescent="0.25">
      <c r="A512" s="46"/>
      <c r="B512" s="114"/>
      <c r="C512" s="48"/>
      <c r="D512" s="115"/>
      <c r="E512" s="26" t="str">
        <f t="shared" si="22"/>
        <v/>
      </c>
      <c r="F512" s="116"/>
      <c r="G512" s="116"/>
      <c r="H512" s="52"/>
      <c r="I512" s="126"/>
      <c r="J512" s="139"/>
      <c r="K512" s="126"/>
      <c r="L512" s="126"/>
      <c r="M512" s="56"/>
      <c r="N512" s="118"/>
      <c r="O512" s="55"/>
      <c r="P512" s="53"/>
      <c r="Q512" s="55"/>
      <c r="R512" s="49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</row>
    <row r="513" spans="1:41" ht="13.8" x14ac:dyDescent="0.25">
      <c r="A513" s="46"/>
      <c r="B513" s="114"/>
      <c r="C513" s="48"/>
      <c r="D513" s="115"/>
      <c r="E513" s="26" t="str">
        <f t="shared" si="22"/>
        <v/>
      </c>
      <c r="F513" s="116"/>
      <c r="G513" s="116"/>
      <c r="H513" s="52"/>
      <c r="I513" s="126"/>
      <c r="J513" s="139"/>
      <c r="K513" s="126"/>
      <c r="L513" s="126"/>
      <c r="M513" s="56"/>
      <c r="N513" s="118"/>
      <c r="O513" s="55"/>
      <c r="P513" s="53"/>
      <c r="Q513" s="55"/>
      <c r="R513" s="49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</row>
    <row r="514" spans="1:41" ht="13.8" x14ac:dyDescent="0.25">
      <c r="A514" s="46"/>
      <c r="B514" s="114"/>
      <c r="C514" s="48"/>
      <c r="D514" s="115"/>
      <c r="E514" s="26" t="str">
        <f t="shared" si="22"/>
        <v/>
      </c>
      <c r="F514" s="116"/>
      <c r="G514" s="116"/>
      <c r="H514" s="52"/>
      <c r="I514" s="126"/>
      <c r="J514" s="139"/>
      <c r="K514" s="126"/>
      <c r="L514" s="126"/>
      <c r="M514" s="56"/>
      <c r="N514" s="118"/>
      <c r="O514" s="55"/>
      <c r="P514" s="53"/>
      <c r="Q514" s="55"/>
      <c r="R514" s="49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</row>
    <row r="515" spans="1:41" ht="13.8" x14ac:dyDescent="0.25">
      <c r="A515" s="46"/>
      <c r="B515" s="114"/>
      <c r="C515" s="48"/>
      <c r="D515" s="115"/>
      <c r="E515" s="26" t="str">
        <f t="shared" si="22"/>
        <v/>
      </c>
      <c r="F515" s="116"/>
      <c r="G515" s="116"/>
      <c r="H515" s="52"/>
      <c r="I515" s="126"/>
      <c r="J515" s="139"/>
      <c r="K515" s="126"/>
      <c r="L515" s="126"/>
      <c r="M515" s="56"/>
      <c r="N515" s="118"/>
      <c r="O515" s="55"/>
      <c r="P515" s="53"/>
      <c r="Q515" s="55"/>
      <c r="R515" s="49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</row>
    <row r="516" spans="1:41" ht="13.8" x14ac:dyDescent="0.25">
      <c r="A516" s="46"/>
      <c r="B516" s="114"/>
      <c r="C516" s="48"/>
      <c r="D516" s="115"/>
      <c r="E516" s="26" t="str">
        <f t="shared" si="22"/>
        <v/>
      </c>
      <c r="F516" s="116"/>
      <c r="G516" s="116"/>
      <c r="H516" s="52"/>
      <c r="I516" s="126"/>
      <c r="J516" s="139"/>
      <c r="K516" s="126"/>
      <c r="L516" s="126"/>
      <c r="M516" s="56"/>
      <c r="N516" s="118"/>
      <c r="O516" s="55"/>
      <c r="P516" s="53"/>
      <c r="Q516" s="55"/>
      <c r="R516" s="49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</row>
    <row r="517" spans="1:41" ht="13.8" x14ac:dyDescent="0.25">
      <c r="A517" s="46"/>
      <c r="B517" s="114"/>
      <c r="C517" s="48"/>
      <c r="D517" s="115"/>
      <c r="E517" s="26" t="str">
        <f t="shared" si="22"/>
        <v/>
      </c>
      <c r="F517" s="116"/>
      <c r="G517" s="116"/>
      <c r="H517" s="52"/>
      <c r="I517" s="126"/>
      <c r="J517" s="139"/>
      <c r="K517" s="126"/>
      <c r="L517" s="126"/>
      <c r="M517" s="56"/>
      <c r="N517" s="118"/>
      <c r="O517" s="55"/>
      <c r="P517" s="53"/>
      <c r="Q517" s="55"/>
      <c r="R517" s="49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</row>
    <row r="518" spans="1:41" ht="13.8" x14ac:dyDescent="0.25">
      <c r="A518" s="46"/>
      <c r="B518" s="114"/>
      <c r="C518" s="48"/>
      <c r="D518" s="115"/>
      <c r="E518" s="26" t="str">
        <f t="shared" si="22"/>
        <v/>
      </c>
      <c r="F518" s="116"/>
      <c r="G518" s="116"/>
      <c r="H518" s="52"/>
      <c r="I518" s="126"/>
      <c r="J518" s="139"/>
      <c r="K518" s="126"/>
      <c r="L518" s="126"/>
      <c r="M518" s="56"/>
      <c r="N518" s="118"/>
      <c r="O518" s="55"/>
      <c r="P518" s="53"/>
      <c r="Q518" s="55"/>
      <c r="R518" s="49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</row>
    <row r="519" spans="1:41" ht="13.8" x14ac:dyDescent="0.25">
      <c r="A519" s="46"/>
      <c r="B519" s="114"/>
      <c r="C519" s="48"/>
      <c r="D519" s="115"/>
      <c r="E519" s="26" t="str">
        <f t="shared" si="22"/>
        <v/>
      </c>
      <c r="F519" s="116"/>
      <c r="G519" s="116"/>
      <c r="H519" s="52"/>
      <c r="I519" s="126"/>
      <c r="J519" s="139"/>
      <c r="K519" s="126"/>
      <c r="L519" s="126"/>
      <c r="M519" s="56"/>
      <c r="N519" s="118"/>
      <c r="O519" s="55"/>
      <c r="P519" s="53"/>
      <c r="Q519" s="55"/>
      <c r="R519" s="49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</row>
    <row r="520" spans="1:41" ht="13.8" x14ac:dyDescent="0.25">
      <c r="A520" s="46"/>
      <c r="B520" s="114"/>
      <c r="C520" s="48"/>
      <c r="D520" s="115"/>
      <c r="E520" s="26" t="str">
        <f t="shared" si="22"/>
        <v/>
      </c>
      <c r="F520" s="116"/>
      <c r="G520" s="116"/>
      <c r="H520" s="52"/>
      <c r="I520" s="126"/>
      <c r="J520" s="139"/>
      <c r="K520" s="126"/>
      <c r="L520" s="126"/>
      <c r="M520" s="56"/>
      <c r="N520" s="118"/>
      <c r="O520" s="55"/>
      <c r="P520" s="53"/>
      <c r="Q520" s="55"/>
      <c r="R520" s="49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</row>
    <row r="521" spans="1:41" ht="13.8" x14ac:dyDescent="0.25">
      <c r="A521" s="46"/>
      <c r="B521" s="114"/>
      <c r="C521" s="48"/>
      <c r="D521" s="115"/>
      <c r="E521" s="26" t="str">
        <f t="shared" si="22"/>
        <v/>
      </c>
      <c r="F521" s="116"/>
      <c r="G521" s="116"/>
      <c r="H521" s="52"/>
      <c r="I521" s="126"/>
      <c r="J521" s="139"/>
      <c r="K521" s="126"/>
      <c r="L521" s="126"/>
      <c r="M521" s="56"/>
      <c r="N521" s="118"/>
      <c r="O521" s="55"/>
      <c r="P521" s="53"/>
      <c r="Q521" s="55"/>
      <c r="R521" s="49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</row>
    <row r="522" spans="1:41" ht="13.8" x14ac:dyDescent="0.25">
      <c r="A522" s="46"/>
      <c r="B522" s="114"/>
      <c r="C522" s="48"/>
      <c r="D522" s="115"/>
      <c r="E522" s="26" t="str">
        <f t="shared" si="22"/>
        <v/>
      </c>
      <c r="F522" s="116"/>
      <c r="G522" s="116"/>
      <c r="H522" s="52"/>
      <c r="I522" s="126"/>
      <c r="J522" s="139"/>
      <c r="K522" s="126"/>
      <c r="L522" s="126"/>
      <c r="M522" s="56"/>
      <c r="N522" s="118"/>
      <c r="O522" s="55"/>
      <c r="P522" s="53"/>
      <c r="Q522" s="55"/>
      <c r="R522" s="49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</row>
    <row r="523" spans="1:41" ht="13.8" x14ac:dyDescent="0.25">
      <c r="A523" s="46"/>
      <c r="B523" s="114"/>
      <c r="C523" s="48"/>
      <c r="D523" s="115"/>
      <c r="E523" s="26" t="str">
        <f t="shared" si="22"/>
        <v/>
      </c>
      <c r="F523" s="116"/>
      <c r="G523" s="116"/>
      <c r="H523" s="52"/>
      <c r="I523" s="126"/>
      <c r="J523" s="139"/>
      <c r="K523" s="126"/>
      <c r="L523" s="126"/>
      <c r="M523" s="56"/>
      <c r="N523" s="118"/>
      <c r="O523" s="55"/>
      <c r="P523" s="53"/>
      <c r="Q523" s="55"/>
      <c r="R523" s="49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</row>
    <row r="524" spans="1:41" ht="13.8" x14ac:dyDescent="0.25">
      <c r="A524" s="46"/>
      <c r="B524" s="114"/>
      <c r="C524" s="48"/>
      <c r="D524" s="115"/>
      <c r="E524" s="26" t="str">
        <f t="shared" si="22"/>
        <v/>
      </c>
      <c r="F524" s="116"/>
      <c r="G524" s="116"/>
      <c r="H524" s="52"/>
      <c r="I524" s="126"/>
      <c r="J524" s="139"/>
      <c r="K524" s="126"/>
      <c r="L524" s="126"/>
      <c r="M524" s="56"/>
      <c r="N524" s="118"/>
      <c r="O524" s="55"/>
      <c r="P524" s="53"/>
      <c r="Q524" s="55"/>
      <c r="R524" s="49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</row>
    <row r="525" spans="1:41" ht="13.8" x14ac:dyDescent="0.25">
      <c r="A525" s="46"/>
      <c r="B525" s="114"/>
      <c r="C525" s="48"/>
      <c r="D525" s="115"/>
      <c r="E525" s="26" t="str">
        <f t="shared" si="22"/>
        <v/>
      </c>
      <c r="F525" s="116"/>
      <c r="G525" s="116"/>
      <c r="H525" s="52"/>
      <c r="I525" s="126"/>
      <c r="J525" s="139"/>
      <c r="K525" s="126"/>
      <c r="L525" s="126"/>
      <c r="M525" s="56"/>
      <c r="N525" s="118"/>
      <c r="O525" s="55"/>
      <c r="P525" s="53"/>
      <c r="Q525" s="55"/>
      <c r="R525" s="49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</row>
    <row r="526" spans="1:41" ht="13.8" x14ac:dyDescent="0.25">
      <c r="A526" s="46"/>
      <c r="B526" s="114"/>
      <c r="C526" s="48"/>
      <c r="D526" s="115"/>
      <c r="E526" s="26" t="str">
        <f t="shared" si="22"/>
        <v/>
      </c>
      <c r="F526" s="116"/>
      <c r="G526" s="116"/>
      <c r="H526" s="52"/>
      <c r="I526" s="126"/>
      <c r="J526" s="139"/>
      <c r="K526" s="126"/>
      <c r="L526" s="126"/>
      <c r="M526" s="56"/>
      <c r="N526" s="118"/>
      <c r="O526" s="55"/>
      <c r="P526" s="53"/>
      <c r="Q526" s="55"/>
      <c r="R526" s="49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</row>
    <row r="527" spans="1:41" ht="13.8" x14ac:dyDescent="0.25">
      <c r="A527" s="46"/>
      <c r="B527" s="114"/>
      <c r="C527" s="48"/>
      <c r="D527" s="115"/>
      <c r="E527" s="26" t="str">
        <f t="shared" si="22"/>
        <v/>
      </c>
      <c r="F527" s="116"/>
      <c r="G527" s="116"/>
      <c r="H527" s="52"/>
      <c r="I527" s="126"/>
      <c r="J527" s="139"/>
      <c r="K527" s="126"/>
      <c r="L527" s="126"/>
      <c r="M527" s="56"/>
      <c r="N527" s="118"/>
      <c r="O527" s="55"/>
      <c r="P527" s="53"/>
      <c r="Q527" s="55"/>
      <c r="R527" s="49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</row>
    <row r="528" spans="1:41" ht="13.8" x14ac:dyDescent="0.25">
      <c r="A528" s="46"/>
      <c r="B528" s="114"/>
      <c r="C528" s="48"/>
      <c r="D528" s="115"/>
      <c r="E528" s="26" t="str">
        <f t="shared" si="22"/>
        <v/>
      </c>
      <c r="F528" s="116"/>
      <c r="G528" s="116"/>
      <c r="H528" s="52"/>
      <c r="I528" s="126"/>
      <c r="J528" s="139"/>
      <c r="K528" s="126"/>
      <c r="L528" s="126"/>
      <c r="M528" s="56"/>
      <c r="N528" s="118"/>
      <c r="O528" s="55"/>
      <c r="P528" s="53"/>
      <c r="Q528" s="55"/>
      <c r="R528" s="49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</row>
    <row r="529" spans="1:41" ht="13.8" x14ac:dyDescent="0.25">
      <c r="A529" s="46"/>
      <c r="B529" s="114"/>
      <c r="C529" s="48"/>
      <c r="D529" s="115"/>
      <c r="E529" s="26" t="str">
        <f t="shared" si="22"/>
        <v/>
      </c>
      <c r="F529" s="116"/>
      <c r="G529" s="116"/>
      <c r="H529" s="52"/>
      <c r="I529" s="126"/>
      <c r="J529" s="139"/>
      <c r="K529" s="126"/>
      <c r="L529" s="126"/>
      <c r="M529" s="56"/>
      <c r="N529" s="118"/>
      <c r="O529" s="55"/>
      <c r="P529" s="53"/>
      <c r="Q529" s="55"/>
      <c r="R529" s="49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</row>
    <row r="530" spans="1:41" ht="13.8" x14ac:dyDescent="0.25">
      <c r="A530" s="46"/>
      <c r="B530" s="114"/>
      <c r="C530" s="48"/>
      <c r="D530" s="115"/>
      <c r="E530" s="26" t="str">
        <f t="shared" si="22"/>
        <v/>
      </c>
      <c r="F530" s="116"/>
      <c r="G530" s="116"/>
      <c r="H530" s="52"/>
      <c r="I530" s="126"/>
      <c r="J530" s="139"/>
      <c r="K530" s="126"/>
      <c r="L530" s="126"/>
      <c r="M530" s="56"/>
      <c r="N530" s="118"/>
      <c r="O530" s="55"/>
      <c r="P530" s="53"/>
      <c r="Q530" s="55"/>
      <c r="R530" s="49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</row>
    <row r="531" spans="1:41" ht="13.8" x14ac:dyDescent="0.25">
      <c r="A531" s="46"/>
      <c r="B531" s="114"/>
      <c r="C531" s="48"/>
      <c r="D531" s="115"/>
      <c r="E531" s="26" t="str">
        <f t="shared" si="22"/>
        <v/>
      </c>
      <c r="F531" s="116"/>
      <c r="G531" s="116"/>
      <c r="H531" s="52"/>
      <c r="I531" s="126"/>
      <c r="J531" s="139"/>
      <c r="K531" s="126"/>
      <c r="L531" s="126"/>
      <c r="M531" s="56"/>
      <c r="N531" s="118"/>
      <c r="O531" s="55"/>
      <c r="P531" s="53"/>
      <c r="Q531" s="55"/>
      <c r="R531" s="49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</row>
    <row r="532" spans="1:41" ht="13.8" x14ac:dyDescent="0.25">
      <c r="A532" s="46"/>
      <c r="B532" s="114"/>
      <c r="C532" s="48"/>
      <c r="D532" s="115"/>
      <c r="E532" s="26" t="str">
        <f t="shared" si="22"/>
        <v/>
      </c>
      <c r="F532" s="116"/>
      <c r="G532" s="116"/>
      <c r="H532" s="52"/>
      <c r="I532" s="126"/>
      <c r="J532" s="139"/>
      <c r="K532" s="126"/>
      <c r="L532" s="126"/>
      <c r="M532" s="56"/>
      <c r="N532" s="118"/>
      <c r="O532" s="55"/>
      <c r="P532" s="53"/>
      <c r="Q532" s="55"/>
      <c r="R532" s="49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</row>
    <row r="533" spans="1:41" ht="13.8" x14ac:dyDescent="0.25">
      <c r="A533" s="46"/>
      <c r="B533" s="114"/>
      <c r="C533" s="48"/>
      <c r="D533" s="115"/>
      <c r="E533" s="26" t="str">
        <f t="shared" si="22"/>
        <v/>
      </c>
      <c r="F533" s="116"/>
      <c r="G533" s="116"/>
      <c r="H533" s="52"/>
      <c r="I533" s="126"/>
      <c r="J533" s="139"/>
      <c r="K533" s="126"/>
      <c r="L533" s="126"/>
      <c r="M533" s="56"/>
      <c r="N533" s="118"/>
      <c r="O533" s="55"/>
      <c r="P533" s="53"/>
      <c r="Q533" s="55"/>
      <c r="R533" s="49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</row>
    <row r="534" spans="1:41" ht="13.8" x14ac:dyDescent="0.25">
      <c r="A534" s="46"/>
      <c r="B534" s="114"/>
      <c r="C534" s="48"/>
      <c r="D534" s="115"/>
      <c r="E534" s="26" t="str">
        <f t="shared" si="22"/>
        <v/>
      </c>
      <c r="F534" s="116"/>
      <c r="G534" s="116"/>
      <c r="H534" s="52"/>
      <c r="I534" s="126"/>
      <c r="J534" s="139"/>
      <c r="K534" s="126"/>
      <c r="L534" s="126"/>
      <c r="M534" s="56"/>
      <c r="N534" s="118"/>
      <c r="O534" s="55"/>
      <c r="P534" s="53"/>
      <c r="Q534" s="55"/>
      <c r="R534" s="49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</row>
    <row r="535" spans="1:41" ht="13.8" x14ac:dyDescent="0.25">
      <c r="A535" s="46"/>
      <c r="B535" s="114"/>
      <c r="C535" s="48"/>
      <c r="D535" s="115"/>
      <c r="E535" s="26" t="str">
        <f t="shared" si="22"/>
        <v/>
      </c>
      <c r="F535" s="116"/>
      <c r="G535" s="116"/>
      <c r="H535" s="52"/>
      <c r="I535" s="126"/>
      <c r="J535" s="139"/>
      <c r="K535" s="126"/>
      <c r="L535" s="126"/>
      <c r="M535" s="56"/>
      <c r="N535" s="118"/>
      <c r="O535" s="55"/>
      <c r="P535" s="53"/>
      <c r="Q535" s="55"/>
      <c r="R535" s="49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</row>
    <row r="536" spans="1:41" ht="13.8" x14ac:dyDescent="0.25">
      <c r="A536" s="46"/>
      <c r="B536" s="114"/>
      <c r="C536" s="48"/>
      <c r="D536" s="115"/>
      <c r="E536" s="26" t="str">
        <f t="shared" si="22"/>
        <v/>
      </c>
      <c r="F536" s="116"/>
      <c r="G536" s="116"/>
      <c r="H536" s="52"/>
      <c r="I536" s="126"/>
      <c r="J536" s="139"/>
      <c r="K536" s="126"/>
      <c r="L536" s="126"/>
      <c r="M536" s="56"/>
      <c r="N536" s="118"/>
      <c r="O536" s="55"/>
      <c r="P536" s="53"/>
      <c r="Q536" s="55"/>
      <c r="R536" s="49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</row>
    <row r="537" spans="1:41" ht="13.8" x14ac:dyDescent="0.25">
      <c r="A537" s="46"/>
      <c r="B537" s="114"/>
      <c r="C537" s="48"/>
      <c r="D537" s="115"/>
      <c r="E537" s="26" t="str">
        <f t="shared" si="22"/>
        <v/>
      </c>
      <c r="F537" s="116"/>
      <c r="G537" s="116"/>
      <c r="H537" s="52"/>
      <c r="I537" s="126"/>
      <c r="J537" s="139"/>
      <c r="K537" s="126"/>
      <c r="L537" s="126"/>
      <c r="M537" s="56"/>
      <c r="N537" s="118"/>
      <c r="O537" s="55"/>
      <c r="P537" s="53"/>
      <c r="Q537" s="55"/>
      <c r="R537" s="49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</row>
    <row r="538" spans="1:41" ht="13.8" x14ac:dyDescent="0.25">
      <c r="A538" s="46"/>
      <c r="B538" s="114"/>
      <c r="C538" s="48"/>
      <c r="D538" s="115"/>
      <c r="E538" s="26" t="str">
        <f t="shared" si="22"/>
        <v/>
      </c>
      <c r="F538" s="116"/>
      <c r="G538" s="116"/>
      <c r="H538" s="52"/>
      <c r="I538" s="126"/>
      <c r="J538" s="139"/>
      <c r="K538" s="126"/>
      <c r="L538" s="126"/>
      <c r="M538" s="56"/>
      <c r="N538" s="118"/>
      <c r="O538" s="55"/>
      <c r="P538" s="53"/>
      <c r="Q538" s="55"/>
      <c r="R538" s="49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</row>
    <row r="539" spans="1:41" ht="13.8" x14ac:dyDescent="0.25">
      <c r="A539" s="46"/>
      <c r="B539" s="114"/>
      <c r="C539" s="48"/>
      <c r="D539" s="115"/>
      <c r="E539" s="26" t="str">
        <f t="shared" si="22"/>
        <v/>
      </c>
      <c r="F539" s="116"/>
      <c r="G539" s="116"/>
      <c r="H539" s="52"/>
      <c r="I539" s="126"/>
      <c r="J539" s="139"/>
      <c r="K539" s="126"/>
      <c r="L539" s="126"/>
      <c r="M539" s="56"/>
      <c r="N539" s="118"/>
      <c r="O539" s="55"/>
      <c r="P539" s="53"/>
      <c r="Q539" s="55"/>
      <c r="R539" s="49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</row>
    <row r="540" spans="1:41" ht="13.8" x14ac:dyDescent="0.25">
      <c r="A540" s="46"/>
      <c r="B540" s="114"/>
      <c r="C540" s="48"/>
      <c r="D540" s="115"/>
      <c r="E540" s="26" t="str">
        <f t="shared" si="22"/>
        <v/>
      </c>
      <c r="F540" s="116"/>
      <c r="G540" s="116"/>
      <c r="H540" s="52"/>
      <c r="I540" s="126"/>
      <c r="J540" s="139"/>
      <c r="K540" s="126"/>
      <c r="L540" s="126"/>
      <c r="M540" s="56"/>
      <c r="N540" s="118"/>
      <c r="O540" s="55"/>
      <c r="P540" s="53"/>
      <c r="Q540" s="55"/>
      <c r="R540" s="49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</row>
    <row r="541" spans="1:41" ht="13.8" x14ac:dyDescent="0.25">
      <c r="A541" s="46"/>
      <c r="B541" s="114"/>
      <c r="C541" s="48"/>
      <c r="D541" s="115"/>
      <c r="E541" s="26" t="str">
        <f t="shared" si="22"/>
        <v/>
      </c>
      <c r="F541" s="116"/>
      <c r="G541" s="116"/>
      <c r="H541" s="52"/>
      <c r="I541" s="126"/>
      <c r="J541" s="139"/>
      <c r="K541" s="126"/>
      <c r="L541" s="126"/>
      <c r="M541" s="56"/>
      <c r="N541" s="118"/>
      <c r="O541" s="55"/>
      <c r="P541" s="53"/>
      <c r="Q541" s="55"/>
      <c r="R541" s="49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</row>
    <row r="542" spans="1:41" ht="13.8" x14ac:dyDescent="0.25">
      <c r="A542" s="46"/>
      <c r="B542" s="114"/>
      <c r="C542" s="48"/>
      <c r="D542" s="115"/>
      <c r="E542" s="26" t="str">
        <f t="shared" si="22"/>
        <v/>
      </c>
      <c r="F542" s="116"/>
      <c r="G542" s="116"/>
      <c r="H542" s="52"/>
      <c r="I542" s="126"/>
      <c r="J542" s="139"/>
      <c r="K542" s="126"/>
      <c r="L542" s="126"/>
      <c r="M542" s="56"/>
      <c r="N542" s="118"/>
      <c r="O542" s="55"/>
      <c r="P542" s="53"/>
      <c r="Q542" s="55"/>
      <c r="R542" s="49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</row>
    <row r="543" spans="1:41" ht="13.8" x14ac:dyDescent="0.25">
      <c r="A543" s="46"/>
      <c r="B543" s="114"/>
      <c r="C543" s="48"/>
      <c r="D543" s="115"/>
      <c r="E543" s="26" t="str">
        <f t="shared" si="22"/>
        <v/>
      </c>
      <c r="F543" s="116"/>
      <c r="G543" s="116"/>
      <c r="H543" s="52"/>
      <c r="I543" s="126"/>
      <c r="J543" s="139"/>
      <c r="K543" s="126"/>
      <c r="L543" s="126"/>
      <c r="M543" s="56"/>
      <c r="N543" s="118"/>
      <c r="O543" s="55"/>
      <c r="P543" s="53"/>
      <c r="Q543" s="55"/>
      <c r="R543" s="49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</row>
    <row r="544" spans="1:41" ht="13.8" x14ac:dyDescent="0.25">
      <c r="A544" s="46"/>
      <c r="B544" s="114"/>
      <c r="C544" s="48"/>
      <c r="D544" s="115"/>
      <c r="E544" s="26" t="str">
        <f t="shared" si="22"/>
        <v/>
      </c>
      <c r="F544" s="116"/>
      <c r="G544" s="116"/>
      <c r="H544" s="52"/>
      <c r="I544" s="126"/>
      <c r="J544" s="139"/>
      <c r="K544" s="126"/>
      <c r="L544" s="126"/>
      <c r="M544" s="56"/>
      <c r="N544" s="118"/>
      <c r="O544" s="55"/>
      <c r="P544" s="53"/>
      <c r="Q544" s="55"/>
      <c r="R544" s="49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</row>
    <row r="545" spans="1:41" ht="13.8" x14ac:dyDescent="0.25">
      <c r="A545" s="46"/>
      <c r="B545" s="114"/>
      <c r="C545" s="48"/>
      <c r="D545" s="115"/>
      <c r="E545" s="26" t="str">
        <f t="shared" si="22"/>
        <v/>
      </c>
      <c r="F545" s="116"/>
      <c r="G545" s="116"/>
      <c r="H545" s="52"/>
      <c r="I545" s="126"/>
      <c r="J545" s="139"/>
      <c r="K545" s="126"/>
      <c r="L545" s="126"/>
      <c r="M545" s="56"/>
      <c r="N545" s="118"/>
      <c r="O545" s="55"/>
      <c r="P545" s="53"/>
      <c r="Q545" s="55"/>
      <c r="R545" s="49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</row>
    <row r="546" spans="1:41" ht="13.8" x14ac:dyDescent="0.25">
      <c r="A546" s="46"/>
      <c r="B546" s="114"/>
      <c r="C546" s="48"/>
      <c r="D546" s="115"/>
      <c r="E546" s="26" t="str">
        <f t="shared" si="22"/>
        <v/>
      </c>
      <c r="F546" s="116"/>
      <c r="G546" s="116"/>
      <c r="H546" s="52"/>
      <c r="I546" s="126"/>
      <c r="J546" s="139"/>
      <c r="K546" s="126"/>
      <c r="L546" s="126"/>
      <c r="M546" s="56"/>
      <c r="N546" s="118"/>
      <c r="O546" s="55"/>
      <c r="P546" s="53"/>
      <c r="Q546" s="55"/>
      <c r="R546" s="49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</row>
    <row r="547" spans="1:41" ht="13.8" x14ac:dyDescent="0.25">
      <c r="A547" s="46"/>
      <c r="B547" s="114"/>
      <c r="C547" s="48"/>
      <c r="D547" s="115"/>
      <c r="E547" s="26" t="str">
        <f t="shared" si="22"/>
        <v/>
      </c>
      <c r="F547" s="116"/>
      <c r="G547" s="116"/>
      <c r="H547" s="52"/>
      <c r="I547" s="126"/>
      <c r="J547" s="139"/>
      <c r="K547" s="126"/>
      <c r="L547" s="126"/>
      <c r="M547" s="56"/>
      <c r="N547" s="118"/>
      <c r="O547" s="55"/>
      <c r="P547" s="53"/>
      <c r="Q547" s="55"/>
      <c r="R547" s="49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</row>
    <row r="548" spans="1:41" ht="13.8" x14ac:dyDescent="0.25">
      <c r="A548" s="46"/>
      <c r="B548" s="114"/>
      <c r="C548" s="48"/>
      <c r="D548" s="115"/>
      <c r="E548" s="26" t="str">
        <f t="shared" si="22"/>
        <v/>
      </c>
      <c r="F548" s="116"/>
      <c r="G548" s="116"/>
      <c r="H548" s="52"/>
      <c r="I548" s="126"/>
      <c r="J548" s="139"/>
      <c r="K548" s="126"/>
      <c r="L548" s="126"/>
      <c r="M548" s="56"/>
      <c r="N548" s="118"/>
      <c r="O548" s="55"/>
      <c r="P548" s="53"/>
      <c r="Q548" s="55"/>
      <c r="R548" s="49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</row>
    <row r="549" spans="1:41" ht="13.8" x14ac:dyDescent="0.25">
      <c r="A549" s="46"/>
      <c r="B549" s="114"/>
      <c r="C549" s="48"/>
      <c r="D549" s="115"/>
      <c r="E549" s="26" t="str">
        <f t="shared" si="22"/>
        <v/>
      </c>
      <c r="F549" s="116"/>
      <c r="G549" s="116"/>
      <c r="H549" s="52"/>
      <c r="I549" s="126"/>
      <c r="J549" s="139"/>
      <c r="K549" s="126"/>
      <c r="L549" s="126"/>
      <c r="M549" s="56"/>
      <c r="N549" s="118"/>
      <c r="O549" s="55"/>
      <c r="P549" s="53"/>
      <c r="Q549" s="55"/>
      <c r="R549" s="49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</row>
    <row r="550" spans="1:41" ht="13.8" x14ac:dyDescent="0.25">
      <c r="A550" s="46"/>
      <c r="B550" s="114"/>
      <c r="C550" s="48"/>
      <c r="D550" s="115"/>
      <c r="E550" s="26" t="str">
        <f t="shared" si="22"/>
        <v/>
      </c>
      <c r="F550" s="116"/>
      <c r="G550" s="116"/>
      <c r="H550" s="52"/>
      <c r="I550" s="126"/>
      <c r="J550" s="139"/>
      <c r="K550" s="126"/>
      <c r="L550" s="126"/>
      <c r="M550" s="56"/>
      <c r="N550" s="118"/>
      <c r="O550" s="55"/>
      <c r="P550" s="53"/>
      <c r="Q550" s="55"/>
      <c r="R550" s="49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</row>
    <row r="551" spans="1:41" ht="13.8" x14ac:dyDescent="0.25">
      <c r="A551" s="46"/>
      <c r="B551" s="114"/>
      <c r="C551" s="48"/>
      <c r="D551" s="115"/>
      <c r="E551" s="26" t="str">
        <f t="shared" si="22"/>
        <v/>
      </c>
      <c r="F551" s="116"/>
      <c r="G551" s="116"/>
      <c r="H551" s="52"/>
      <c r="I551" s="126"/>
      <c r="J551" s="139"/>
      <c r="K551" s="126"/>
      <c r="L551" s="126"/>
      <c r="M551" s="56"/>
      <c r="N551" s="118"/>
      <c r="O551" s="55"/>
      <c r="P551" s="53"/>
      <c r="Q551" s="55"/>
      <c r="R551" s="49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</row>
    <row r="552" spans="1:41" ht="13.8" x14ac:dyDescent="0.25">
      <c r="A552" s="46"/>
      <c r="B552" s="114"/>
      <c r="C552" s="48"/>
      <c r="D552" s="115"/>
      <c r="E552" s="26" t="str">
        <f t="shared" si="22"/>
        <v/>
      </c>
      <c r="F552" s="116"/>
      <c r="G552" s="116"/>
      <c r="H552" s="52"/>
      <c r="I552" s="126"/>
      <c r="J552" s="139"/>
      <c r="K552" s="126"/>
      <c r="L552" s="126"/>
      <c r="M552" s="56"/>
      <c r="N552" s="118"/>
      <c r="O552" s="55"/>
      <c r="P552" s="53"/>
      <c r="Q552" s="55"/>
      <c r="R552" s="49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</row>
    <row r="553" spans="1:41" ht="13.8" x14ac:dyDescent="0.25">
      <c r="A553" s="46"/>
      <c r="B553" s="114"/>
      <c r="C553" s="48"/>
      <c r="D553" s="115"/>
      <c r="E553" s="26" t="str">
        <f t="shared" si="22"/>
        <v/>
      </c>
      <c r="F553" s="116"/>
      <c r="G553" s="116"/>
      <c r="H553" s="52"/>
      <c r="I553" s="126"/>
      <c r="J553" s="139"/>
      <c r="K553" s="126"/>
      <c r="L553" s="126"/>
      <c r="M553" s="56"/>
      <c r="N553" s="118"/>
      <c r="O553" s="55"/>
      <c r="P553" s="53"/>
      <c r="Q553" s="55"/>
      <c r="R553" s="49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</row>
    <row r="554" spans="1:41" ht="13.8" x14ac:dyDescent="0.25">
      <c r="A554" s="46"/>
      <c r="B554" s="114"/>
      <c r="C554" s="48"/>
      <c r="D554" s="115"/>
      <c r="E554" s="26" t="str">
        <f t="shared" si="22"/>
        <v/>
      </c>
      <c r="F554" s="116"/>
      <c r="G554" s="116"/>
      <c r="H554" s="52"/>
      <c r="I554" s="126"/>
      <c r="J554" s="139"/>
      <c r="K554" s="126"/>
      <c r="L554" s="126"/>
      <c r="M554" s="56"/>
      <c r="N554" s="118"/>
      <c r="O554" s="55"/>
      <c r="P554" s="53"/>
      <c r="Q554" s="55"/>
      <c r="R554" s="49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</row>
    <row r="555" spans="1:41" ht="13.8" x14ac:dyDescent="0.25">
      <c r="A555" s="46"/>
      <c r="B555" s="114"/>
      <c r="C555" s="48"/>
      <c r="D555" s="115"/>
      <c r="E555" s="26" t="str">
        <f t="shared" si="22"/>
        <v/>
      </c>
      <c r="F555" s="116"/>
      <c r="G555" s="116"/>
      <c r="H555" s="52"/>
      <c r="I555" s="126"/>
      <c r="J555" s="139"/>
      <c r="K555" s="126"/>
      <c r="L555" s="126"/>
      <c r="M555" s="56"/>
      <c r="N555" s="118"/>
      <c r="O555" s="55"/>
      <c r="P555" s="53"/>
      <c r="Q555" s="55"/>
      <c r="R555" s="49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</row>
    <row r="556" spans="1:41" ht="13.8" x14ac:dyDescent="0.25">
      <c r="A556" s="46"/>
      <c r="B556" s="114"/>
      <c r="C556" s="48"/>
      <c r="D556" s="115"/>
      <c r="E556" s="26" t="str">
        <f t="shared" si="22"/>
        <v/>
      </c>
      <c r="F556" s="116"/>
      <c r="G556" s="116"/>
      <c r="H556" s="52"/>
      <c r="I556" s="126"/>
      <c r="J556" s="139"/>
      <c r="K556" s="126"/>
      <c r="L556" s="126"/>
      <c r="M556" s="56"/>
      <c r="N556" s="118"/>
      <c r="O556" s="55"/>
      <c r="P556" s="53"/>
      <c r="Q556" s="55"/>
      <c r="R556" s="49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</row>
    <row r="557" spans="1:41" ht="13.8" x14ac:dyDescent="0.25">
      <c r="A557" s="46"/>
      <c r="B557" s="114"/>
      <c r="C557" s="48"/>
      <c r="D557" s="115"/>
      <c r="E557" s="26" t="str">
        <f t="shared" si="22"/>
        <v/>
      </c>
      <c r="F557" s="116"/>
      <c r="G557" s="116"/>
      <c r="H557" s="52"/>
      <c r="I557" s="126"/>
      <c r="J557" s="139"/>
      <c r="K557" s="126"/>
      <c r="L557" s="126"/>
      <c r="M557" s="56"/>
      <c r="N557" s="118"/>
      <c r="O557" s="55"/>
      <c r="P557" s="53"/>
      <c r="Q557" s="55"/>
      <c r="R557" s="49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</row>
    <row r="558" spans="1:41" ht="13.8" x14ac:dyDescent="0.25">
      <c r="A558" s="46"/>
      <c r="B558" s="114"/>
      <c r="C558" s="48"/>
      <c r="D558" s="115"/>
      <c r="E558" s="26" t="str">
        <f t="shared" si="22"/>
        <v/>
      </c>
      <c r="F558" s="116"/>
      <c r="G558" s="116"/>
      <c r="H558" s="52"/>
      <c r="I558" s="126"/>
      <c r="J558" s="139"/>
      <c r="K558" s="126"/>
      <c r="L558" s="126"/>
      <c r="M558" s="56"/>
      <c r="N558" s="118"/>
      <c r="O558" s="55"/>
      <c r="P558" s="53"/>
      <c r="Q558" s="55"/>
      <c r="R558" s="49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</row>
    <row r="559" spans="1:41" ht="13.8" x14ac:dyDescent="0.25">
      <c r="A559" s="46"/>
      <c r="B559" s="114"/>
      <c r="C559" s="48"/>
      <c r="D559" s="115"/>
      <c r="E559" s="26" t="str">
        <f t="shared" si="22"/>
        <v/>
      </c>
      <c r="F559" s="116"/>
      <c r="G559" s="116"/>
      <c r="H559" s="52"/>
      <c r="I559" s="126"/>
      <c r="J559" s="139"/>
      <c r="K559" s="126"/>
      <c r="L559" s="126"/>
      <c r="M559" s="56"/>
      <c r="N559" s="118"/>
      <c r="O559" s="55"/>
      <c r="P559" s="53"/>
      <c r="Q559" s="55"/>
      <c r="R559" s="49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</row>
    <row r="560" spans="1:41" ht="13.8" x14ac:dyDescent="0.25">
      <c r="A560" s="46"/>
      <c r="B560" s="114"/>
      <c r="C560" s="48"/>
      <c r="D560" s="115"/>
      <c r="E560" s="26" t="str">
        <f t="shared" si="22"/>
        <v/>
      </c>
      <c r="F560" s="116"/>
      <c r="G560" s="116"/>
      <c r="H560" s="52"/>
      <c r="I560" s="126"/>
      <c r="J560" s="139"/>
      <c r="K560" s="126"/>
      <c r="L560" s="126"/>
      <c r="M560" s="56"/>
      <c r="N560" s="118"/>
      <c r="O560" s="55"/>
      <c r="P560" s="53"/>
      <c r="Q560" s="55"/>
      <c r="R560" s="49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</row>
    <row r="561" spans="1:41" ht="13.8" x14ac:dyDescent="0.25">
      <c r="A561" s="46"/>
      <c r="B561" s="114"/>
      <c r="C561" s="48"/>
      <c r="D561" s="115"/>
      <c r="E561" s="26" t="str">
        <f t="shared" si="22"/>
        <v/>
      </c>
      <c r="F561" s="116"/>
      <c r="G561" s="116"/>
      <c r="H561" s="52"/>
      <c r="I561" s="126"/>
      <c r="J561" s="139"/>
      <c r="K561" s="126"/>
      <c r="L561" s="126"/>
      <c r="M561" s="56"/>
      <c r="N561" s="118"/>
      <c r="O561" s="55"/>
      <c r="P561" s="53"/>
      <c r="Q561" s="55"/>
      <c r="R561" s="49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</row>
    <row r="562" spans="1:41" ht="13.8" x14ac:dyDescent="0.25">
      <c r="A562" s="46"/>
      <c r="B562" s="114"/>
      <c r="C562" s="48"/>
      <c r="D562" s="115"/>
      <c r="E562" s="26" t="str">
        <f t="shared" si="22"/>
        <v/>
      </c>
      <c r="F562" s="116"/>
      <c r="G562" s="116"/>
      <c r="H562" s="52"/>
      <c r="I562" s="126"/>
      <c r="J562" s="139"/>
      <c r="K562" s="126"/>
      <c r="L562" s="126"/>
      <c r="M562" s="56"/>
      <c r="N562" s="118"/>
      <c r="O562" s="55"/>
      <c r="P562" s="53"/>
      <c r="Q562" s="55"/>
      <c r="R562" s="49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</row>
    <row r="563" spans="1:41" ht="13.8" x14ac:dyDescent="0.25">
      <c r="A563" s="46"/>
      <c r="B563" s="114"/>
      <c r="C563" s="48"/>
      <c r="D563" s="115"/>
      <c r="E563" s="26" t="str">
        <f t="shared" si="22"/>
        <v/>
      </c>
      <c r="F563" s="116"/>
      <c r="G563" s="116"/>
      <c r="H563" s="52"/>
      <c r="I563" s="126"/>
      <c r="J563" s="139"/>
      <c r="K563" s="126"/>
      <c r="L563" s="126"/>
      <c r="M563" s="56"/>
      <c r="N563" s="118"/>
      <c r="O563" s="55"/>
      <c r="P563" s="53"/>
      <c r="Q563" s="55"/>
      <c r="R563" s="49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</row>
    <row r="564" spans="1:41" ht="13.8" x14ac:dyDescent="0.25">
      <c r="A564" s="46"/>
      <c r="B564" s="114"/>
      <c r="C564" s="48"/>
      <c r="D564" s="115"/>
      <c r="E564" s="26" t="str">
        <f t="shared" si="22"/>
        <v/>
      </c>
      <c r="F564" s="116"/>
      <c r="G564" s="116"/>
      <c r="H564" s="52"/>
      <c r="I564" s="126"/>
      <c r="J564" s="139"/>
      <c r="K564" s="126"/>
      <c r="L564" s="126"/>
      <c r="M564" s="56"/>
      <c r="N564" s="118"/>
      <c r="O564" s="55"/>
      <c r="P564" s="53"/>
      <c r="Q564" s="55"/>
      <c r="R564" s="49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</row>
    <row r="565" spans="1:41" ht="13.8" x14ac:dyDescent="0.25">
      <c r="A565" s="46"/>
      <c r="B565" s="114"/>
      <c r="C565" s="48"/>
      <c r="D565" s="115"/>
      <c r="E565" s="26" t="str">
        <f t="shared" si="22"/>
        <v/>
      </c>
      <c r="F565" s="116"/>
      <c r="G565" s="116"/>
      <c r="H565" s="52"/>
      <c r="I565" s="126"/>
      <c r="J565" s="139"/>
      <c r="K565" s="126"/>
      <c r="L565" s="126"/>
      <c r="M565" s="56"/>
      <c r="N565" s="118"/>
      <c r="O565" s="55"/>
      <c r="P565" s="53"/>
      <c r="Q565" s="55"/>
      <c r="R565" s="49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</row>
    <row r="566" spans="1:41" ht="13.8" x14ac:dyDescent="0.25">
      <c r="A566" s="46"/>
      <c r="B566" s="114"/>
      <c r="C566" s="48"/>
      <c r="D566" s="115"/>
      <c r="E566" s="26" t="str">
        <f t="shared" si="22"/>
        <v/>
      </c>
      <c r="F566" s="116"/>
      <c r="G566" s="116"/>
      <c r="H566" s="52"/>
      <c r="I566" s="126"/>
      <c r="J566" s="139"/>
      <c r="K566" s="126"/>
      <c r="L566" s="126"/>
      <c r="M566" s="56"/>
      <c r="N566" s="118"/>
      <c r="O566" s="55"/>
      <c r="P566" s="53"/>
      <c r="Q566" s="55"/>
      <c r="R566" s="49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</row>
    <row r="567" spans="1:41" ht="13.8" x14ac:dyDescent="0.25">
      <c r="A567" s="46"/>
      <c r="B567" s="114"/>
      <c r="C567" s="48"/>
      <c r="D567" s="115"/>
      <c r="E567" s="26" t="str">
        <f t="shared" si="22"/>
        <v/>
      </c>
      <c r="F567" s="116"/>
      <c r="G567" s="116"/>
      <c r="H567" s="52"/>
      <c r="I567" s="126"/>
      <c r="J567" s="139"/>
      <c r="K567" s="126"/>
      <c r="L567" s="126"/>
      <c r="M567" s="56"/>
      <c r="N567" s="118"/>
      <c r="O567" s="55"/>
      <c r="P567" s="53"/>
      <c r="Q567" s="55"/>
      <c r="R567" s="49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</row>
    <row r="568" spans="1:41" ht="13.8" x14ac:dyDescent="0.25">
      <c r="A568" s="46"/>
      <c r="B568" s="114"/>
      <c r="C568" s="48"/>
      <c r="D568" s="115"/>
      <c r="E568" s="26" t="str">
        <f t="shared" si="22"/>
        <v/>
      </c>
      <c r="F568" s="116"/>
      <c r="G568" s="116"/>
      <c r="H568" s="52"/>
      <c r="I568" s="126"/>
      <c r="J568" s="139"/>
      <c r="K568" s="126"/>
      <c r="L568" s="126"/>
      <c r="M568" s="56"/>
      <c r="N568" s="118"/>
      <c r="O568" s="55"/>
      <c r="P568" s="53"/>
      <c r="Q568" s="55"/>
      <c r="R568" s="49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</row>
    <row r="569" spans="1:41" ht="13.8" x14ac:dyDescent="0.25">
      <c r="A569" s="46"/>
      <c r="B569" s="114"/>
      <c r="C569" s="48"/>
      <c r="D569" s="115"/>
      <c r="E569" s="26" t="str">
        <f t="shared" si="22"/>
        <v/>
      </c>
      <c r="F569" s="116"/>
      <c r="G569" s="116"/>
      <c r="H569" s="52"/>
      <c r="I569" s="126"/>
      <c r="J569" s="139"/>
      <c r="K569" s="126"/>
      <c r="L569" s="126"/>
      <c r="M569" s="56"/>
      <c r="N569" s="118"/>
      <c r="O569" s="55"/>
      <c r="P569" s="53"/>
      <c r="Q569" s="55"/>
      <c r="R569" s="49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</row>
    <row r="570" spans="1:41" ht="13.8" x14ac:dyDescent="0.25">
      <c r="A570" s="46"/>
      <c r="B570" s="114"/>
      <c r="C570" s="48"/>
      <c r="D570" s="115"/>
      <c r="E570" s="26" t="str">
        <f t="shared" si="22"/>
        <v/>
      </c>
      <c r="F570" s="116"/>
      <c r="G570" s="116"/>
      <c r="H570" s="52"/>
      <c r="I570" s="126"/>
      <c r="J570" s="139"/>
      <c r="K570" s="126"/>
      <c r="L570" s="126"/>
      <c r="M570" s="56"/>
      <c r="N570" s="118"/>
      <c r="O570" s="55"/>
      <c r="P570" s="53"/>
      <c r="Q570" s="55"/>
      <c r="R570" s="49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</row>
    <row r="571" spans="1:41" ht="13.8" x14ac:dyDescent="0.25">
      <c r="A571" s="46"/>
      <c r="B571" s="114"/>
      <c r="C571" s="48"/>
      <c r="D571" s="115"/>
      <c r="E571" s="26" t="str">
        <f t="shared" si="22"/>
        <v/>
      </c>
      <c r="F571" s="116"/>
      <c r="G571" s="116"/>
      <c r="H571" s="52"/>
      <c r="I571" s="126"/>
      <c r="J571" s="139"/>
      <c r="K571" s="126"/>
      <c r="L571" s="126"/>
      <c r="M571" s="56"/>
      <c r="N571" s="118"/>
      <c r="O571" s="55"/>
      <c r="P571" s="53"/>
      <c r="Q571" s="55"/>
      <c r="R571" s="49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</row>
    <row r="572" spans="1:41" ht="13.8" x14ac:dyDescent="0.25">
      <c r="A572" s="46"/>
      <c r="B572" s="114"/>
      <c r="C572" s="48"/>
      <c r="D572" s="115"/>
      <c r="E572" s="26" t="str">
        <f t="shared" si="22"/>
        <v/>
      </c>
      <c r="F572" s="116"/>
      <c r="G572" s="116"/>
      <c r="H572" s="52"/>
      <c r="I572" s="126"/>
      <c r="J572" s="139"/>
      <c r="K572" s="126"/>
      <c r="L572" s="126"/>
      <c r="M572" s="56"/>
      <c r="N572" s="118"/>
      <c r="O572" s="55"/>
      <c r="P572" s="53"/>
      <c r="Q572" s="55"/>
      <c r="R572" s="49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</row>
    <row r="573" spans="1:41" ht="13.8" x14ac:dyDescent="0.25">
      <c r="A573" s="46"/>
      <c r="B573" s="114"/>
      <c r="C573" s="48"/>
      <c r="D573" s="115"/>
      <c r="E573" s="26" t="str">
        <f t="shared" si="22"/>
        <v/>
      </c>
      <c r="F573" s="116"/>
      <c r="G573" s="116"/>
      <c r="H573" s="52"/>
      <c r="I573" s="126"/>
      <c r="J573" s="139"/>
      <c r="K573" s="126"/>
      <c r="L573" s="126"/>
      <c r="M573" s="56"/>
      <c r="N573" s="118"/>
      <c r="O573" s="55"/>
      <c r="P573" s="53"/>
      <c r="Q573" s="55"/>
      <c r="R573" s="49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</row>
    <row r="574" spans="1:41" ht="13.8" x14ac:dyDescent="0.25">
      <c r="A574" s="46"/>
      <c r="B574" s="114"/>
      <c r="C574" s="48"/>
      <c r="D574" s="115"/>
      <c r="E574" s="26" t="str">
        <f t="shared" si="22"/>
        <v/>
      </c>
      <c r="F574" s="116"/>
      <c r="G574" s="116"/>
      <c r="H574" s="52"/>
      <c r="I574" s="126"/>
      <c r="J574" s="139"/>
      <c r="K574" s="126"/>
      <c r="L574" s="126"/>
      <c r="M574" s="56"/>
      <c r="N574" s="118"/>
      <c r="O574" s="55"/>
      <c r="P574" s="53"/>
      <c r="Q574" s="55"/>
      <c r="R574" s="49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</row>
    <row r="575" spans="1:41" ht="13.8" x14ac:dyDescent="0.25">
      <c r="A575" s="46"/>
      <c r="B575" s="114"/>
      <c r="C575" s="48"/>
      <c r="D575" s="115"/>
      <c r="E575" s="26" t="str">
        <f t="shared" si="22"/>
        <v/>
      </c>
      <c r="F575" s="116"/>
      <c r="G575" s="116"/>
      <c r="H575" s="52"/>
      <c r="I575" s="126"/>
      <c r="J575" s="139"/>
      <c r="K575" s="126"/>
      <c r="L575" s="126"/>
      <c r="M575" s="56"/>
      <c r="N575" s="118"/>
      <c r="O575" s="55"/>
      <c r="P575" s="53"/>
      <c r="Q575" s="55"/>
      <c r="R575" s="49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</row>
    <row r="576" spans="1:41" ht="13.8" x14ac:dyDescent="0.25">
      <c r="A576" s="46"/>
      <c r="B576" s="114"/>
      <c r="C576" s="48"/>
      <c r="D576" s="115"/>
      <c r="E576" s="26" t="str">
        <f t="shared" si="22"/>
        <v/>
      </c>
      <c r="F576" s="116"/>
      <c r="G576" s="116"/>
      <c r="H576" s="52"/>
      <c r="I576" s="126"/>
      <c r="J576" s="139"/>
      <c r="K576" s="126"/>
      <c r="L576" s="126"/>
      <c r="M576" s="56"/>
      <c r="N576" s="118"/>
      <c r="O576" s="55"/>
      <c r="P576" s="53"/>
      <c r="Q576" s="55"/>
      <c r="R576" s="49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</row>
    <row r="577" spans="1:41" ht="13.8" x14ac:dyDescent="0.25">
      <c r="A577" s="46"/>
      <c r="B577" s="114"/>
      <c r="C577" s="48"/>
      <c r="D577" s="115"/>
      <c r="E577" s="26" t="str">
        <f t="shared" si="22"/>
        <v/>
      </c>
      <c r="F577" s="116"/>
      <c r="G577" s="116"/>
      <c r="H577" s="52"/>
      <c r="I577" s="126"/>
      <c r="J577" s="139"/>
      <c r="K577" s="126"/>
      <c r="L577" s="126"/>
      <c r="M577" s="56"/>
      <c r="N577" s="118"/>
      <c r="O577" s="55"/>
      <c r="P577" s="53"/>
      <c r="Q577" s="55"/>
      <c r="R577" s="49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</row>
    <row r="578" spans="1:41" ht="13.8" x14ac:dyDescent="0.25">
      <c r="A578" s="46"/>
      <c r="B578" s="114"/>
      <c r="C578" s="48"/>
      <c r="D578" s="115"/>
      <c r="E578" s="26" t="str">
        <f t="shared" si="22"/>
        <v/>
      </c>
      <c r="F578" s="116"/>
      <c r="G578" s="116"/>
      <c r="H578" s="52"/>
      <c r="I578" s="126"/>
      <c r="J578" s="139"/>
      <c r="K578" s="126"/>
      <c r="L578" s="126"/>
      <c r="M578" s="56"/>
      <c r="N578" s="118"/>
      <c r="O578" s="55"/>
      <c r="P578" s="53"/>
      <c r="Q578" s="55"/>
      <c r="R578" s="49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</row>
    <row r="579" spans="1:41" ht="13.8" x14ac:dyDescent="0.25">
      <c r="A579" s="46"/>
      <c r="B579" s="114"/>
      <c r="C579" s="48"/>
      <c r="D579" s="115"/>
      <c r="E579" s="26" t="str">
        <f t="shared" si="22"/>
        <v/>
      </c>
      <c r="F579" s="116"/>
      <c r="G579" s="116"/>
      <c r="H579" s="52"/>
      <c r="I579" s="126"/>
      <c r="J579" s="139"/>
      <c r="K579" s="126"/>
      <c r="L579" s="126"/>
      <c r="M579" s="56"/>
      <c r="N579" s="118"/>
      <c r="O579" s="55"/>
      <c r="P579" s="53"/>
      <c r="Q579" s="55"/>
      <c r="R579" s="49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</row>
    <row r="580" spans="1:41" ht="13.8" x14ac:dyDescent="0.25">
      <c r="A580" s="46"/>
      <c r="B580" s="114"/>
      <c r="C580" s="48"/>
      <c r="D580" s="115"/>
      <c r="E580" s="26" t="str">
        <f t="shared" si="22"/>
        <v/>
      </c>
      <c r="F580" s="116"/>
      <c r="G580" s="116"/>
      <c r="H580" s="52"/>
      <c r="I580" s="126"/>
      <c r="J580" s="139"/>
      <c r="K580" s="126"/>
      <c r="L580" s="126"/>
      <c r="M580" s="56"/>
      <c r="N580" s="118"/>
      <c r="O580" s="55"/>
      <c r="P580" s="53"/>
      <c r="Q580" s="55"/>
      <c r="R580" s="49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</row>
    <row r="581" spans="1:41" ht="13.8" x14ac:dyDescent="0.25">
      <c r="A581" s="46"/>
      <c r="B581" s="114"/>
      <c r="C581" s="48"/>
      <c r="D581" s="115"/>
      <c r="E581" s="26" t="str">
        <f t="shared" si="22"/>
        <v/>
      </c>
      <c r="F581" s="116"/>
      <c r="G581" s="116"/>
      <c r="H581" s="52"/>
      <c r="I581" s="126"/>
      <c r="J581" s="139"/>
      <c r="K581" s="126"/>
      <c r="L581" s="126"/>
      <c r="M581" s="56"/>
      <c r="N581" s="118"/>
      <c r="O581" s="55"/>
      <c r="P581" s="53"/>
      <c r="Q581" s="55"/>
      <c r="R581" s="49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</row>
    <row r="582" spans="1:41" ht="13.8" x14ac:dyDescent="0.25">
      <c r="A582" s="46"/>
      <c r="B582" s="114"/>
      <c r="C582" s="48"/>
      <c r="D582" s="115"/>
      <c r="E582" s="26" t="str">
        <f t="shared" si="22"/>
        <v/>
      </c>
      <c r="F582" s="116"/>
      <c r="G582" s="116"/>
      <c r="H582" s="52"/>
      <c r="I582" s="126"/>
      <c r="J582" s="139"/>
      <c r="K582" s="126"/>
      <c r="L582" s="126"/>
      <c r="M582" s="56"/>
      <c r="N582" s="118"/>
      <c r="O582" s="55"/>
      <c r="P582" s="53"/>
      <c r="Q582" s="55"/>
      <c r="R582" s="49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</row>
    <row r="583" spans="1:41" ht="13.8" x14ac:dyDescent="0.25">
      <c r="A583" s="46"/>
      <c r="B583" s="114"/>
      <c r="C583" s="48"/>
      <c r="D583" s="115"/>
      <c r="E583" s="26" t="str">
        <f t="shared" si="22"/>
        <v/>
      </c>
      <c r="F583" s="116"/>
      <c r="G583" s="116"/>
      <c r="H583" s="52"/>
      <c r="I583" s="126"/>
      <c r="J583" s="139"/>
      <c r="K583" s="126"/>
      <c r="L583" s="126"/>
      <c r="M583" s="56"/>
      <c r="N583" s="118"/>
      <c r="O583" s="55"/>
      <c r="P583" s="53"/>
      <c r="Q583" s="55"/>
      <c r="R583" s="49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</row>
    <row r="584" spans="1:41" ht="13.8" x14ac:dyDescent="0.25">
      <c r="A584" s="46"/>
      <c r="B584" s="114"/>
      <c r="C584" s="48"/>
      <c r="D584" s="115"/>
      <c r="E584" s="26" t="str">
        <f t="shared" si="22"/>
        <v/>
      </c>
      <c r="F584" s="116"/>
      <c r="G584" s="116"/>
      <c r="H584" s="52"/>
      <c r="I584" s="126"/>
      <c r="J584" s="139"/>
      <c r="K584" s="126"/>
      <c r="L584" s="126"/>
      <c r="M584" s="56"/>
      <c r="N584" s="118"/>
      <c r="O584" s="55"/>
      <c r="P584" s="53"/>
      <c r="Q584" s="55"/>
      <c r="R584" s="49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</row>
    <row r="585" spans="1:41" ht="13.8" x14ac:dyDescent="0.25">
      <c r="A585" s="46"/>
      <c r="B585" s="114"/>
      <c r="C585" s="48"/>
      <c r="D585" s="115"/>
      <c r="E585" s="26" t="str">
        <f t="shared" si="22"/>
        <v/>
      </c>
      <c r="F585" s="116"/>
      <c r="G585" s="116"/>
      <c r="H585" s="52"/>
      <c r="I585" s="126"/>
      <c r="J585" s="139"/>
      <c r="K585" s="126"/>
      <c r="L585" s="126"/>
      <c r="M585" s="56"/>
      <c r="N585" s="118"/>
      <c r="O585" s="55"/>
      <c r="P585" s="53"/>
      <c r="Q585" s="55"/>
      <c r="R585" s="49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</row>
    <row r="586" spans="1:41" ht="13.8" x14ac:dyDescent="0.25">
      <c r="A586" s="46"/>
      <c r="B586" s="114"/>
      <c r="C586" s="48"/>
      <c r="D586" s="115"/>
      <c r="E586" s="26" t="str">
        <f t="shared" si="22"/>
        <v/>
      </c>
      <c r="F586" s="116"/>
      <c r="G586" s="116"/>
      <c r="H586" s="52"/>
      <c r="I586" s="126"/>
      <c r="J586" s="139"/>
      <c r="K586" s="126"/>
      <c r="L586" s="126"/>
      <c r="M586" s="56"/>
      <c r="N586" s="118"/>
      <c r="O586" s="55"/>
      <c r="P586" s="53"/>
      <c r="Q586" s="55"/>
      <c r="R586" s="49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</row>
    <row r="587" spans="1:41" ht="13.8" x14ac:dyDescent="0.25">
      <c r="A587" s="46"/>
      <c r="B587" s="114"/>
      <c r="C587" s="48"/>
      <c r="D587" s="115"/>
      <c r="E587" s="26" t="str">
        <f t="shared" si="22"/>
        <v/>
      </c>
      <c r="F587" s="116"/>
      <c r="G587" s="116"/>
      <c r="H587" s="52"/>
      <c r="I587" s="126"/>
      <c r="J587" s="139"/>
      <c r="K587" s="126"/>
      <c r="L587" s="126"/>
      <c r="M587" s="56"/>
      <c r="N587" s="118"/>
      <c r="O587" s="55"/>
      <c r="P587" s="53"/>
      <c r="Q587" s="55"/>
      <c r="R587" s="49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</row>
    <row r="588" spans="1:41" ht="13.8" x14ac:dyDescent="0.25">
      <c r="A588" s="46"/>
      <c r="B588" s="114"/>
      <c r="C588" s="48"/>
      <c r="D588" s="115"/>
      <c r="E588" s="26" t="str">
        <f t="shared" si="22"/>
        <v/>
      </c>
      <c r="F588" s="116"/>
      <c r="G588" s="116"/>
      <c r="H588" s="52"/>
      <c r="I588" s="126"/>
      <c r="J588" s="139"/>
      <c r="K588" s="126"/>
      <c r="L588" s="126"/>
      <c r="M588" s="56"/>
      <c r="N588" s="118"/>
      <c r="O588" s="55"/>
      <c r="P588" s="53"/>
      <c r="Q588" s="55"/>
      <c r="R588" s="49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</row>
    <row r="589" spans="1:41" ht="13.8" x14ac:dyDescent="0.25">
      <c r="A589" s="46"/>
      <c r="B589" s="114"/>
      <c r="C589" s="48"/>
      <c r="D589" s="115"/>
      <c r="E589" s="26" t="str">
        <f t="shared" si="22"/>
        <v/>
      </c>
      <c r="F589" s="116"/>
      <c r="G589" s="116"/>
      <c r="H589" s="52"/>
      <c r="I589" s="126"/>
      <c r="J589" s="139"/>
      <c r="K589" s="126"/>
      <c r="L589" s="126"/>
      <c r="M589" s="56"/>
      <c r="N589" s="118"/>
      <c r="O589" s="55"/>
      <c r="P589" s="53"/>
      <c r="Q589" s="55"/>
      <c r="R589" s="49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</row>
    <row r="590" spans="1:41" ht="13.8" x14ac:dyDescent="0.25">
      <c r="A590" s="46"/>
      <c r="B590" s="114"/>
      <c r="C590" s="48"/>
      <c r="D590" s="115"/>
      <c r="E590" s="26" t="str">
        <f t="shared" si="22"/>
        <v/>
      </c>
      <c r="F590" s="116"/>
      <c r="G590" s="116"/>
      <c r="H590" s="52"/>
      <c r="I590" s="126"/>
      <c r="J590" s="139"/>
      <c r="K590" s="126"/>
      <c r="L590" s="126"/>
      <c r="M590" s="56"/>
      <c r="N590" s="118"/>
      <c r="O590" s="55"/>
      <c r="P590" s="53"/>
      <c r="Q590" s="55"/>
      <c r="R590" s="49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</row>
    <row r="591" spans="1:41" ht="13.8" x14ac:dyDescent="0.25">
      <c r="A591" s="46"/>
      <c r="B591" s="114"/>
      <c r="C591" s="48"/>
      <c r="D591" s="115"/>
      <c r="E591" s="26" t="str">
        <f t="shared" si="22"/>
        <v/>
      </c>
      <c r="F591" s="116"/>
      <c r="G591" s="116"/>
      <c r="H591" s="52"/>
      <c r="I591" s="126"/>
      <c r="J591" s="139"/>
      <c r="K591" s="126"/>
      <c r="L591" s="126"/>
      <c r="M591" s="56"/>
      <c r="N591" s="118"/>
      <c r="O591" s="55"/>
      <c r="P591" s="53"/>
      <c r="Q591" s="55"/>
      <c r="R591" s="49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</row>
    <row r="592" spans="1:41" ht="13.8" x14ac:dyDescent="0.25">
      <c r="A592" s="46"/>
      <c r="B592" s="114"/>
      <c r="C592" s="48"/>
      <c r="D592" s="115"/>
      <c r="E592" s="26" t="str">
        <f t="shared" si="22"/>
        <v/>
      </c>
      <c r="F592" s="116"/>
      <c r="G592" s="116"/>
      <c r="H592" s="52"/>
      <c r="I592" s="126"/>
      <c r="J592" s="139"/>
      <c r="K592" s="126"/>
      <c r="L592" s="126"/>
      <c r="M592" s="56"/>
      <c r="N592" s="118"/>
      <c r="O592" s="55"/>
      <c r="P592" s="53"/>
      <c r="Q592" s="55"/>
      <c r="R592" s="49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</row>
    <row r="593" spans="1:41" ht="13.8" x14ac:dyDescent="0.25">
      <c r="A593" s="46"/>
      <c r="B593" s="114"/>
      <c r="C593" s="48"/>
      <c r="D593" s="115"/>
      <c r="E593" s="26" t="str">
        <f t="shared" si="22"/>
        <v/>
      </c>
      <c r="F593" s="116"/>
      <c r="G593" s="116"/>
      <c r="H593" s="52"/>
      <c r="I593" s="126"/>
      <c r="J593" s="139"/>
      <c r="K593" s="126"/>
      <c r="L593" s="126"/>
      <c r="M593" s="56"/>
      <c r="N593" s="118"/>
      <c r="O593" s="55"/>
      <c r="P593" s="53"/>
      <c r="Q593" s="55"/>
      <c r="R593" s="49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</row>
    <row r="594" spans="1:41" ht="13.8" x14ac:dyDescent="0.25">
      <c r="A594" s="46"/>
      <c r="B594" s="114"/>
      <c r="C594" s="48"/>
      <c r="D594" s="115"/>
      <c r="E594" s="26" t="str">
        <f t="shared" si="22"/>
        <v/>
      </c>
      <c r="F594" s="116"/>
      <c r="G594" s="116"/>
      <c r="H594" s="52"/>
      <c r="I594" s="126"/>
      <c r="J594" s="139"/>
      <c r="K594" s="126"/>
      <c r="L594" s="126"/>
      <c r="M594" s="56"/>
      <c r="N594" s="118"/>
      <c r="O594" s="55"/>
      <c r="P594" s="53"/>
      <c r="Q594" s="55"/>
      <c r="R594" s="49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</row>
    <row r="595" spans="1:41" ht="13.8" x14ac:dyDescent="0.25">
      <c r="A595" s="46"/>
      <c r="B595" s="114"/>
      <c r="C595" s="48"/>
      <c r="D595" s="115"/>
      <c r="E595" s="26" t="str">
        <f t="shared" si="22"/>
        <v/>
      </c>
      <c r="F595" s="116"/>
      <c r="G595" s="116"/>
      <c r="H595" s="52"/>
      <c r="I595" s="126"/>
      <c r="J595" s="139"/>
      <c r="K595" s="126"/>
      <c r="L595" s="126"/>
      <c r="M595" s="56"/>
      <c r="N595" s="118"/>
      <c r="O595" s="55"/>
      <c r="P595" s="53"/>
      <c r="Q595" s="55"/>
      <c r="R595" s="49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</row>
    <row r="596" spans="1:41" ht="13.8" x14ac:dyDescent="0.25">
      <c r="A596" s="46"/>
      <c r="B596" s="114"/>
      <c r="C596" s="48"/>
      <c r="D596" s="115"/>
      <c r="E596" s="26" t="str">
        <f t="shared" si="22"/>
        <v/>
      </c>
      <c r="F596" s="116"/>
      <c r="G596" s="116"/>
      <c r="H596" s="52"/>
      <c r="I596" s="126"/>
      <c r="J596" s="139"/>
      <c r="K596" s="126"/>
      <c r="L596" s="126"/>
      <c r="M596" s="56"/>
      <c r="N596" s="118"/>
      <c r="O596" s="55"/>
      <c r="P596" s="53"/>
      <c r="Q596" s="55"/>
      <c r="R596" s="49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</row>
    <row r="597" spans="1:41" ht="13.8" x14ac:dyDescent="0.25">
      <c r="A597" s="46"/>
      <c r="B597" s="114"/>
      <c r="C597" s="48"/>
      <c r="D597" s="115"/>
      <c r="E597" s="26" t="str">
        <f t="shared" si="22"/>
        <v/>
      </c>
      <c r="F597" s="116"/>
      <c r="G597" s="116"/>
      <c r="H597" s="52"/>
      <c r="I597" s="126"/>
      <c r="J597" s="139"/>
      <c r="K597" s="126"/>
      <c r="L597" s="126"/>
      <c r="M597" s="56"/>
      <c r="N597" s="118"/>
      <c r="O597" s="55"/>
      <c r="P597" s="53"/>
      <c r="Q597" s="55"/>
      <c r="R597" s="49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</row>
    <row r="598" spans="1:41" ht="13.8" x14ac:dyDescent="0.25">
      <c r="A598" s="46"/>
      <c r="B598" s="114"/>
      <c r="C598" s="48"/>
      <c r="D598" s="115"/>
      <c r="E598" s="26" t="str">
        <f t="shared" si="22"/>
        <v/>
      </c>
      <c r="F598" s="116"/>
      <c r="G598" s="116"/>
      <c r="H598" s="52"/>
      <c r="I598" s="126"/>
      <c r="J598" s="139"/>
      <c r="K598" s="126"/>
      <c r="L598" s="126"/>
      <c r="M598" s="56"/>
      <c r="N598" s="118"/>
      <c r="O598" s="55"/>
      <c r="P598" s="53"/>
      <c r="Q598" s="55"/>
      <c r="R598" s="49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</row>
    <row r="599" spans="1:41" ht="13.8" x14ac:dyDescent="0.25">
      <c r="A599" s="46"/>
      <c r="B599" s="114"/>
      <c r="C599" s="48"/>
      <c r="D599" s="115"/>
      <c r="E599" s="26" t="str">
        <f t="shared" si="22"/>
        <v/>
      </c>
      <c r="F599" s="116"/>
      <c r="G599" s="116"/>
      <c r="H599" s="52"/>
      <c r="I599" s="126"/>
      <c r="J599" s="139"/>
      <c r="K599" s="126"/>
      <c r="L599" s="126"/>
      <c r="M599" s="56"/>
      <c r="N599" s="118"/>
      <c r="O599" s="55"/>
      <c r="P599" s="53"/>
      <c r="Q599" s="55"/>
      <c r="R599" s="49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</row>
    <row r="600" spans="1:41" ht="13.8" x14ac:dyDescent="0.25">
      <c r="A600" s="46"/>
      <c r="B600" s="114"/>
      <c r="C600" s="48"/>
      <c r="D600" s="115"/>
      <c r="E600" s="26" t="str">
        <f t="shared" si="22"/>
        <v/>
      </c>
      <c r="F600" s="116"/>
      <c r="G600" s="116"/>
      <c r="H600" s="52"/>
      <c r="I600" s="126"/>
      <c r="J600" s="139"/>
      <c r="K600" s="126"/>
      <c r="L600" s="126"/>
      <c r="M600" s="56"/>
      <c r="N600" s="118"/>
      <c r="O600" s="55"/>
      <c r="P600" s="53"/>
      <c r="Q600" s="55"/>
      <c r="R600" s="49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</row>
    <row r="601" spans="1:41" ht="13.8" x14ac:dyDescent="0.25">
      <c r="A601" s="46"/>
      <c r="B601" s="114"/>
      <c r="C601" s="48"/>
      <c r="D601" s="115"/>
      <c r="E601" s="26" t="str">
        <f t="shared" si="22"/>
        <v/>
      </c>
      <c r="F601" s="116"/>
      <c r="G601" s="116"/>
      <c r="H601" s="52"/>
      <c r="I601" s="126"/>
      <c r="J601" s="139"/>
      <c r="K601" s="126"/>
      <c r="L601" s="126"/>
      <c r="M601" s="56"/>
      <c r="N601" s="118"/>
      <c r="O601" s="55"/>
      <c r="P601" s="53"/>
      <c r="Q601" s="55"/>
      <c r="R601" s="49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</row>
    <row r="602" spans="1:41" ht="13.8" x14ac:dyDescent="0.25">
      <c r="A602" s="46"/>
      <c r="B602" s="114"/>
      <c r="C602" s="48"/>
      <c r="D602" s="115"/>
      <c r="E602" s="26" t="str">
        <f t="shared" si="22"/>
        <v/>
      </c>
      <c r="F602" s="116"/>
      <c r="G602" s="116"/>
      <c r="H602" s="52"/>
      <c r="I602" s="126"/>
      <c r="J602" s="139"/>
      <c r="K602" s="126"/>
      <c r="L602" s="126"/>
      <c r="M602" s="56"/>
      <c r="N602" s="118"/>
      <c r="O602" s="55"/>
      <c r="P602" s="53"/>
      <c r="Q602" s="55"/>
      <c r="R602" s="49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</row>
    <row r="603" spans="1:41" ht="13.8" x14ac:dyDescent="0.25">
      <c r="A603" s="46"/>
      <c r="B603" s="114"/>
      <c r="C603" s="48"/>
      <c r="D603" s="115"/>
      <c r="E603" s="26" t="str">
        <f t="shared" si="22"/>
        <v/>
      </c>
      <c r="F603" s="116"/>
      <c r="G603" s="116"/>
      <c r="H603" s="52"/>
      <c r="I603" s="126"/>
      <c r="J603" s="139"/>
      <c r="K603" s="126"/>
      <c r="L603" s="126"/>
      <c r="M603" s="56"/>
      <c r="N603" s="118"/>
      <c r="O603" s="55"/>
      <c r="P603" s="53"/>
      <c r="Q603" s="55"/>
      <c r="R603" s="49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</row>
    <row r="604" spans="1:41" ht="13.8" x14ac:dyDescent="0.25">
      <c r="A604" s="46"/>
      <c r="B604" s="114"/>
      <c r="C604" s="48"/>
      <c r="D604" s="115"/>
      <c r="E604" s="26" t="str">
        <f t="shared" si="22"/>
        <v/>
      </c>
      <c r="F604" s="116"/>
      <c r="G604" s="116"/>
      <c r="H604" s="52"/>
      <c r="I604" s="126"/>
      <c r="J604" s="139"/>
      <c r="K604" s="126"/>
      <c r="L604" s="126"/>
      <c r="M604" s="56"/>
      <c r="N604" s="118"/>
      <c r="O604" s="55"/>
      <c r="P604" s="53"/>
      <c r="Q604" s="55"/>
      <c r="R604" s="49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</row>
    <row r="605" spans="1:41" ht="13.8" x14ac:dyDescent="0.25">
      <c r="A605" s="46"/>
      <c r="B605" s="114"/>
      <c r="C605" s="48"/>
      <c r="D605" s="115"/>
      <c r="E605" s="26" t="str">
        <f t="shared" si="22"/>
        <v/>
      </c>
      <c r="F605" s="116"/>
      <c r="G605" s="116"/>
      <c r="H605" s="52"/>
      <c r="I605" s="126"/>
      <c r="J605" s="139"/>
      <c r="K605" s="126"/>
      <c r="L605" s="126"/>
      <c r="M605" s="56"/>
      <c r="N605" s="118"/>
      <c r="O605" s="55"/>
      <c r="P605" s="53"/>
      <c r="Q605" s="55"/>
      <c r="R605" s="49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</row>
    <row r="606" spans="1:41" ht="13.8" x14ac:dyDescent="0.25">
      <c r="A606" s="46"/>
      <c r="B606" s="114"/>
      <c r="C606" s="48"/>
      <c r="D606" s="115"/>
      <c r="E606" s="26" t="str">
        <f t="shared" si="22"/>
        <v/>
      </c>
      <c r="F606" s="116"/>
      <c r="G606" s="116"/>
      <c r="H606" s="52"/>
      <c r="I606" s="126"/>
      <c r="J606" s="139"/>
      <c r="K606" s="126"/>
      <c r="L606" s="126"/>
      <c r="M606" s="56"/>
      <c r="N606" s="118"/>
      <c r="O606" s="55"/>
      <c r="P606" s="53"/>
      <c r="Q606" s="55"/>
      <c r="R606" s="49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</row>
    <row r="607" spans="1:41" ht="13.8" x14ac:dyDescent="0.25">
      <c r="A607" s="46"/>
      <c r="B607" s="114"/>
      <c r="C607" s="48"/>
      <c r="D607" s="115"/>
      <c r="E607" s="26" t="str">
        <f t="shared" si="22"/>
        <v/>
      </c>
      <c r="F607" s="116"/>
      <c r="G607" s="116"/>
      <c r="H607" s="52"/>
      <c r="I607" s="126"/>
      <c r="J607" s="139"/>
      <c r="K607" s="126"/>
      <c r="L607" s="126"/>
      <c r="M607" s="56"/>
      <c r="N607" s="118"/>
      <c r="O607" s="55"/>
      <c r="P607" s="53"/>
      <c r="Q607" s="55"/>
      <c r="R607" s="49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</row>
    <row r="608" spans="1:41" ht="13.8" x14ac:dyDescent="0.25">
      <c r="A608" s="46"/>
      <c r="B608" s="114"/>
      <c r="C608" s="48"/>
      <c r="D608" s="115"/>
      <c r="E608" s="26" t="str">
        <f t="shared" si="22"/>
        <v/>
      </c>
      <c r="F608" s="116"/>
      <c r="G608" s="116"/>
      <c r="H608" s="52"/>
      <c r="I608" s="126"/>
      <c r="J608" s="139"/>
      <c r="K608" s="126"/>
      <c r="L608" s="126"/>
      <c r="M608" s="56"/>
      <c r="N608" s="118"/>
      <c r="O608" s="55"/>
      <c r="P608" s="53"/>
      <c r="Q608" s="55"/>
      <c r="R608" s="49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</row>
    <row r="609" spans="1:41" ht="13.8" x14ac:dyDescent="0.25">
      <c r="A609" s="46"/>
      <c r="B609" s="114"/>
      <c r="C609" s="48"/>
      <c r="D609" s="115"/>
      <c r="E609" s="26" t="str">
        <f t="shared" si="22"/>
        <v/>
      </c>
      <c r="F609" s="116"/>
      <c r="G609" s="116"/>
      <c r="H609" s="52"/>
      <c r="I609" s="126"/>
      <c r="J609" s="139"/>
      <c r="K609" s="126"/>
      <c r="L609" s="126"/>
      <c r="M609" s="56"/>
      <c r="N609" s="118"/>
      <c r="O609" s="55"/>
      <c r="P609" s="53"/>
      <c r="Q609" s="55"/>
      <c r="R609" s="49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</row>
    <row r="610" spans="1:41" ht="13.8" x14ac:dyDescent="0.25">
      <c r="A610" s="46"/>
      <c r="B610" s="114"/>
      <c r="C610" s="48"/>
      <c r="D610" s="115"/>
      <c r="E610" s="26" t="str">
        <f t="shared" si="22"/>
        <v/>
      </c>
      <c r="F610" s="116"/>
      <c r="G610" s="116"/>
      <c r="H610" s="52"/>
      <c r="I610" s="126"/>
      <c r="J610" s="139"/>
      <c r="K610" s="126"/>
      <c r="L610" s="126"/>
      <c r="M610" s="56"/>
      <c r="N610" s="118"/>
      <c r="O610" s="55"/>
      <c r="P610" s="53"/>
      <c r="Q610" s="55"/>
      <c r="R610" s="49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</row>
    <row r="611" spans="1:41" ht="13.8" x14ac:dyDescent="0.25">
      <c r="A611" s="46"/>
      <c r="B611" s="114"/>
      <c r="C611" s="48"/>
      <c r="D611" s="115"/>
      <c r="E611" s="26" t="str">
        <f t="shared" si="22"/>
        <v/>
      </c>
      <c r="F611" s="116"/>
      <c r="G611" s="116"/>
      <c r="H611" s="52"/>
      <c r="I611" s="126"/>
      <c r="J611" s="139"/>
      <c r="K611" s="126"/>
      <c r="L611" s="126"/>
      <c r="M611" s="56"/>
      <c r="N611" s="118"/>
      <c r="O611" s="55"/>
      <c r="P611" s="53"/>
      <c r="Q611" s="55"/>
      <c r="R611" s="49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</row>
    <row r="612" spans="1:41" ht="13.8" x14ac:dyDescent="0.25">
      <c r="A612" s="46"/>
      <c r="B612" s="114"/>
      <c r="C612" s="48"/>
      <c r="D612" s="115"/>
      <c r="E612" s="26" t="str">
        <f t="shared" si="22"/>
        <v/>
      </c>
      <c r="F612" s="116"/>
      <c r="G612" s="116"/>
      <c r="H612" s="52"/>
      <c r="I612" s="126"/>
      <c r="J612" s="139"/>
      <c r="K612" s="126"/>
      <c r="L612" s="126"/>
      <c r="M612" s="56"/>
      <c r="N612" s="118"/>
      <c r="O612" s="55"/>
      <c r="P612" s="53"/>
      <c r="Q612" s="55"/>
      <c r="R612" s="49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</row>
    <row r="613" spans="1:41" ht="13.8" x14ac:dyDescent="0.25">
      <c r="A613" s="46"/>
      <c r="B613" s="114"/>
      <c r="C613" s="48"/>
      <c r="D613" s="115"/>
      <c r="E613" s="26" t="str">
        <f t="shared" si="22"/>
        <v/>
      </c>
      <c r="F613" s="116"/>
      <c r="G613" s="116"/>
      <c r="H613" s="52"/>
      <c r="I613" s="126"/>
      <c r="J613" s="139"/>
      <c r="K613" s="126"/>
      <c r="L613" s="126"/>
      <c r="M613" s="56"/>
      <c r="N613" s="118"/>
      <c r="O613" s="55"/>
      <c r="P613" s="53"/>
      <c r="Q613" s="55"/>
      <c r="R613" s="49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</row>
    <row r="614" spans="1:41" ht="13.8" x14ac:dyDescent="0.25">
      <c r="A614" s="46"/>
      <c r="B614" s="114"/>
      <c r="C614" s="48"/>
      <c r="D614" s="115"/>
      <c r="E614" s="26" t="str">
        <f t="shared" si="22"/>
        <v/>
      </c>
      <c r="F614" s="116"/>
      <c r="G614" s="116"/>
      <c r="H614" s="52"/>
      <c r="I614" s="126"/>
      <c r="J614" s="139"/>
      <c r="K614" s="126"/>
      <c r="L614" s="126"/>
      <c r="M614" s="56"/>
      <c r="N614" s="118"/>
      <c r="O614" s="55"/>
      <c r="P614" s="53"/>
      <c r="Q614" s="55"/>
      <c r="R614" s="49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</row>
    <row r="615" spans="1:41" ht="13.8" x14ac:dyDescent="0.25">
      <c r="A615" s="46"/>
      <c r="B615" s="114"/>
      <c r="C615" s="48"/>
      <c r="D615" s="115"/>
      <c r="E615" s="26" t="str">
        <f t="shared" si="22"/>
        <v/>
      </c>
      <c r="F615" s="116"/>
      <c r="G615" s="116"/>
      <c r="H615" s="52"/>
      <c r="I615" s="126"/>
      <c r="J615" s="139"/>
      <c r="K615" s="126"/>
      <c r="L615" s="126"/>
      <c r="M615" s="56"/>
      <c r="N615" s="118"/>
      <c r="O615" s="55"/>
      <c r="P615" s="53"/>
      <c r="Q615" s="55"/>
      <c r="R615" s="49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</row>
    <row r="616" spans="1:41" ht="13.8" x14ac:dyDescent="0.25">
      <c r="A616" s="46"/>
      <c r="B616" s="114"/>
      <c r="C616" s="48"/>
      <c r="D616" s="115"/>
      <c r="E616" s="26" t="str">
        <f t="shared" si="22"/>
        <v/>
      </c>
      <c r="F616" s="116"/>
      <c r="G616" s="116"/>
      <c r="H616" s="52"/>
      <c r="I616" s="126"/>
      <c r="J616" s="139"/>
      <c r="K616" s="126"/>
      <c r="L616" s="126"/>
      <c r="M616" s="56"/>
      <c r="N616" s="118"/>
      <c r="O616" s="55"/>
      <c r="P616" s="53"/>
      <c r="Q616" s="55"/>
      <c r="R616" s="49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</row>
    <row r="617" spans="1:41" ht="13.8" x14ac:dyDescent="0.25">
      <c r="A617" s="46"/>
      <c r="B617" s="114"/>
      <c r="C617" s="48"/>
      <c r="D617" s="115"/>
      <c r="E617" s="26" t="str">
        <f t="shared" si="22"/>
        <v/>
      </c>
      <c r="F617" s="116"/>
      <c r="G617" s="116"/>
      <c r="H617" s="52"/>
      <c r="I617" s="126"/>
      <c r="J617" s="139"/>
      <c r="K617" s="126"/>
      <c r="L617" s="126"/>
      <c r="M617" s="56"/>
      <c r="N617" s="118"/>
      <c r="O617" s="55"/>
      <c r="P617" s="53"/>
      <c r="Q617" s="55"/>
      <c r="R617" s="49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</row>
    <row r="618" spans="1:41" ht="13.8" x14ac:dyDescent="0.25">
      <c r="A618" s="46"/>
      <c r="B618" s="114"/>
      <c r="C618" s="48"/>
      <c r="D618" s="115"/>
      <c r="E618" s="26" t="str">
        <f t="shared" si="22"/>
        <v/>
      </c>
      <c r="F618" s="116"/>
      <c r="G618" s="116"/>
      <c r="H618" s="52"/>
      <c r="I618" s="126"/>
      <c r="J618" s="139"/>
      <c r="K618" s="126"/>
      <c r="L618" s="126"/>
      <c r="M618" s="56"/>
      <c r="N618" s="118"/>
      <c r="O618" s="55"/>
      <c r="P618" s="53"/>
      <c r="Q618" s="55"/>
      <c r="R618" s="49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</row>
    <row r="619" spans="1:41" ht="13.8" x14ac:dyDescent="0.25">
      <c r="A619" s="46"/>
      <c r="B619" s="114"/>
      <c r="C619" s="48"/>
      <c r="D619" s="115"/>
      <c r="E619" s="26" t="str">
        <f t="shared" si="22"/>
        <v/>
      </c>
      <c r="F619" s="116"/>
      <c r="G619" s="116"/>
      <c r="H619" s="52"/>
      <c r="I619" s="126"/>
      <c r="J619" s="139"/>
      <c r="K619" s="126"/>
      <c r="L619" s="126"/>
      <c r="M619" s="56"/>
      <c r="N619" s="118"/>
      <c r="O619" s="55"/>
      <c r="P619" s="53"/>
      <c r="Q619" s="55"/>
      <c r="R619" s="49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</row>
    <row r="620" spans="1:41" ht="13.8" x14ac:dyDescent="0.25">
      <c r="A620" s="46"/>
      <c r="B620" s="114"/>
      <c r="C620" s="48"/>
      <c r="D620" s="115"/>
      <c r="E620" s="26" t="str">
        <f t="shared" si="22"/>
        <v/>
      </c>
      <c r="F620" s="116"/>
      <c r="G620" s="116"/>
      <c r="H620" s="52"/>
      <c r="I620" s="126"/>
      <c r="J620" s="139"/>
      <c r="K620" s="126"/>
      <c r="L620" s="126"/>
      <c r="M620" s="56"/>
      <c r="N620" s="118"/>
      <c r="O620" s="55"/>
      <c r="P620" s="53"/>
      <c r="Q620" s="55"/>
      <c r="R620" s="49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</row>
    <row r="621" spans="1:41" ht="13.8" x14ac:dyDescent="0.25">
      <c r="A621" s="46"/>
      <c r="B621" s="114"/>
      <c r="C621" s="48"/>
      <c r="D621" s="115"/>
      <c r="E621" s="26" t="str">
        <f t="shared" si="22"/>
        <v/>
      </c>
      <c r="F621" s="116"/>
      <c r="G621" s="116"/>
      <c r="H621" s="52"/>
      <c r="I621" s="126"/>
      <c r="J621" s="139"/>
      <c r="K621" s="126"/>
      <c r="L621" s="126"/>
      <c r="M621" s="56"/>
      <c r="N621" s="118"/>
      <c r="O621" s="55"/>
      <c r="P621" s="53"/>
      <c r="Q621" s="55"/>
      <c r="R621" s="49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</row>
    <row r="622" spans="1:41" ht="13.8" x14ac:dyDescent="0.25">
      <c r="A622" s="46"/>
      <c r="B622" s="114"/>
      <c r="C622" s="48"/>
      <c r="D622" s="115"/>
      <c r="E622" s="26" t="str">
        <f t="shared" si="22"/>
        <v/>
      </c>
      <c r="F622" s="116"/>
      <c r="G622" s="116"/>
      <c r="H622" s="52"/>
      <c r="I622" s="126"/>
      <c r="J622" s="139"/>
      <c r="K622" s="126"/>
      <c r="L622" s="126"/>
      <c r="M622" s="56"/>
      <c r="N622" s="118"/>
      <c r="O622" s="55"/>
      <c r="P622" s="53"/>
      <c r="Q622" s="55"/>
      <c r="R622" s="49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</row>
    <row r="623" spans="1:41" ht="13.8" x14ac:dyDescent="0.25">
      <c r="A623" s="46"/>
      <c r="B623" s="114"/>
      <c r="C623" s="48"/>
      <c r="D623" s="115"/>
      <c r="E623" s="26" t="str">
        <f t="shared" si="22"/>
        <v/>
      </c>
      <c r="F623" s="116"/>
      <c r="G623" s="116"/>
      <c r="H623" s="52"/>
      <c r="I623" s="126"/>
      <c r="J623" s="139"/>
      <c r="K623" s="126"/>
      <c r="L623" s="126"/>
      <c r="M623" s="56"/>
      <c r="N623" s="118"/>
      <c r="O623" s="55"/>
      <c r="P623" s="53"/>
      <c r="Q623" s="55"/>
      <c r="R623" s="49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</row>
    <row r="624" spans="1:41" ht="13.8" x14ac:dyDescent="0.25">
      <c r="A624" s="46"/>
      <c r="B624" s="114"/>
      <c r="C624" s="48"/>
      <c r="D624" s="115"/>
      <c r="E624" s="26" t="str">
        <f t="shared" si="22"/>
        <v/>
      </c>
      <c r="F624" s="116"/>
      <c r="G624" s="116"/>
      <c r="H624" s="52"/>
      <c r="I624" s="126"/>
      <c r="J624" s="139"/>
      <c r="K624" s="126"/>
      <c r="L624" s="126"/>
      <c r="M624" s="56"/>
      <c r="N624" s="118"/>
      <c r="O624" s="55"/>
      <c r="P624" s="53"/>
      <c r="Q624" s="55"/>
      <c r="R624" s="49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</row>
    <row r="625" spans="1:41" ht="13.8" x14ac:dyDescent="0.25">
      <c r="A625" s="46"/>
      <c r="B625" s="114"/>
      <c r="C625" s="48"/>
      <c r="D625" s="115"/>
      <c r="E625" s="26" t="str">
        <f t="shared" si="22"/>
        <v/>
      </c>
      <c r="F625" s="116"/>
      <c r="G625" s="116"/>
      <c r="H625" s="52"/>
      <c r="I625" s="126"/>
      <c r="J625" s="139"/>
      <c r="K625" s="126"/>
      <c r="L625" s="126"/>
      <c r="M625" s="56"/>
      <c r="N625" s="118"/>
      <c r="O625" s="55"/>
      <c r="P625" s="53"/>
      <c r="Q625" s="55"/>
      <c r="R625" s="49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</row>
    <row r="626" spans="1:41" ht="13.8" x14ac:dyDescent="0.25">
      <c r="A626" s="46"/>
      <c r="B626" s="114"/>
      <c r="C626" s="48"/>
      <c r="D626" s="115"/>
      <c r="E626" s="26" t="str">
        <f t="shared" si="22"/>
        <v/>
      </c>
      <c r="F626" s="116"/>
      <c r="G626" s="116"/>
      <c r="H626" s="52"/>
      <c r="I626" s="126"/>
      <c r="J626" s="139"/>
      <c r="K626" s="126"/>
      <c r="L626" s="126"/>
      <c r="M626" s="56"/>
      <c r="N626" s="118"/>
      <c r="O626" s="55"/>
      <c r="P626" s="53"/>
      <c r="Q626" s="55"/>
      <c r="R626" s="49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</row>
    <row r="627" spans="1:41" ht="13.8" x14ac:dyDescent="0.25">
      <c r="A627" s="46"/>
      <c r="B627" s="114"/>
      <c r="C627" s="48"/>
      <c r="D627" s="115"/>
      <c r="E627" s="26" t="str">
        <f t="shared" si="22"/>
        <v/>
      </c>
      <c r="F627" s="116"/>
      <c r="G627" s="116"/>
      <c r="H627" s="52"/>
      <c r="I627" s="126"/>
      <c r="J627" s="139"/>
      <c r="K627" s="126"/>
      <c r="L627" s="126"/>
      <c r="M627" s="56"/>
      <c r="N627" s="118"/>
      <c r="O627" s="55"/>
      <c r="P627" s="53"/>
      <c r="Q627" s="55"/>
      <c r="R627" s="49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</row>
    <row r="628" spans="1:41" ht="13.8" x14ac:dyDescent="0.25">
      <c r="A628" s="46"/>
      <c r="B628" s="114"/>
      <c r="C628" s="48"/>
      <c r="D628" s="115"/>
      <c r="E628" s="26" t="str">
        <f t="shared" si="22"/>
        <v/>
      </c>
      <c r="F628" s="116"/>
      <c r="G628" s="116"/>
      <c r="H628" s="52"/>
      <c r="I628" s="126"/>
      <c r="J628" s="139"/>
      <c r="K628" s="126"/>
      <c r="L628" s="126"/>
      <c r="M628" s="56"/>
      <c r="N628" s="118"/>
      <c r="O628" s="55"/>
      <c r="P628" s="53"/>
      <c r="Q628" s="55"/>
      <c r="R628" s="49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</row>
    <row r="629" spans="1:41" ht="13.8" x14ac:dyDescent="0.25">
      <c r="A629" s="46"/>
      <c r="B629" s="114"/>
      <c r="C629" s="48"/>
      <c r="D629" s="115"/>
      <c r="E629" s="26" t="str">
        <f t="shared" si="22"/>
        <v/>
      </c>
      <c r="F629" s="116"/>
      <c r="G629" s="116"/>
      <c r="H629" s="52"/>
      <c r="I629" s="126"/>
      <c r="J629" s="139"/>
      <c r="K629" s="126"/>
      <c r="L629" s="126"/>
      <c r="M629" s="56"/>
      <c r="N629" s="118"/>
      <c r="O629" s="55"/>
      <c r="P629" s="53"/>
      <c r="Q629" s="55"/>
      <c r="R629" s="49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</row>
    <row r="630" spans="1:41" ht="13.8" x14ac:dyDescent="0.25">
      <c r="A630" s="46"/>
      <c r="B630" s="114"/>
      <c r="C630" s="48"/>
      <c r="D630" s="115"/>
      <c r="E630" s="26" t="str">
        <f t="shared" si="22"/>
        <v/>
      </c>
      <c r="F630" s="116"/>
      <c r="G630" s="116"/>
      <c r="H630" s="52"/>
      <c r="I630" s="126"/>
      <c r="J630" s="139"/>
      <c r="K630" s="126"/>
      <c r="L630" s="126"/>
      <c r="M630" s="56"/>
      <c r="N630" s="118"/>
      <c r="O630" s="55"/>
      <c r="P630" s="53"/>
      <c r="Q630" s="55"/>
      <c r="R630" s="49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</row>
    <row r="631" spans="1:41" ht="13.8" x14ac:dyDescent="0.25">
      <c r="A631" s="46"/>
      <c r="B631" s="114"/>
      <c r="C631" s="48"/>
      <c r="D631" s="115"/>
      <c r="E631" s="26" t="str">
        <f t="shared" si="22"/>
        <v/>
      </c>
      <c r="F631" s="116"/>
      <c r="G631" s="116"/>
      <c r="H631" s="52"/>
      <c r="I631" s="126"/>
      <c r="J631" s="139"/>
      <c r="K631" s="126"/>
      <c r="L631" s="126"/>
      <c r="M631" s="56"/>
      <c r="N631" s="118"/>
      <c r="O631" s="55"/>
      <c r="P631" s="53"/>
      <c r="Q631" s="55"/>
      <c r="R631" s="49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</row>
    <row r="632" spans="1:41" ht="13.8" x14ac:dyDescent="0.25">
      <c r="A632" s="46"/>
      <c r="B632" s="114"/>
      <c r="C632" s="48"/>
      <c r="D632" s="115"/>
      <c r="E632" s="26" t="str">
        <f t="shared" si="22"/>
        <v/>
      </c>
      <c r="F632" s="116"/>
      <c r="G632" s="116"/>
      <c r="H632" s="52"/>
      <c r="I632" s="126"/>
      <c r="J632" s="139"/>
      <c r="K632" s="126"/>
      <c r="L632" s="126"/>
      <c r="M632" s="56"/>
      <c r="N632" s="118"/>
      <c r="O632" s="55"/>
      <c r="P632" s="53"/>
      <c r="Q632" s="55"/>
      <c r="R632" s="49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</row>
    <row r="633" spans="1:41" ht="13.8" x14ac:dyDescent="0.25">
      <c r="A633" s="46"/>
      <c r="B633" s="114"/>
      <c r="C633" s="48"/>
      <c r="D633" s="115"/>
      <c r="E633" s="26" t="str">
        <f t="shared" si="22"/>
        <v/>
      </c>
      <c r="F633" s="116"/>
      <c r="G633" s="116"/>
      <c r="H633" s="52"/>
      <c r="I633" s="126"/>
      <c r="J633" s="139"/>
      <c r="K633" s="126"/>
      <c r="L633" s="126"/>
      <c r="M633" s="56"/>
      <c r="N633" s="118"/>
      <c r="O633" s="55"/>
      <c r="P633" s="53"/>
      <c r="Q633" s="55"/>
      <c r="R633" s="49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</row>
    <row r="634" spans="1:41" ht="13.8" x14ac:dyDescent="0.25">
      <c r="A634" s="46"/>
      <c r="B634" s="114"/>
      <c r="C634" s="48"/>
      <c r="D634" s="115"/>
      <c r="E634" s="26" t="str">
        <f t="shared" si="22"/>
        <v/>
      </c>
      <c r="F634" s="116"/>
      <c r="G634" s="116"/>
      <c r="H634" s="52"/>
      <c r="I634" s="126"/>
      <c r="J634" s="139"/>
      <c r="K634" s="126"/>
      <c r="L634" s="126"/>
      <c r="M634" s="56"/>
      <c r="N634" s="118"/>
      <c r="O634" s="55"/>
      <c r="P634" s="53"/>
      <c r="Q634" s="55"/>
      <c r="R634" s="49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</row>
    <row r="635" spans="1:41" ht="13.8" x14ac:dyDescent="0.25">
      <c r="A635" s="46"/>
      <c r="B635" s="114"/>
      <c r="C635" s="48"/>
      <c r="D635" s="115"/>
      <c r="E635" s="26" t="str">
        <f t="shared" si="22"/>
        <v/>
      </c>
      <c r="F635" s="116"/>
      <c r="G635" s="116"/>
      <c r="H635" s="52"/>
      <c r="I635" s="126"/>
      <c r="J635" s="139"/>
      <c r="K635" s="126"/>
      <c r="L635" s="126"/>
      <c r="M635" s="56"/>
      <c r="N635" s="118"/>
      <c r="O635" s="55"/>
      <c r="P635" s="53"/>
      <c r="Q635" s="55"/>
      <c r="R635" s="49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</row>
    <row r="636" spans="1:41" ht="13.8" x14ac:dyDescent="0.25">
      <c r="A636" s="46"/>
      <c r="B636" s="114"/>
      <c r="C636" s="48"/>
      <c r="D636" s="115"/>
      <c r="E636" s="26" t="str">
        <f t="shared" si="22"/>
        <v/>
      </c>
      <c r="F636" s="116"/>
      <c r="G636" s="116"/>
      <c r="H636" s="52"/>
      <c r="I636" s="126"/>
      <c r="J636" s="139"/>
      <c r="K636" s="126"/>
      <c r="L636" s="126"/>
      <c r="M636" s="56"/>
      <c r="N636" s="118"/>
      <c r="O636" s="55"/>
      <c r="P636" s="53"/>
      <c r="Q636" s="55"/>
      <c r="R636" s="49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</row>
    <row r="637" spans="1:41" ht="13.8" x14ac:dyDescent="0.25">
      <c r="A637" s="46"/>
      <c r="B637" s="114"/>
      <c r="C637" s="48"/>
      <c r="D637" s="115"/>
      <c r="E637" s="26" t="str">
        <f t="shared" si="22"/>
        <v/>
      </c>
      <c r="F637" s="116"/>
      <c r="G637" s="116"/>
      <c r="H637" s="52"/>
      <c r="I637" s="126"/>
      <c r="J637" s="139"/>
      <c r="K637" s="126"/>
      <c r="L637" s="126"/>
      <c r="M637" s="56"/>
      <c r="N637" s="118"/>
      <c r="O637" s="55"/>
      <c r="P637" s="53"/>
      <c r="Q637" s="55"/>
      <c r="R637" s="49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</row>
    <row r="638" spans="1:41" ht="13.8" x14ac:dyDescent="0.25">
      <c r="A638" s="46"/>
      <c r="B638" s="114"/>
      <c r="C638" s="48"/>
      <c r="D638" s="115"/>
      <c r="E638" s="26" t="str">
        <f t="shared" si="22"/>
        <v/>
      </c>
      <c r="F638" s="116"/>
      <c r="G638" s="116"/>
      <c r="H638" s="52"/>
      <c r="I638" s="126"/>
      <c r="J638" s="139"/>
      <c r="K638" s="126"/>
      <c r="L638" s="126"/>
      <c r="M638" s="56"/>
      <c r="N638" s="118"/>
      <c r="O638" s="55"/>
      <c r="P638" s="53"/>
      <c r="Q638" s="55"/>
      <c r="R638" s="49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</row>
    <row r="639" spans="1:41" ht="13.8" x14ac:dyDescent="0.25">
      <c r="A639" s="46"/>
      <c r="B639" s="114"/>
      <c r="C639" s="48"/>
      <c r="D639" s="115"/>
      <c r="E639" s="26" t="str">
        <f t="shared" si="22"/>
        <v/>
      </c>
      <c r="F639" s="116"/>
      <c r="G639" s="116"/>
      <c r="H639" s="52"/>
      <c r="I639" s="126"/>
      <c r="J639" s="139"/>
      <c r="K639" s="126"/>
      <c r="L639" s="126"/>
      <c r="M639" s="56"/>
      <c r="N639" s="118"/>
      <c r="O639" s="55"/>
      <c r="P639" s="53"/>
      <c r="Q639" s="55"/>
      <c r="R639" s="49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</row>
    <row r="640" spans="1:41" ht="13.8" x14ac:dyDescent="0.25">
      <c r="A640" s="46"/>
      <c r="B640" s="114"/>
      <c r="C640" s="48"/>
      <c r="D640" s="115"/>
      <c r="E640" s="26" t="str">
        <f t="shared" si="22"/>
        <v/>
      </c>
      <c r="F640" s="116"/>
      <c r="G640" s="116"/>
      <c r="H640" s="52"/>
      <c r="I640" s="126"/>
      <c r="J640" s="139"/>
      <c r="K640" s="126"/>
      <c r="L640" s="126"/>
      <c r="M640" s="56"/>
      <c r="N640" s="118"/>
      <c r="O640" s="55"/>
      <c r="P640" s="53"/>
      <c r="Q640" s="55"/>
      <c r="R640" s="49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</row>
    <row r="641" spans="1:41" ht="13.8" x14ac:dyDescent="0.25">
      <c r="A641" s="46"/>
      <c r="B641" s="114"/>
      <c r="C641" s="48"/>
      <c r="D641" s="115"/>
      <c r="E641" s="26" t="str">
        <f t="shared" si="22"/>
        <v/>
      </c>
      <c r="F641" s="116"/>
      <c r="G641" s="116"/>
      <c r="H641" s="52"/>
      <c r="I641" s="126"/>
      <c r="J641" s="139"/>
      <c r="K641" s="126"/>
      <c r="L641" s="126"/>
      <c r="M641" s="56"/>
      <c r="N641" s="118"/>
      <c r="O641" s="55"/>
      <c r="P641" s="53"/>
      <c r="Q641" s="55"/>
      <c r="R641" s="49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</row>
    <row r="642" spans="1:41" ht="13.8" x14ac:dyDescent="0.25">
      <c r="A642" s="46"/>
      <c r="B642" s="114"/>
      <c r="C642" s="48"/>
      <c r="D642" s="115"/>
      <c r="E642" s="26" t="str">
        <f t="shared" si="22"/>
        <v/>
      </c>
      <c r="F642" s="116"/>
      <c r="G642" s="116"/>
      <c r="H642" s="52"/>
      <c r="I642" s="126"/>
      <c r="J642" s="139"/>
      <c r="K642" s="126"/>
      <c r="L642" s="126"/>
      <c r="M642" s="56"/>
      <c r="N642" s="118"/>
      <c r="O642" s="55"/>
      <c r="P642" s="53"/>
      <c r="Q642" s="55"/>
      <c r="R642" s="49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</row>
    <row r="643" spans="1:41" ht="13.8" x14ac:dyDescent="0.25">
      <c r="A643" s="46"/>
      <c r="B643" s="114"/>
      <c r="C643" s="48"/>
      <c r="D643" s="115"/>
      <c r="E643" s="26" t="str">
        <f t="shared" si="22"/>
        <v/>
      </c>
      <c r="F643" s="116"/>
      <c r="G643" s="116"/>
      <c r="H643" s="52"/>
      <c r="I643" s="126"/>
      <c r="J643" s="139"/>
      <c r="K643" s="126"/>
      <c r="L643" s="126"/>
      <c r="M643" s="56"/>
      <c r="N643" s="118"/>
      <c r="O643" s="55"/>
      <c r="P643" s="53"/>
      <c r="Q643" s="55"/>
      <c r="R643" s="49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</row>
    <row r="644" spans="1:41" ht="13.8" x14ac:dyDescent="0.25">
      <c r="A644" s="46"/>
      <c r="B644" s="114"/>
      <c r="C644" s="48"/>
      <c r="D644" s="115"/>
      <c r="E644" s="26" t="str">
        <f t="shared" si="22"/>
        <v/>
      </c>
      <c r="F644" s="116"/>
      <c r="G644" s="116"/>
      <c r="H644" s="52"/>
      <c r="I644" s="126"/>
      <c r="J644" s="139"/>
      <c r="K644" s="126"/>
      <c r="L644" s="126"/>
      <c r="M644" s="56"/>
      <c r="N644" s="118"/>
      <c r="O644" s="55"/>
      <c r="P644" s="53"/>
      <c r="Q644" s="55"/>
      <c r="R644" s="49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</row>
    <row r="645" spans="1:41" ht="13.8" x14ac:dyDescent="0.25">
      <c r="A645" s="46"/>
      <c r="B645" s="114"/>
      <c r="C645" s="48"/>
      <c r="D645" s="115"/>
      <c r="E645" s="26" t="str">
        <f t="shared" si="22"/>
        <v/>
      </c>
      <c r="F645" s="116"/>
      <c r="G645" s="116"/>
      <c r="H645" s="52"/>
      <c r="I645" s="126"/>
      <c r="J645" s="139"/>
      <c r="K645" s="126"/>
      <c r="L645" s="126"/>
      <c r="M645" s="56"/>
      <c r="N645" s="118"/>
      <c r="O645" s="55"/>
      <c r="P645" s="53"/>
      <c r="Q645" s="55"/>
      <c r="R645" s="49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</row>
    <row r="646" spans="1:41" ht="13.8" x14ac:dyDescent="0.25">
      <c r="A646" s="46"/>
      <c r="B646" s="114"/>
      <c r="C646" s="48"/>
      <c r="D646" s="115"/>
      <c r="E646" s="26" t="str">
        <f t="shared" si="22"/>
        <v/>
      </c>
      <c r="F646" s="116"/>
      <c r="G646" s="116"/>
      <c r="H646" s="52"/>
      <c r="I646" s="126"/>
      <c r="J646" s="139"/>
      <c r="K646" s="126"/>
      <c r="L646" s="126"/>
      <c r="M646" s="56"/>
      <c r="N646" s="118"/>
      <c r="O646" s="55"/>
      <c r="P646" s="53"/>
      <c r="Q646" s="55"/>
      <c r="R646" s="49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</row>
    <row r="647" spans="1:41" ht="13.8" x14ac:dyDescent="0.25">
      <c r="A647" s="46"/>
      <c r="B647" s="114"/>
      <c r="C647" s="48"/>
      <c r="D647" s="115"/>
      <c r="E647" s="26" t="str">
        <f t="shared" si="22"/>
        <v/>
      </c>
      <c r="F647" s="116"/>
      <c r="G647" s="116"/>
      <c r="H647" s="52"/>
      <c r="I647" s="126"/>
      <c r="J647" s="139"/>
      <c r="K647" s="126"/>
      <c r="L647" s="126"/>
      <c r="M647" s="56"/>
      <c r="N647" s="118"/>
      <c r="O647" s="55"/>
      <c r="P647" s="53"/>
      <c r="Q647" s="55"/>
      <c r="R647" s="49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</row>
    <row r="648" spans="1:41" ht="13.8" x14ac:dyDescent="0.25">
      <c r="A648" s="46"/>
      <c r="B648" s="114"/>
      <c r="C648" s="48"/>
      <c r="D648" s="115"/>
      <c r="E648" s="26" t="str">
        <f t="shared" si="22"/>
        <v/>
      </c>
      <c r="F648" s="116"/>
      <c r="G648" s="116"/>
      <c r="H648" s="52"/>
      <c r="I648" s="126"/>
      <c r="J648" s="139"/>
      <c r="K648" s="126"/>
      <c r="L648" s="126"/>
      <c r="M648" s="56"/>
      <c r="N648" s="118"/>
      <c r="O648" s="55"/>
      <c r="P648" s="53"/>
      <c r="Q648" s="55"/>
      <c r="R648" s="49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</row>
    <row r="649" spans="1:41" ht="13.8" x14ac:dyDescent="0.25">
      <c r="A649" s="46"/>
      <c r="B649" s="114"/>
      <c r="C649" s="48"/>
      <c r="D649" s="115"/>
      <c r="E649" s="26" t="str">
        <f t="shared" si="22"/>
        <v/>
      </c>
      <c r="F649" s="116"/>
      <c r="G649" s="116"/>
      <c r="H649" s="52"/>
      <c r="I649" s="126"/>
      <c r="J649" s="139"/>
      <c r="K649" s="126"/>
      <c r="L649" s="126"/>
      <c r="M649" s="56"/>
      <c r="N649" s="118"/>
      <c r="O649" s="55"/>
      <c r="P649" s="53"/>
      <c r="Q649" s="55"/>
      <c r="R649" s="49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</row>
    <row r="650" spans="1:41" ht="13.8" x14ac:dyDescent="0.25">
      <c r="A650" s="46"/>
      <c r="B650" s="114"/>
      <c r="C650" s="48"/>
      <c r="D650" s="115"/>
      <c r="E650" s="26" t="str">
        <f t="shared" si="22"/>
        <v/>
      </c>
      <c r="F650" s="116"/>
      <c r="G650" s="116"/>
      <c r="H650" s="52"/>
      <c r="I650" s="126"/>
      <c r="J650" s="139"/>
      <c r="K650" s="126"/>
      <c r="L650" s="126"/>
      <c r="M650" s="56"/>
      <c r="N650" s="118"/>
      <c r="O650" s="55"/>
      <c r="P650" s="53"/>
      <c r="Q650" s="55"/>
      <c r="R650" s="49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</row>
    <row r="651" spans="1:41" ht="13.8" x14ac:dyDescent="0.25">
      <c r="A651" s="46"/>
      <c r="B651" s="114"/>
      <c r="C651" s="48"/>
      <c r="D651" s="115"/>
      <c r="E651" s="26" t="str">
        <f t="shared" si="22"/>
        <v/>
      </c>
      <c r="F651" s="116"/>
      <c r="G651" s="116"/>
      <c r="H651" s="52"/>
      <c r="I651" s="126"/>
      <c r="J651" s="139"/>
      <c r="K651" s="126"/>
      <c r="L651" s="126"/>
      <c r="M651" s="56"/>
      <c r="N651" s="118"/>
      <c r="O651" s="55"/>
      <c r="P651" s="53"/>
      <c r="Q651" s="55"/>
      <c r="R651" s="49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</row>
    <row r="652" spans="1:41" ht="13.8" x14ac:dyDescent="0.25">
      <c r="A652" s="46"/>
      <c r="B652" s="114"/>
      <c r="C652" s="48"/>
      <c r="D652" s="115"/>
      <c r="E652" s="26" t="str">
        <f t="shared" si="22"/>
        <v/>
      </c>
      <c r="F652" s="116"/>
      <c r="G652" s="116"/>
      <c r="H652" s="52"/>
      <c r="I652" s="126"/>
      <c r="J652" s="139"/>
      <c r="K652" s="126"/>
      <c r="L652" s="126"/>
      <c r="M652" s="56"/>
      <c r="N652" s="118"/>
      <c r="O652" s="55"/>
      <c r="P652" s="53"/>
      <c r="Q652" s="55"/>
      <c r="R652" s="49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</row>
    <row r="653" spans="1:41" ht="13.8" x14ac:dyDescent="0.25">
      <c r="A653" s="46"/>
      <c r="B653" s="114"/>
      <c r="C653" s="48"/>
      <c r="D653" s="115"/>
      <c r="E653" s="26" t="str">
        <f t="shared" si="22"/>
        <v/>
      </c>
      <c r="F653" s="116"/>
      <c r="G653" s="116"/>
      <c r="H653" s="52"/>
      <c r="I653" s="126"/>
      <c r="J653" s="139"/>
      <c r="K653" s="126"/>
      <c r="L653" s="126"/>
      <c r="M653" s="56"/>
      <c r="N653" s="118"/>
      <c r="O653" s="55"/>
      <c r="P653" s="53"/>
      <c r="Q653" s="55"/>
      <c r="R653" s="49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</row>
    <row r="654" spans="1:41" ht="13.8" x14ac:dyDescent="0.25">
      <c r="A654" s="46"/>
      <c r="B654" s="114"/>
      <c r="C654" s="48"/>
      <c r="D654" s="115"/>
      <c r="E654" s="26" t="str">
        <f t="shared" si="22"/>
        <v/>
      </c>
      <c r="F654" s="116"/>
      <c r="G654" s="116"/>
      <c r="H654" s="52"/>
      <c r="I654" s="126"/>
      <c r="J654" s="139"/>
      <c r="K654" s="126"/>
      <c r="L654" s="126"/>
      <c r="M654" s="56"/>
      <c r="N654" s="118"/>
      <c r="O654" s="55"/>
      <c r="P654" s="53"/>
      <c r="Q654" s="55"/>
      <c r="R654" s="49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</row>
    <row r="655" spans="1:41" ht="13.8" x14ac:dyDescent="0.25">
      <c r="A655" s="46"/>
      <c r="B655" s="114"/>
      <c r="C655" s="48"/>
      <c r="D655" s="115"/>
      <c r="E655" s="26" t="str">
        <f t="shared" si="22"/>
        <v/>
      </c>
      <c r="F655" s="116"/>
      <c r="G655" s="116"/>
      <c r="H655" s="52"/>
      <c r="I655" s="126"/>
      <c r="J655" s="139"/>
      <c r="K655" s="126"/>
      <c r="L655" s="126"/>
      <c r="M655" s="56"/>
      <c r="N655" s="118"/>
      <c r="O655" s="55"/>
      <c r="P655" s="53"/>
      <c r="Q655" s="55"/>
      <c r="R655" s="49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</row>
    <row r="656" spans="1:41" ht="13.8" x14ac:dyDescent="0.25">
      <c r="A656" s="46"/>
      <c r="B656" s="114"/>
      <c r="C656" s="48"/>
      <c r="D656" s="115"/>
      <c r="E656" s="26" t="str">
        <f t="shared" si="22"/>
        <v/>
      </c>
      <c r="F656" s="116"/>
      <c r="G656" s="116"/>
      <c r="H656" s="52"/>
      <c r="I656" s="126"/>
      <c r="J656" s="139"/>
      <c r="K656" s="126"/>
      <c r="L656" s="126"/>
      <c r="M656" s="56"/>
      <c r="N656" s="118"/>
      <c r="O656" s="55"/>
      <c r="P656" s="53"/>
      <c r="Q656" s="55"/>
      <c r="R656" s="49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</row>
    <row r="657" spans="1:41" ht="13.8" x14ac:dyDescent="0.25">
      <c r="A657" s="46"/>
      <c r="B657" s="114"/>
      <c r="C657" s="48"/>
      <c r="D657" s="115"/>
      <c r="E657" s="26" t="str">
        <f t="shared" si="22"/>
        <v/>
      </c>
      <c r="F657" s="116"/>
      <c r="G657" s="116"/>
      <c r="H657" s="52"/>
      <c r="I657" s="126"/>
      <c r="J657" s="139"/>
      <c r="K657" s="126"/>
      <c r="L657" s="126"/>
      <c r="M657" s="56"/>
      <c r="N657" s="118"/>
      <c r="O657" s="55"/>
      <c r="P657" s="53"/>
      <c r="Q657" s="55"/>
      <c r="R657" s="49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</row>
    <row r="658" spans="1:41" ht="13.8" x14ac:dyDescent="0.25">
      <c r="A658" s="46"/>
      <c r="B658" s="114"/>
      <c r="C658" s="48"/>
      <c r="D658" s="115"/>
      <c r="E658" s="26" t="str">
        <f t="shared" si="22"/>
        <v/>
      </c>
      <c r="F658" s="116"/>
      <c r="G658" s="116"/>
      <c r="H658" s="52"/>
      <c r="I658" s="126"/>
      <c r="J658" s="139"/>
      <c r="K658" s="126"/>
      <c r="L658" s="126"/>
      <c r="M658" s="56"/>
      <c r="N658" s="118"/>
      <c r="O658" s="55"/>
      <c r="P658" s="53"/>
      <c r="Q658" s="55"/>
      <c r="R658" s="49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</row>
    <row r="659" spans="1:41" ht="13.8" x14ac:dyDescent="0.25">
      <c r="A659" s="46"/>
      <c r="B659" s="114"/>
      <c r="C659" s="48"/>
      <c r="D659" s="115"/>
      <c r="E659" s="26" t="str">
        <f t="shared" si="22"/>
        <v/>
      </c>
      <c r="F659" s="116"/>
      <c r="G659" s="116"/>
      <c r="H659" s="52"/>
      <c r="I659" s="126"/>
      <c r="J659" s="139"/>
      <c r="K659" s="126"/>
      <c r="L659" s="126"/>
      <c r="M659" s="56"/>
      <c r="N659" s="118"/>
      <c r="O659" s="55"/>
      <c r="P659" s="53"/>
      <c r="Q659" s="55"/>
      <c r="R659" s="49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</row>
    <row r="660" spans="1:41" ht="13.8" x14ac:dyDescent="0.25">
      <c r="A660" s="46"/>
      <c r="B660" s="114"/>
      <c r="C660" s="48"/>
      <c r="D660" s="115"/>
      <c r="E660" s="26" t="str">
        <f t="shared" si="22"/>
        <v/>
      </c>
      <c r="F660" s="116"/>
      <c r="G660" s="116"/>
      <c r="H660" s="52"/>
      <c r="I660" s="126"/>
      <c r="J660" s="139"/>
      <c r="K660" s="126"/>
      <c r="L660" s="126"/>
      <c r="M660" s="56"/>
      <c r="N660" s="118"/>
      <c r="O660" s="55"/>
      <c r="P660" s="53"/>
      <c r="Q660" s="55"/>
      <c r="R660" s="49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</row>
    <row r="661" spans="1:41" ht="13.8" x14ac:dyDescent="0.25">
      <c r="A661" s="46"/>
      <c r="B661" s="114"/>
      <c r="C661" s="48"/>
      <c r="D661" s="115"/>
      <c r="E661" s="26" t="str">
        <f t="shared" si="22"/>
        <v/>
      </c>
      <c r="F661" s="116"/>
      <c r="G661" s="116"/>
      <c r="H661" s="52"/>
      <c r="I661" s="126"/>
      <c r="J661" s="139"/>
      <c r="K661" s="126"/>
      <c r="L661" s="126"/>
      <c r="M661" s="56"/>
      <c r="N661" s="118"/>
      <c r="O661" s="55"/>
      <c r="P661" s="53"/>
      <c r="Q661" s="55"/>
      <c r="R661" s="49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</row>
    <row r="662" spans="1:41" ht="13.8" x14ac:dyDescent="0.25">
      <c r="A662" s="46"/>
      <c r="B662" s="114"/>
      <c r="C662" s="48"/>
      <c r="D662" s="115"/>
      <c r="E662" s="26" t="str">
        <f t="shared" si="22"/>
        <v/>
      </c>
      <c r="F662" s="116"/>
      <c r="G662" s="116"/>
      <c r="H662" s="52"/>
      <c r="I662" s="126"/>
      <c r="J662" s="139"/>
      <c r="K662" s="126"/>
      <c r="L662" s="126"/>
      <c r="M662" s="56"/>
      <c r="N662" s="118"/>
      <c r="O662" s="55"/>
      <c r="P662" s="53"/>
      <c r="Q662" s="55"/>
      <c r="R662" s="49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</row>
    <row r="663" spans="1:41" ht="13.8" x14ac:dyDescent="0.25">
      <c r="A663" s="46"/>
      <c r="B663" s="114"/>
      <c r="C663" s="48"/>
      <c r="D663" s="115"/>
      <c r="E663" s="26" t="str">
        <f t="shared" si="22"/>
        <v/>
      </c>
      <c r="F663" s="116"/>
      <c r="G663" s="116"/>
      <c r="H663" s="52"/>
      <c r="I663" s="126"/>
      <c r="J663" s="139"/>
      <c r="K663" s="126"/>
      <c r="L663" s="126"/>
      <c r="M663" s="56"/>
      <c r="N663" s="118"/>
      <c r="O663" s="55"/>
      <c r="P663" s="53"/>
      <c r="Q663" s="55"/>
      <c r="R663" s="49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</row>
    <row r="664" spans="1:41" ht="13.8" x14ac:dyDescent="0.25">
      <c r="A664" s="46"/>
      <c r="B664" s="114"/>
      <c r="C664" s="48"/>
      <c r="D664" s="115"/>
      <c r="E664" s="26" t="str">
        <f t="shared" si="22"/>
        <v/>
      </c>
      <c r="F664" s="116"/>
      <c r="G664" s="116"/>
      <c r="H664" s="52"/>
      <c r="I664" s="126"/>
      <c r="J664" s="139"/>
      <c r="K664" s="126"/>
      <c r="L664" s="126"/>
      <c r="M664" s="56"/>
      <c r="N664" s="118"/>
      <c r="O664" s="55"/>
      <c r="P664" s="53"/>
      <c r="Q664" s="55"/>
      <c r="R664" s="49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</row>
    <row r="665" spans="1:41" ht="13.8" x14ac:dyDescent="0.25">
      <c r="A665" s="46"/>
      <c r="B665" s="114"/>
      <c r="C665" s="48"/>
      <c r="D665" s="115"/>
      <c r="E665" s="26" t="str">
        <f t="shared" si="22"/>
        <v/>
      </c>
      <c r="F665" s="116"/>
      <c r="G665" s="116"/>
      <c r="H665" s="52"/>
      <c r="I665" s="126"/>
      <c r="J665" s="139"/>
      <c r="K665" s="126"/>
      <c r="L665" s="126"/>
      <c r="M665" s="56"/>
      <c r="N665" s="118"/>
      <c r="O665" s="55"/>
      <c r="P665" s="53"/>
      <c r="Q665" s="55"/>
      <c r="R665" s="49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</row>
    <row r="666" spans="1:41" ht="13.8" x14ac:dyDescent="0.25">
      <c r="A666" s="46"/>
      <c r="B666" s="114"/>
      <c r="C666" s="48"/>
      <c r="D666" s="115"/>
      <c r="E666" s="26" t="str">
        <f t="shared" si="22"/>
        <v/>
      </c>
      <c r="F666" s="116"/>
      <c r="G666" s="116"/>
      <c r="H666" s="52"/>
      <c r="I666" s="126"/>
      <c r="J666" s="139"/>
      <c r="K666" s="126"/>
      <c r="L666" s="126"/>
      <c r="M666" s="56"/>
      <c r="N666" s="118"/>
      <c r="O666" s="55"/>
      <c r="P666" s="53"/>
      <c r="Q666" s="55"/>
      <c r="R666" s="49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</row>
    <row r="667" spans="1:41" ht="13.8" x14ac:dyDescent="0.25">
      <c r="A667" s="46"/>
      <c r="B667" s="114"/>
      <c r="C667" s="48"/>
      <c r="D667" s="115"/>
      <c r="E667" s="26" t="str">
        <f t="shared" si="22"/>
        <v/>
      </c>
      <c r="F667" s="116"/>
      <c r="G667" s="116"/>
      <c r="H667" s="52"/>
      <c r="I667" s="126"/>
      <c r="J667" s="139"/>
      <c r="K667" s="126"/>
      <c r="L667" s="126"/>
      <c r="M667" s="56"/>
      <c r="N667" s="118"/>
      <c r="O667" s="55"/>
      <c r="P667" s="53"/>
      <c r="Q667" s="55"/>
      <c r="R667" s="49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</row>
    <row r="668" spans="1:41" ht="13.8" x14ac:dyDescent="0.25">
      <c r="A668" s="46"/>
      <c r="B668" s="114"/>
      <c r="C668" s="48"/>
      <c r="D668" s="115"/>
      <c r="E668" s="26" t="str">
        <f t="shared" si="22"/>
        <v/>
      </c>
      <c r="F668" s="116"/>
      <c r="G668" s="116"/>
      <c r="H668" s="52"/>
      <c r="I668" s="126"/>
      <c r="J668" s="139"/>
      <c r="K668" s="126"/>
      <c r="L668" s="126"/>
      <c r="M668" s="56"/>
      <c r="N668" s="118"/>
      <c r="O668" s="55"/>
      <c r="P668" s="53"/>
      <c r="Q668" s="55"/>
      <c r="R668" s="49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</row>
    <row r="669" spans="1:41" ht="13.8" x14ac:dyDescent="0.25">
      <c r="A669" s="46"/>
      <c r="B669" s="114"/>
      <c r="C669" s="48"/>
      <c r="D669" s="115"/>
      <c r="E669" s="26" t="str">
        <f t="shared" si="22"/>
        <v/>
      </c>
      <c r="F669" s="116"/>
      <c r="G669" s="116"/>
      <c r="H669" s="52"/>
      <c r="I669" s="126"/>
      <c r="J669" s="139"/>
      <c r="K669" s="126"/>
      <c r="L669" s="126"/>
      <c r="M669" s="56"/>
      <c r="N669" s="118"/>
      <c r="O669" s="55"/>
      <c r="P669" s="53"/>
      <c r="Q669" s="55"/>
      <c r="R669" s="49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</row>
    <row r="670" spans="1:41" ht="13.8" x14ac:dyDescent="0.25">
      <c r="A670" s="46"/>
      <c r="B670" s="114"/>
      <c r="C670" s="48"/>
      <c r="D670" s="115"/>
      <c r="E670" s="26" t="str">
        <f t="shared" si="22"/>
        <v/>
      </c>
      <c r="F670" s="116"/>
      <c r="G670" s="116"/>
      <c r="H670" s="52"/>
      <c r="I670" s="126"/>
      <c r="J670" s="139"/>
      <c r="K670" s="126"/>
      <c r="L670" s="126"/>
      <c r="M670" s="56"/>
      <c r="N670" s="118"/>
      <c r="O670" s="55"/>
      <c r="P670" s="53"/>
      <c r="Q670" s="55"/>
      <c r="R670" s="49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</row>
    <row r="671" spans="1:41" ht="13.8" x14ac:dyDescent="0.25">
      <c r="A671" s="46"/>
      <c r="B671" s="114"/>
      <c r="C671" s="48"/>
      <c r="D671" s="115"/>
      <c r="E671" s="26" t="str">
        <f t="shared" si="22"/>
        <v/>
      </c>
      <c r="F671" s="116"/>
      <c r="G671" s="116"/>
      <c r="H671" s="52"/>
      <c r="I671" s="126"/>
      <c r="J671" s="139"/>
      <c r="K671" s="126"/>
      <c r="L671" s="126"/>
      <c r="M671" s="56"/>
      <c r="N671" s="118"/>
      <c r="O671" s="55"/>
      <c r="P671" s="53"/>
      <c r="Q671" s="55"/>
      <c r="R671" s="49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</row>
    <row r="672" spans="1:41" ht="13.8" x14ac:dyDescent="0.25">
      <c r="A672" s="46"/>
      <c r="B672" s="114"/>
      <c r="C672" s="48"/>
      <c r="D672" s="115"/>
      <c r="E672" s="26" t="str">
        <f t="shared" si="22"/>
        <v/>
      </c>
      <c r="F672" s="116"/>
      <c r="G672" s="116"/>
      <c r="H672" s="52"/>
      <c r="I672" s="126"/>
      <c r="J672" s="139"/>
      <c r="K672" s="126"/>
      <c r="L672" s="126"/>
      <c r="M672" s="56"/>
      <c r="N672" s="118"/>
      <c r="O672" s="55"/>
      <c r="P672" s="53"/>
      <c r="Q672" s="55"/>
      <c r="R672" s="49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</row>
    <row r="673" spans="1:41" ht="13.8" x14ac:dyDescent="0.25">
      <c r="A673" s="46"/>
      <c r="B673" s="114"/>
      <c r="C673" s="48"/>
      <c r="D673" s="115"/>
      <c r="E673" s="26" t="str">
        <f t="shared" si="22"/>
        <v/>
      </c>
      <c r="F673" s="116"/>
      <c r="G673" s="116"/>
      <c r="H673" s="52"/>
      <c r="I673" s="126"/>
      <c r="J673" s="139"/>
      <c r="K673" s="126"/>
      <c r="L673" s="126"/>
      <c r="M673" s="56"/>
      <c r="N673" s="118"/>
      <c r="O673" s="55"/>
      <c r="P673" s="53"/>
      <c r="Q673" s="55"/>
      <c r="R673" s="49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</row>
    <row r="674" spans="1:41" ht="13.8" x14ac:dyDescent="0.25">
      <c r="A674" s="46"/>
      <c r="B674" s="114"/>
      <c r="C674" s="48"/>
      <c r="D674" s="115"/>
      <c r="E674" s="26" t="str">
        <f t="shared" si="22"/>
        <v/>
      </c>
      <c r="F674" s="116"/>
      <c r="G674" s="116"/>
      <c r="H674" s="52"/>
      <c r="I674" s="126"/>
      <c r="J674" s="139"/>
      <c r="K674" s="126"/>
      <c r="L674" s="126"/>
      <c r="M674" s="56"/>
      <c r="N674" s="118"/>
      <c r="O674" s="55"/>
      <c r="P674" s="53"/>
      <c r="Q674" s="55"/>
      <c r="R674" s="49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</row>
    <row r="675" spans="1:41" ht="13.8" x14ac:dyDescent="0.25">
      <c r="A675" s="46"/>
      <c r="B675" s="114"/>
      <c r="C675" s="48"/>
      <c r="D675" s="115"/>
      <c r="E675" s="26" t="str">
        <f t="shared" si="22"/>
        <v/>
      </c>
      <c r="F675" s="116"/>
      <c r="G675" s="116"/>
      <c r="H675" s="52"/>
      <c r="I675" s="126"/>
      <c r="J675" s="139"/>
      <c r="K675" s="126"/>
      <c r="L675" s="126"/>
      <c r="M675" s="56"/>
      <c r="N675" s="118"/>
      <c r="O675" s="55"/>
      <c r="P675" s="53"/>
      <c r="Q675" s="55"/>
      <c r="R675" s="49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</row>
    <row r="676" spans="1:41" ht="13.8" x14ac:dyDescent="0.25">
      <c r="A676" s="46"/>
      <c r="B676" s="114"/>
      <c r="C676" s="48"/>
      <c r="D676" s="115"/>
      <c r="E676" s="26" t="str">
        <f t="shared" si="22"/>
        <v/>
      </c>
      <c r="F676" s="116"/>
      <c r="G676" s="116"/>
      <c r="H676" s="52"/>
      <c r="I676" s="126"/>
      <c r="J676" s="139"/>
      <c r="K676" s="126"/>
      <c r="L676" s="126"/>
      <c r="M676" s="56"/>
      <c r="N676" s="118"/>
      <c r="O676" s="55"/>
      <c r="P676" s="53"/>
      <c r="Q676" s="55"/>
      <c r="R676" s="49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</row>
    <row r="677" spans="1:41" ht="13.8" x14ac:dyDescent="0.25">
      <c r="A677" s="46"/>
      <c r="B677" s="114"/>
      <c r="C677" s="48"/>
      <c r="D677" s="115"/>
      <c r="E677" s="26" t="str">
        <f t="shared" si="22"/>
        <v/>
      </c>
      <c r="F677" s="116"/>
      <c r="G677" s="116"/>
      <c r="H677" s="52"/>
      <c r="I677" s="126"/>
      <c r="J677" s="139"/>
      <c r="K677" s="126"/>
      <c r="L677" s="126"/>
      <c r="M677" s="56"/>
      <c r="N677" s="118"/>
      <c r="O677" s="55"/>
      <c r="P677" s="53"/>
      <c r="Q677" s="55"/>
      <c r="R677" s="49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</row>
    <row r="678" spans="1:41" ht="13.8" x14ac:dyDescent="0.25">
      <c r="A678" s="46"/>
      <c r="B678" s="114"/>
      <c r="C678" s="48"/>
      <c r="D678" s="115"/>
      <c r="E678" s="26" t="str">
        <f t="shared" si="22"/>
        <v/>
      </c>
      <c r="F678" s="116"/>
      <c r="G678" s="116"/>
      <c r="H678" s="52"/>
      <c r="I678" s="126"/>
      <c r="J678" s="139"/>
      <c r="K678" s="126"/>
      <c r="L678" s="126"/>
      <c r="M678" s="56"/>
      <c r="N678" s="118"/>
      <c r="O678" s="55"/>
      <c r="P678" s="53"/>
      <c r="Q678" s="55"/>
      <c r="R678" s="49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</row>
    <row r="679" spans="1:41" ht="13.8" x14ac:dyDescent="0.25">
      <c r="A679" s="46"/>
      <c r="B679" s="114"/>
      <c r="C679" s="48"/>
      <c r="D679" s="115"/>
      <c r="E679" s="26" t="str">
        <f t="shared" si="22"/>
        <v/>
      </c>
      <c r="F679" s="116"/>
      <c r="G679" s="116"/>
      <c r="H679" s="52"/>
      <c r="I679" s="126"/>
      <c r="J679" s="139"/>
      <c r="K679" s="126"/>
      <c r="L679" s="126"/>
      <c r="M679" s="56"/>
      <c r="N679" s="118"/>
      <c r="O679" s="55"/>
      <c r="P679" s="53"/>
      <c r="Q679" s="55"/>
      <c r="R679" s="49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</row>
    <row r="680" spans="1:41" ht="13.8" x14ac:dyDescent="0.25">
      <c r="A680" s="46"/>
      <c r="B680" s="114"/>
      <c r="C680" s="48"/>
      <c r="D680" s="115"/>
      <c r="E680" s="26" t="str">
        <f t="shared" si="22"/>
        <v/>
      </c>
      <c r="F680" s="116"/>
      <c r="G680" s="116"/>
      <c r="H680" s="52"/>
      <c r="I680" s="126"/>
      <c r="J680" s="139"/>
      <c r="K680" s="126"/>
      <c r="L680" s="126"/>
      <c r="M680" s="56"/>
      <c r="N680" s="118"/>
      <c r="O680" s="55"/>
      <c r="P680" s="53"/>
      <c r="Q680" s="55"/>
      <c r="R680" s="49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</row>
    <row r="681" spans="1:41" ht="13.8" x14ac:dyDescent="0.25">
      <c r="A681" s="46"/>
      <c r="B681" s="114"/>
      <c r="C681" s="48"/>
      <c r="D681" s="115"/>
      <c r="E681" s="26" t="str">
        <f t="shared" si="22"/>
        <v/>
      </c>
      <c r="F681" s="116"/>
      <c r="G681" s="116"/>
      <c r="H681" s="52"/>
      <c r="I681" s="126"/>
      <c r="J681" s="139"/>
      <c r="K681" s="126"/>
      <c r="L681" s="126"/>
      <c r="M681" s="56"/>
      <c r="N681" s="118"/>
      <c r="O681" s="55"/>
      <c r="P681" s="53"/>
      <c r="Q681" s="55"/>
      <c r="R681" s="49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</row>
    <row r="682" spans="1:41" ht="13.8" x14ac:dyDescent="0.25">
      <c r="A682" s="46"/>
      <c r="B682" s="114"/>
      <c r="C682" s="48"/>
      <c r="D682" s="115"/>
      <c r="E682" s="26" t="str">
        <f t="shared" si="22"/>
        <v/>
      </c>
      <c r="F682" s="116"/>
      <c r="G682" s="116"/>
      <c r="H682" s="52"/>
      <c r="I682" s="126"/>
      <c r="J682" s="139"/>
      <c r="K682" s="126"/>
      <c r="L682" s="126"/>
      <c r="M682" s="56"/>
      <c r="N682" s="118"/>
      <c r="O682" s="55"/>
      <c r="P682" s="53"/>
      <c r="Q682" s="55"/>
      <c r="R682" s="49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</row>
    <row r="683" spans="1:41" ht="13.8" x14ac:dyDescent="0.25">
      <c r="A683" s="46"/>
      <c r="B683" s="114"/>
      <c r="C683" s="48"/>
      <c r="D683" s="115"/>
      <c r="E683" s="26" t="str">
        <f t="shared" si="22"/>
        <v/>
      </c>
      <c r="F683" s="116"/>
      <c r="G683" s="116"/>
      <c r="H683" s="52"/>
      <c r="I683" s="126"/>
      <c r="J683" s="139"/>
      <c r="K683" s="126"/>
      <c r="L683" s="126"/>
      <c r="M683" s="56"/>
      <c r="N683" s="118"/>
      <c r="O683" s="55"/>
      <c r="P683" s="53"/>
      <c r="Q683" s="55"/>
      <c r="R683" s="49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</row>
    <row r="684" spans="1:41" ht="13.8" x14ac:dyDescent="0.25">
      <c r="A684" s="46"/>
      <c r="B684" s="114"/>
      <c r="C684" s="48"/>
      <c r="D684" s="115"/>
      <c r="E684" s="26" t="str">
        <f t="shared" si="22"/>
        <v/>
      </c>
      <c r="F684" s="116"/>
      <c r="G684" s="116"/>
      <c r="H684" s="52"/>
      <c r="I684" s="126"/>
      <c r="J684" s="139"/>
      <c r="K684" s="126"/>
      <c r="L684" s="126"/>
      <c r="M684" s="56"/>
      <c r="N684" s="118"/>
      <c r="O684" s="55"/>
      <c r="P684" s="53"/>
      <c r="Q684" s="55"/>
      <c r="R684" s="49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</row>
    <row r="685" spans="1:41" ht="13.8" x14ac:dyDescent="0.25">
      <c r="A685" s="46"/>
      <c r="B685" s="114"/>
      <c r="C685" s="48"/>
      <c r="D685" s="115"/>
      <c r="E685" s="26" t="str">
        <f t="shared" si="22"/>
        <v/>
      </c>
      <c r="F685" s="116"/>
      <c r="G685" s="116"/>
      <c r="H685" s="52"/>
      <c r="I685" s="126"/>
      <c r="J685" s="139"/>
      <c r="K685" s="126"/>
      <c r="L685" s="126"/>
      <c r="M685" s="56"/>
      <c r="N685" s="118"/>
      <c r="O685" s="55"/>
      <c r="P685" s="53"/>
      <c r="Q685" s="55"/>
      <c r="R685" s="49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</row>
    <row r="686" spans="1:41" ht="13.8" x14ac:dyDescent="0.25">
      <c r="A686" s="46"/>
      <c r="B686" s="114"/>
      <c r="C686" s="48"/>
      <c r="D686" s="115"/>
      <c r="E686" s="26" t="str">
        <f t="shared" si="22"/>
        <v/>
      </c>
      <c r="F686" s="116"/>
      <c r="G686" s="116"/>
      <c r="H686" s="52"/>
      <c r="I686" s="126"/>
      <c r="J686" s="139"/>
      <c r="K686" s="126"/>
      <c r="L686" s="126"/>
      <c r="M686" s="56"/>
      <c r="N686" s="118"/>
      <c r="O686" s="55"/>
      <c r="P686" s="53"/>
      <c r="Q686" s="55"/>
      <c r="R686" s="49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</row>
    <row r="687" spans="1:41" ht="13.8" x14ac:dyDescent="0.25">
      <c r="A687" s="46"/>
      <c r="B687" s="114"/>
      <c r="C687" s="48"/>
      <c r="D687" s="115"/>
      <c r="E687" s="26" t="str">
        <f t="shared" si="22"/>
        <v/>
      </c>
      <c r="F687" s="116"/>
      <c r="G687" s="116"/>
      <c r="H687" s="52"/>
      <c r="I687" s="126"/>
      <c r="J687" s="139"/>
      <c r="K687" s="126"/>
      <c r="L687" s="126"/>
      <c r="M687" s="56"/>
      <c r="N687" s="118"/>
      <c r="O687" s="55"/>
      <c r="P687" s="53"/>
      <c r="Q687" s="55"/>
      <c r="R687" s="49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</row>
    <row r="688" spans="1:41" ht="13.8" x14ac:dyDescent="0.25">
      <c r="A688" s="46"/>
      <c r="B688" s="114"/>
      <c r="C688" s="48"/>
      <c r="D688" s="115"/>
      <c r="E688" s="26" t="str">
        <f t="shared" si="22"/>
        <v/>
      </c>
      <c r="F688" s="116"/>
      <c r="G688" s="116"/>
      <c r="H688" s="52"/>
      <c r="I688" s="126"/>
      <c r="J688" s="139"/>
      <c r="K688" s="126"/>
      <c r="L688" s="126"/>
      <c r="M688" s="56"/>
      <c r="N688" s="118"/>
      <c r="O688" s="55"/>
      <c r="P688" s="53"/>
      <c r="Q688" s="55"/>
      <c r="R688" s="49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</row>
    <row r="689" spans="1:41" ht="13.8" x14ac:dyDescent="0.25">
      <c r="A689" s="46"/>
      <c r="B689" s="114"/>
      <c r="C689" s="48"/>
      <c r="D689" s="115"/>
      <c r="E689" s="26" t="str">
        <f t="shared" si="22"/>
        <v/>
      </c>
      <c r="F689" s="116"/>
      <c r="G689" s="116"/>
      <c r="H689" s="52"/>
      <c r="I689" s="126"/>
      <c r="J689" s="139"/>
      <c r="K689" s="126"/>
      <c r="L689" s="126"/>
      <c r="M689" s="56"/>
      <c r="N689" s="118"/>
      <c r="O689" s="55"/>
      <c r="P689" s="53"/>
      <c r="Q689" s="55"/>
      <c r="R689" s="49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</row>
    <row r="690" spans="1:41" ht="13.8" x14ac:dyDescent="0.25">
      <c r="A690" s="46"/>
      <c r="B690" s="114"/>
      <c r="C690" s="48"/>
      <c r="D690" s="115"/>
      <c r="E690" s="26" t="str">
        <f t="shared" si="22"/>
        <v/>
      </c>
      <c r="F690" s="116"/>
      <c r="G690" s="116"/>
      <c r="H690" s="52"/>
      <c r="I690" s="126"/>
      <c r="J690" s="139"/>
      <c r="K690" s="126"/>
      <c r="L690" s="126"/>
      <c r="M690" s="56"/>
      <c r="N690" s="118"/>
      <c r="O690" s="55"/>
      <c r="P690" s="53"/>
      <c r="Q690" s="55"/>
      <c r="R690" s="49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</row>
    <row r="691" spans="1:41" ht="13.8" x14ac:dyDescent="0.25">
      <c r="A691" s="46"/>
      <c r="B691" s="114"/>
      <c r="C691" s="48"/>
      <c r="D691" s="115"/>
      <c r="E691" s="26" t="str">
        <f t="shared" si="22"/>
        <v/>
      </c>
      <c r="F691" s="116"/>
      <c r="G691" s="116"/>
      <c r="H691" s="52"/>
      <c r="I691" s="126"/>
      <c r="J691" s="139"/>
      <c r="K691" s="126"/>
      <c r="L691" s="126"/>
      <c r="M691" s="56"/>
      <c r="N691" s="118"/>
      <c r="O691" s="55"/>
      <c r="P691" s="53"/>
      <c r="Q691" s="55"/>
      <c r="R691" s="49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</row>
    <row r="692" spans="1:41" ht="13.8" x14ac:dyDescent="0.25">
      <c r="A692" s="46"/>
      <c r="B692" s="114"/>
      <c r="C692" s="48"/>
      <c r="D692" s="115"/>
      <c r="E692" s="26" t="str">
        <f t="shared" si="22"/>
        <v/>
      </c>
      <c r="F692" s="116"/>
      <c r="G692" s="116"/>
      <c r="H692" s="52"/>
      <c r="I692" s="126"/>
      <c r="J692" s="139"/>
      <c r="K692" s="126"/>
      <c r="L692" s="126"/>
      <c r="M692" s="56"/>
      <c r="N692" s="118"/>
      <c r="O692" s="55"/>
      <c r="P692" s="53"/>
      <c r="Q692" s="55"/>
      <c r="R692" s="49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</row>
    <row r="693" spans="1:41" ht="13.8" x14ac:dyDescent="0.25">
      <c r="A693" s="46"/>
      <c r="B693" s="114"/>
      <c r="C693" s="48"/>
      <c r="D693" s="115"/>
      <c r="E693" s="26" t="str">
        <f t="shared" si="22"/>
        <v/>
      </c>
      <c r="F693" s="116"/>
      <c r="G693" s="116"/>
      <c r="H693" s="52"/>
      <c r="I693" s="126"/>
      <c r="J693" s="139"/>
      <c r="K693" s="126"/>
      <c r="L693" s="126"/>
      <c r="M693" s="56"/>
      <c r="N693" s="118"/>
      <c r="O693" s="55"/>
      <c r="P693" s="53"/>
      <c r="Q693" s="55"/>
      <c r="R693" s="49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</row>
    <row r="694" spans="1:41" ht="13.8" x14ac:dyDescent="0.25">
      <c r="A694" s="46"/>
      <c r="B694" s="114"/>
      <c r="C694" s="48"/>
      <c r="D694" s="115"/>
      <c r="E694" s="26" t="str">
        <f t="shared" si="22"/>
        <v/>
      </c>
      <c r="F694" s="116"/>
      <c r="G694" s="116"/>
      <c r="H694" s="52"/>
      <c r="I694" s="126"/>
      <c r="J694" s="139"/>
      <c r="K694" s="126"/>
      <c r="L694" s="126"/>
      <c r="M694" s="56"/>
      <c r="N694" s="118"/>
      <c r="O694" s="55"/>
      <c r="P694" s="53"/>
      <c r="Q694" s="55"/>
      <c r="R694" s="49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</row>
    <row r="695" spans="1:41" ht="13.8" x14ac:dyDescent="0.25">
      <c r="A695" s="46"/>
      <c r="B695" s="114"/>
      <c r="C695" s="48"/>
      <c r="D695" s="115"/>
      <c r="E695" s="26" t="str">
        <f t="shared" si="22"/>
        <v/>
      </c>
      <c r="F695" s="116"/>
      <c r="G695" s="116"/>
      <c r="H695" s="52"/>
      <c r="I695" s="126"/>
      <c r="J695" s="139"/>
      <c r="K695" s="126"/>
      <c r="L695" s="126"/>
      <c r="M695" s="56"/>
      <c r="N695" s="118"/>
      <c r="O695" s="55"/>
      <c r="P695" s="53"/>
      <c r="Q695" s="55"/>
      <c r="R695" s="49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</row>
    <row r="696" spans="1:41" ht="13.8" x14ac:dyDescent="0.25">
      <c r="A696" s="46"/>
      <c r="B696" s="114"/>
      <c r="C696" s="48"/>
      <c r="D696" s="115"/>
      <c r="E696" s="26" t="str">
        <f t="shared" si="22"/>
        <v/>
      </c>
      <c r="F696" s="116"/>
      <c r="G696" s="116"/>
      <c r="H696" s="52"/>
      <c r="I696" s="126"/>
      <c r="J696" s="139"/>
      <c r="K696" s="126"/>
      <c r="L696" s="126"/>
      <c r="M696" s="56"/>
      <c r="N696" s="118"/>
      <c r="O696" s="55"/>
      <c r="P696" s="53"/>
      <c r="Q696" s="55"/>
      <c r="R696" s="49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</row>
    <row r="697" spans="1:41" ht="13.8" x14ac:dyDescent="0.25">
      <c r="A697" s="46"/>
      <c r="B697" s="114"/>
      <c r="C697" s="48"/>
      <c r="D697" s="115"/>
      <c r="E697" s="26" t="str">
        <f t="shared" si="22"/>
        <v/>
      </c>
      <c r="F697" s="116"/>
      <c r="G697" s="116"/>
      <c r="H697" s="52"/>
      <c r="I697" s="126"/>
      <c r="J697" s="139"/>
      <c r="K697" s="126"/>
      <c r="L697" s="126"/>
      <c r="M697" s="56"/>
      <c r="N697" s="118"/>
      <c r="O697" s="55"/>
      <c r="P697" s="53"/>
      <c r="Q697" s="55"/>
      <c r="R697" s="49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</row>
    <row r="698" spans="1:41" ht="13.8" x14ac:dyDescent="0.25">
      <c r="A698" s="46"/>
      <c r="B698" s="114"/>
      <c r="C698" s="48"/>
      <c r="D698" s="115"/>
      <c r="E698" s="26" t="str">
        <f t="shared" si="22"/>
        <v/>
      </c>
      <c r="F698" s="116"/>
      <c r="G698" s="116"/>
      <c r="H698" s="52"/>
      <c r="I698" s="126"/>
      <c r="J698" s="139"/>
      <c r="K698" s="126"/>
      <c r="L698" s="126"/>
      <c r="M698" s="56"/>
      <c r="N698" s="118"/>
      <c r="O698" s="55"/>
      <c r="P698" s="53"/>
      <c r="Q698" s="55"/>
      <c r="R698" s="49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</row>
    <row r="699" spans="1:41" ht="13.8" x14ac:dyDescent="0.25">
      <c r="A699" s="46"/>
      <c r="B699" s="114"/>
      <c r="C699" s="48"/>
      <c r="D699" s="115"/>
      <c r="E699" s="26" t="str">
        <f t="shared" si="22"/>
        <v/>
      </c>
      <c r="F699" s="116"/>
      <c r="G699" s="116"/>
      <c r="H699" s="52"/>
      <c r="I699" s="126"/>
      <c r="J699" s="139"/>
      <c r="K699" s="126"/>
      <c r="L699" s="126"/>
      <c r="M699" s="56"/>
      <c r="N699" s="118"/>
      <c r="O699" s="55"/>
      <c r="P699" s="53"/>
      <c r="Q699" s="55"/>
      <c r="R699" s="49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</row>
    <row r="700" spans="1:41" ht="13.8" x14ac:dyDescent="0.25">
      <c r="A700" s="46"/>
      <c r="B700" s="114"/>
      <c r="C700" s="48"/>
      <c r="D700" s="115"/>
      <c r="E700" s="26" t="str">
        <f t="shared" si="22"/>
        <v/>
      </c>
      <c r="F700" s="116"/>
      <c r="G700" s="116"/>
      <c r="H700" s="52"/>
      <c r="I700" s="126"/>
      <c r="J700" s="139"/>
      <c r="K700" s="126"/>
      <c r="L700" s="126"/>
      <c r="M700" s="56"/>
      <c r="N700" s="118"/>
      <c r="O700" s="55"/>
      <c r="P700" s="53"/>
      <c r="Q700" s="55"/>
      <c r="R700" s="49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</row>
    <row r="701" spans="1:41" ht="13.8" x14ac:dyDescent="0.25">
      <c r="A701" s="46"/>
      <c r="B701" s="114"/>
      <c r="C701" s="48"/>
      <c r="D701" s="115"/>
      <c r="E701" s="26" t="str">
        <f t="shared" si="22"/>
        <v/>
      </c>
      <c r="F701" s="116"/>
      <c r="G701" s="116"/>
      <c r="H701" s="52"/>
      <c r="I701" s="126"/>
      <c r="J701" s="139"/>
      <c r="K701" s="126"/>
      <c r="L701" s="126"/>
      <c r="M701" s="56"/>
      <c r="N701" s="118"/>
      <c r="O701" s="55"/>
      <c r="P701" s="53"/>
      <c r="Q701" s="55"/>
      <c r="R701" s="49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</row>
    <row r="702" spans="1:41" ht="13.8" x14ac:dyDescent="0.25">
      <c r="A702" s="46"/>
      <c r="B702" s="114"/>
      <c r="C702" s="48"/>
      <c r="D702" s="115"/>
      <c r="E702" s="26" t="str">
        <f t="shared" si="22"/>
        <v/>
      </c>
      <c r="F702" s="116"/>
      <c r="G702" s="116"/>
      <c r="H702" s="52"/>
      <c r="I702" s="126"/>
      <c r="J702" s="139"/>
      <c r="K702" s="126"/>
      <c r="L702" s="126"/>
      <c r="M702" s="56"/>
      <c r="N702" s="118"/>
      <c r="O702" s="55"/>
      <c r="P702" s="53"/>
      <c r="Q702" s="55"/>
      <c r="R702" s="49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</row>
    <row r="703" spans="1:41" ht="13.8" x14ac:dyDescent="0.25">
      <c r="A703" s="46"/>
      <c r="B703" s="114"/>
      <c r="C703" s="48"/>
      <c r="D703" s="115"/>
      <c r="E703" s="26" t="str">
        <f t="shared" si="22"/>
        <v/>
      </c>
      <c r="F703" s="116"/>
      <c r="G703" s="116"/>
      <c r="H703" s="52"/>
      <c r="I703" s="126"/>
      <c r="J703" s="139"/>
      <c r="K703" s="126"/>
      <c r="L703" s="126"/>
      <c r="M703" s="56"/>
      <c r="N703" s="118"/>
      <c r="O703" s="55"/>
      <c r="P703" s="53"/>
      <c r="Q703" s="55"/>
      <c r="R703" s="49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</row>
    <row r="704" spans="1:41" ht="13.8" x14ac:dyDescent="0.25">
      <c r="A704" s="46"/>
      <c r="B704" s="114"/>
      <c r="C704" s="48"/>
      <c r="D704" s="115"/>
      <c r="E704" s="26" t="str">
        <f t="shared" si="22"/>
        <v/>
      </c>
      <c r="F704" s="116"/>
      <c r="G704" s="116"/>
      <c r="H704" s="52"/>
      <c r="I704" s="126"/>
      <c r="J704" s="139"/>
      <c r="K704" s="126"/>
      <c r="L704" s="126"/>
      <c r="M704" s="56"/>
      <c r="N704" s="118"/>
      <c r="O704" s="55"/>
      <c r="P704" s="53"/>
      <c r="Q704" s="55"/>
      <c r="R704" s="49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</row>
    <row r="705" spans="1:41" ht="13.8" x14ac:dyDescent="0.25">
      <c r="A705" s="46"/>
      <c r="B705" s="114"/>
      <c r="C705" s="48"/>
      <c r="D705" s="115"/>
      <c r="E705" s="26" t="str">
        <f t="shared" si="22"/>
        <v/>
      </c>
      <c r="F705" s="116"/>
      <c r="G705" s="116"/>
      <c r="H705" s="52"/>
      <c r="I705" s="126"/>
      <c r="J705" s="139"/>
      <c r="K705" s="126"/>
      <c r="L705" s="126"/>
      <c r="M705" s="56"/>
      <c r="N705" s="118"/>
      <c r="O705" s="55"/>
      <c r="P705" s="53"/>
      <c r="Q705" s="55"/>
      <c r="R705" s="49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</row>
    <row r="706" spans="1:41" ht="13.8" x14ac:dyDescent="0.25">
      <c r="A706" s="46"/>
      <c r="B706" s="114"/>
      <c r="C706" s="48"/>
      <c r="D706" s="115"/>
      <c r="E706" s="26" t="str">
        <f t="shared" si="22"/>
        <v/>
      </c>
      <c r="F706" s="116"/>
      <c r="G706" s="116"/>
      <c r="H706" s="52"/>
      <c r="I706" s="126"/>
      <c r="J706" s="139"/>
      <c r="K706" s="126"/>
      <c r="L706" s="126"/>
      <c r="M706" s="56"/>
      <c r="N706" s="118"/>
      <c r="O706" s="55"/>
      <c r="P706" s="53"/>
      <c r="Q706" s="55"/>
      <c r="R706" s="49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</row>
    <row r="707" spans="1:41" ht="13.8" x14ac:dyDescent="0.25">
      <c r="A707" s="46"/>
      <c r="B707" s="114"/>
      <c r="C707" s="48"/>
      <c r="D707" s="115"/>
      <c r="E707" s="26" t="str">
        <f t="shared" si="22"/>
        <v/>
      </c>
      <c r="F707" s="116"/>
      <c r="G707" s="116"/>
      <c r="H707" s="52"/>
      <c r="I707" s="126"/>
      <c r="J707" s="139"/>
      <c r="K707" s="126"/>
      <c r="L707" s="126"/>
      <c r="M707" s="56"/>
      <c r="N707" s="118"/>
      <c r="O707" s="55"/>
      <c r="P707" s="53"/>
      <c r="Q707" s="55"/>
      <c r="R707" s="49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</row>
    <row r="708" spans="1:41" ht="13.8" x14ac:dyDescent="0.25">
      <c r="A708" s="46"/>
      <c r="B708" s="114"/>
      <c r="C708" s="48"/>
      <c r="D708" s="115"/>
      <c r="E708" s="26" t="str">
        <f t="shared" si="22"/>
        <v/>
      </c>
      <c r="F708" s="116"/>
      <c r="G708" s="116"/>
      <c r="H708" s="52"/>
      <c r="I708" s="126"/>
      <c r="J708" s="139"/>
      <c r="K708" s="126"/>
      <c r="L708" s="126"/>
      <c r="M708" s="56"/>
      <c r="N708" s="118"/>
      <c r="O708" s="55"/>
      <c r="P708" s="53"/>
      <c r="Q708" s="55"/>
      <c r="R708" s="49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</row>
    <row r="709" spans="1:41" ht="13.8" x14ac:dyDescent="0.25">
      <c r="A709" s="46"/>
      <c r="B709" s="114"/>
      <c r="C709" s="48"/>
      <c r="D709" s="115"/>
      <c r="E709" s="26" t="str">
        <f t="shared" si="22"/>
        <v/>
      </c>
      <c r="F709" s="116"/>
      <c r="G709" s="116"/>
      <c r="H709" s="52"/>
      <c r="I709" s="126"/>
      <c r="J709" s="139"/>
      <c r="K709" s="126"/>
      <c r="L709" s="126"/>
      <c r="M709" s="56"/>
      <c r="N709" s="118"/>
      <c r="O709" s="55"/>
      <c r="P709" s="53"/>
      <c r="Q709" s="55"/>
      <c r="R709" s="49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</row>
    <row r="710" spans="1:41" ht="13.8" x14ac:dyDescent="0.25">
      <c r="A710" s="46"/>
      <c r="B710" s="114"/>
      <c r="C710" s="48"/>
      <c r="D710" s="115"/>
      <c r="E710" s="26" t="str">
        <f t="shared" si="22"/>
        <v/>
      </c>
      <c r="F710" s="116"/>
      <c r="G710" s="116"/>
      <c r="H710" s="52"/>
      <c r="I710" s="126"/>
      <c r="J710" s="139"/>
      <c r="K710" s="126"/>
      <c r="L710" s="126"/>
      <c r="M710" s="56"/>
      <c r="N710" s="118"/>
      <c r="O710" s="55"/>
      <c r="P710" s="53"/>
      <c r="Q710" s="55"/>
      <c r="R710" s="49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</row>
    <row r="711" spans="1:41" ht="13.8" x14ac:dyDescent="0.25">
      <c r="A711" s="46"/>
      <c r="B711" s="114"/>
      <c r="C711" s="48"/>
      <c r="D711" s="115"/>
      <c r="E711" s="26" t="str">
        <f t="shared" si="22"/>
        <v/>
      </c>
      <c r="F711" s="116"/>
      <c r="G711" s="116"/>
      <c r="H711" s="52"/>
      <c r="I711" s="126"/>
      <c r="J711" s="139"/>
      <c r="K711" s="126"/>
      <c r="L711" s="126"/>
      <c r="M711" s="56"/>
      <c r="N711" s="118"/>
      <c r="O711" s="55"/>
      <c r="P711" s="53"/>
      <c r="Q711" s="55"/>
      <c r="R711" s="49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</row>
    <row r="712" spans="1:41" ht="13.8" x14ac:dyDescent="0.25">
      <c r="A712" s="46"/>
      <c r="B712" s="114"/>
      <c r="C712" s="48"/>
      <c r="D712" s="115"/>
      <c r="E712" s="26" t="str">
        <f t="shared" si="22"/>
        <v/>
      </c>
      <c r="F712" s="116"/>
      <c r="G712" s="116"/>
      <c r="H712" s="52"/>
      <c r="I712" s="126"/>
      <c r="J712" s="139"/>
      <c r="K712" s="126"/>
      <c r="L712" s="126"/>
      <c r="M712" s="56"/>
      <c r="N712" s="118"/>
      <c r="O712" s="55"/>
      <c r="P712" s="53"/>
      <c r="Q712" s="55"/>
      <c r="R712" s="49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</row>
    <row r="713" spans="1:41" ht="13.8" x14ac:dyDescent="0.25">
      <c r="A713" s="46"/>
      <c r="B713" s="114"/>
      <c r="C713" s="48"/>
      <c r="D713" s="115"/>
      <c r="E713" s="26" t="str">
        <f t="shared" si="22"/>
        <v/>
      </c>
      <c r="F713" s="116"/>
      <c r="G713" s="116"/>
      <c r="H713" s="52"/>
      <c r="I713" s="126"/>
      <c r="J713" s="139"/>
      <c r="K713" s="126"/>
      <c r="L713" s="126"/>
      <c r="M713" s="56"/>
      <c r="N713" s="118"/>
      <c r="O713" s="55"/>
      <c r="P713" s="53"/>
      <c r="Q713" s="55"/>
      <c r="R713" s="49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</row>
    <row r="714" spans="1:41" ht="13.8" x14ac:dyDescent="0.25">
      <c r="A714" s="46"/>
      <c r="B714" s="114"/>
      <c r="C714" s="48"/>
      <c r="D714" s="115"/>
      <c r="E714" s="26" t="str">
        <f t="shared" si="22"/>
        <v/>
      </c>
      <c r="F714" s="116"/>
      <c r="G714" s="116"/>
      <c r="H714" s="52"/>
      <c r="I714" s="126"/>
      <c r="J714" s="139"/>
      <c r="K714" s="126"/>
      <c r="L714" s="126"/>
      <c r="M714" s="56"/>
      <c r="N714" s="118"/>
      <c r="O714" s="55"/>
      <c r="P714" s="53"/>
      <c r="Q714" s="55"/>
      <c r="R714" s="49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</row>
    <row r="715" spans="1:41" ht="13.8" x14ac:dyDescent="0.25">
      <c r="A715" s="46"/>
      <c r="B715" s="114"/>
      <c r="C715" s="48"/>
      <c r="D715" s="115"/>
      <c r="E715" s="26" t="str">
        <f t="shared" si="22"/>
        <v/>
      </c>
      <c r="F715" s="116"/>
      <c r="G715" s="116"/>
      <c r="H715" s="52"/>
      <c r="I715" s="126"/>
      <c r="J715" s="139"/>
      <c r="K715" s="126"/>
      <c r="L715" s="126"/>
      <c r="M715" s="56"/>
      <c r="N715" s="118"/>
      <c r="O715" s="55"/>
      <c r="P715" s="53"/>
      <c r="Q715" s="55"/>
      <c r="R715" s="49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</row>
    <row r="716" spans="1:41" ht="13.8" x14ac:dyDescent="0.25">
      <c r="A716" s="46"/>
      <c r="B716" s="114"/>
      <c r="C716" s="48"/>
      <c r="D716" s="115"/>
      <c r="E716" s="26" t="str">
        <f t="shared" si="22"/>
        <v/>
      </c>
      <c r="F716" s="116"/>
      <c r="G716" s="116"/>
      <c r="H716" s="52"/>
      <c r="I716" s="126"/>
      <c r="J716" s="139"/>
      <c r="K716" s="126"/>
      <c r="L716" s="126"/>
      <c r="M716" s="56"/>
      <c r="N716" s="118"/>
      <c r="O716" s="55"/>
      <c r="P716" s="53"/>
      <c r="Q716" s="55"/>
      <c r="R716" s="49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</row>
    <row r="717" spans="1:41" ht="13.8" x14ac:dyDescent="0.25">
      <c r="A717" s="46"/>
      <c r="B717" s="114"/>
      <c r="C717" s="48"/>
      <c r="D717" s="115"/>
      <c r="E717" s="26" t="str">
        <f t="shared" si="22"/>
        <v/>
      </c>
      <c r="F717" s="116"/>
      <c r="G717" s="116"/>
      <c r="H717" s="52"/>
      <c r="I717" s="126"/>
      <c r="J717" s="139"/>
      <c r="K717" s="126"/>
      <c r="L717" s="126"/>
      <c r="M717" s="56"/>
      <c r="N717" s="118"/>
      <c r="O717" s="55"/>
      <c r="P717" s="53"/>
      <c r="Q717" s="55"/>
      <c r="R717" s="49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</row>
    <row r="718" spans="1:41" ht="13.8" x14ac:dyDescent="0.25">
      <c r="A718" s="46"/>
      <c r="B718" s="114"/>
      <c r="C718" s="48"/>
      <c r="D718" s="115"/>
      <c r="E718" s="26" t="str">
        <f t="shared" si="22"/>
        <v/>
      </c>
      <c r="F718" s="116"/>
      <c r="G718" s="116"/>
      <c r="H718" s="52"/>
      <c r="I718" s="126"/>
      <c r="J718" s="139"/>
      <c r="K718" s="126"/>
      <c r="L718" s="126"/>
      <c r="M718" s="56"/>
      <c r="N718" s="118"/>
      <c r="O718" s="55"/>
      <c r="P718" s="53"/>
      <c r="Q718" s="55"/>
      <c r="R718" s="49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</row>
    <row r="719" spans="1:41" ht="13.8" x14ac:dyDescent="0.25">
      <c r="A719" s="46"/>
      <c r="B719" s="114"/>
      <c r="C719" s="48"/>
      <c r="D719" s="115"/>
      <c r="E719" s="26" t="str">
        <f t="shared" si="22"/>
        <v/>
      </c>
      <c r="F719" s="116"/>
      <c r="G719" s="116"/>
      <c r="H719" s="52"/>
      <c r="I719" s="126"/>
      <c r="J719" s="139"/>
      <c r="K719" s="126"/>
      <c r="L719" s="126"/>
      <c r="M719" s="56"/>
      <c r="N719" s="118"/>
      <c r="O719" s="55"/>
      <c r="P719" s="53"/>
      <c r="Q719" s="55"/>
      <c r="R719" s="49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</row>
    <row r="720" spans="1:41" ht="13.8" x14ac:dyDescent="0.25">
      <c r="A720" s="46"/>
      <c r="B720" s="114"/>
      <c r="C720" s="48"/>
      <c r="D720" s="115"/>
      <c r="E720" s="26" t="str">
        <f t="shared" si="22"/>
        <v/>
      </c>
      <c r="F720" s="116"/>
      <c r="G720" s="116"/>
      <c r="H720" s="52"/>
      <c r="I720" s="126"/>
      <c r="J720" s="139"/>
      <c r="K720" s="126"/>
      <c r="L720" s="126"/>
      <c r="M720" s="56"/>
      <c r="N720" s="118"/>
      <c r="O720" s="55"/>
      <c r="P720" s="53"/>
      <c r="Q720" s="55"/>
      <c r="R720" s="49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</row>
    <row r="721" spans="1:41" ht="13.8" x14ac:dyDescent="0.25">
      <c r="A721" s="46"/>
      <c r="B721" s="114"/>
      <c r="C721" s="48"/>
      <c r="D721" s="115"/>
      <c r="E721" s="26" t="str">
        <f t="shared" si="22"/>
        <v/>
      </c>
      <c r="F721" s="116"/>
      <c r="G721" s="116"/>
      <c r="H721" s="52"/>
      <c r="I721" s="126"/>
      <c r="J721" s="139"/>
      <c r="K721" s="126"/>
      <c r="L721" s="126"/>
      <c r="M721" s="56"/>
      <c r="N721" s="118"/>
      <c r="O721" s="55"/>
      <c r="P721" s="53"/>
      <c r="Q721" s="55"/>
      <c r="R721" s="49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</row>
    <row r="722" spans="1:41" ht="13.8" x14ac:dyDescent="0.25">
      <c r="A722" s="46"/>
      <c r="B722" s="114"/>
      <c r="C722" s="48"/>
      <c r="D722" s="115"/>
      <c r="E722" s="26" t="str">
        <f t="shared" si="22"/>
        <v/>
      </c>
      <c r="F722" s="116"/>
      <c r="G722" s="116"/>
      <c r="H722" s="52"/>
      <c r="I722" s="126"/>
      <c r="J722" s="139"/>
      <c r="K722" s="126"/>
      <c r="L722" s="126"/>
      <c r="M722" s="56"/>
      <c r="N722" s="118"/>
      <c r="O722" s="55"/>
      <c r="P722" s="53"/>
      <c r="Q722" s="55"/>
      <c r="R722" s="49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</row>
    <row r="723" spans="1:41" ht="13.8" x14ac:dyDescent="0.25">
      <c r="A723" s="46"/>
      <c r="B723" s="114"/>
      <c r="C723" s="48"/>
      <c r="D723" s="115"/>
      <c r="E723" s="26" t="str">
        <f t="shared" si="22"/>
        <v/>
      </c>
      <c r="F723" s="116"/>
      <c r="G723" s="116"/>
      <c r="H723" s="52"/>
      <c r="I723" s="126"/>
      <c r="J723" s="139"/>
      <c r="K723" s="126"/>
      <c r="L723" s="126"/>
      <c r="M723" s="56"/>
      <c r="N723" s="118"/>
      <c r="O723" s="55"/>
      <c r="P723" s="53"/>
      <c r="Q723" s="55"/>
      <c r="R723" s="49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</row>
    <row r="724" spans="1:41" ht="13.8" x14ac:dyDescent="0.25">
      <c r="A724" s="46"/>
      <c r="B724" s="114"/>
      <c r="C724" s="48"/>
      <c r="D724" s="115"/>
      <c r="E724" s="26" t="str">
        <f t="shared" si="22"/>
        <v/>
      </c>
      <c r="F724" s="116"/>
      <c r="G724" s="116"/>
      <c r="H724" s="52"/>
      <c r="I724" s="126"/>
      <c r="J724" s="139"/>
      <c r="K724" s="126"/>
      <c r="L724" s="126"/>
      <c r="M724" s="56"/>
      <c r="N724" s="118"/>
      <c r="O724" s="55"/>
      <c r="P724" s="53"/>
      <c r="Q724" s="55"/>
      <c r="R724" s="49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</row>
    <row r="725" spans="1:41" ht="13.8" x14ac:dyDescent="0.25">
      <c r="A725" s="46"/>
      <c r="B725" s="114"/>
      <c r="C725" s="48"/>
      <c r="D725" s="115"/>
      <c r="E725" s="26" t="str">
        <f t="shared" si="22"/>
        <v/>
      </c>
      <c r="F725" s="116"/>
      <c r="G725" s="116"/>
      <c r="H725" s="52"/>
      <c r="I725" s="126"/>
      <c r="J725" s="139"/>
      <c r="K725" s="126"/>
      <c r="L725" s="126"/>
      <c r="M725" s="56"/>
      <c r="N725" s="118"/>
      <c r="O725" s="55"/>
      <c r="P725" s="53"/>
      <c r="Q725" s="55"/>
      <c r="R725" s="49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</row>
    <row r="726" spans="1:41" ht="13.8" x14ac:dyDescent="0.25">
      <c r="A726" s="46"/>
      <c r="B726" s="114"/>
      <c r="C726" s="48"/>
      <c r="D726" s="115"/>
      <c r="E726" s="26" t="str">
        <f t="shared" si="22"/>
        <v/>
      </c>
      <c r="F726" s="116"/>
      <c r="G726" s="116"/>
      <c r="H726" s="52"/>
      <c r="I726" s="126"/>
      <c r="J726" s="139"/>
      <c r="K726" s="126"/>
      <c r="L726" s="126"/>
      <c r="M726" s="56"/>
      <c r="N726" s="118"/>
      <c r="O726" s="55"/>
      <c r="P726" s="53"/>
      <c r="Q726" s="55"/>
      <c r="R726" s="49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</row>
    <row r="727" spans="1:41" ht="13.8" x14ac:dyDescent="0.25">
      <c r="A727" s="46"/>
      <c r="B727" s="114"/>
      <c r="C727" s="48"/>
      <c r="D727" s="115"/>
      <c r="E727" s="26" t="str">
        <f t="shared" si="22"/>
        <v/>
      </c>
      <c r="F727" s="116"/>
      <c r="G727" s="116"/>
      <c r="H727" s="52"/>
      <c r="I727" s="126"/>
      <c r="J727" s="139"/>
      <c r="K727" s="126"/>
      <c r="L727" s="126"/>
      <c r="M727" s="56"/>
      <c r="N727" s="118"/>
      <c r="O727" s="55"/>
      <c r="P727" s="53"/>
      <c r="Q727" s="55"/>
      <c r="R727" s="49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</row>
    <row r="728" spans="1:41" ht="13.8" x14ac:dyDescent="0.25">
      <c r="A728" s="46"/>
      <c r="B728" s="114"/>
      <c r="C728" s="48"/>
      <c r="D728" s="115"/>
      <c r="E728" s="26" t="str">
        <f t="shared" si="22"/>
        <v/>
      </c>
      <c r="F728" s="116"/>
      <c r="G728" s="116"/>
      <c r="H728" s="52"/>
      <c r="I728" s="126"/>
      <c r="J728" s="139"/>
      <c r="K728" s="126"/>
      <c r="L728" s="126"/>
      <c r="M728" s="56"/>
      <c r="N728" s="118"/>
      <c r="O728" s="55"/>
      <c r="P728" s="53"/>
      <c r="Q728" s="55"/>
      <c r="R728" s="49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</row>
    <row r="729" spans="1:41" ht="13.8" x14ac:dyDescent="0.25">
      <c r="A729" s="46"/>
      <c r="B729" s="114"/>
      <c r="C729" s="48"/>
      <c r="D729" s="115"/>
      <c r="E729" s="26" t="str">
        <f t="shared" si="22"/>
        <v/>
      </c>
      <c r="F729" s="116"/>
      <c r="G729" s="116"/>
      <c r="H729" s="52"/>
      <c r="I729" s="126"/>
      <c r="J729" s="139"/>
      <c r="K729" s="126"/>
      <c r="L729" s="126"/>
      <c r="M729" s="56"/>
      <c r="N729" s="118"/>
      <c r="O729" s="55"/>
      <c r="P729" s="53"/>
      <c r="Q729" s="55"/>
      <c r="R729" s="49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</row>
    <row r="730" spans="1:41" ht="13.8" x14ac:dyDescent="0.25">
      <c r="A730" s="46"/>
      <c r="B730" s="114"/>
      <c r="C730" s="48"/>
      <c r="D730" s="115"/>
      <c r="E730" s="26" t="str">
        <f t="shared" si="22"/>
        <v/>
      </c>
      <c r="F730" s="116"/>
      <c r="G730" s="116"/>
      <c r="H730" s="52"/>
      <c r="I730" s="126"/>
      <c r="J730" s="139"/>
      <c r="K730" s="126"/>
      <c r="L730" s="126"/>
      <c r="M730" s="56"/>
      <c r="N730" s="118"/>
      <c r="O730" s="55"/>
      <c r="P730" s="53"/>
      <c r="Q730" s="55"/>
      <c r="R730" s="49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</row>
    <row r="731" spans="1:41" ht="13.8" x14ac:dyDescent="0.25">
      <c r="A731" s="46"/>
      <c r="B731" s="114"/>
      <c r="C731" s="48"/>
      <c r="D731" s="115"/>
      <c r="E731" s="26" t="str">
        <f t="shared" si="22"/>
        <v/>
      </c>
      <c r="F731" s="116"/>
      <c r="G731" s="116"/>
      <c r="H731" s="52"/>
      <c r="I731" s="126"/>
      <c r="J731" s="139"/>
      <c r="K731" s="126"/>
      <c r="L731" s="126"/>
      <c r="M731" s="56"/>
      <c r="N731" s="118"/>
      <c r="O731" s="55"/>
      <c r="P731" s="53"/>
      <c r="Q731" s="55"/>
      <c r="R731" s="49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</row>
    <row r="732" spans="1:41" ht="13.8" x14ac:dyDescent="0.25">
      <c r="A732" s="46"/>
      <c r="B732" s="114"/>
      <c r="C732" s="48"/>
      <c r="D732" s="115"/>
      <c r="E732" s="26" t="str">
        <f t="shared" si="22"/>
        <v/>
      </c>
      <c r="F732" s="116"/>
      <c r="G732" s="116"/>
      <c r="H732" s="52"/>
      <c r="I732" s="126"/>
      <c r="J732" s="139"/>
      <c r="K732" s="126"/>
      <c r="L732" s="126"/>
      <c r="M732" s="56"/>
      <c r="N732" s="118"/>
      <c r="O732" s="55"/>
      <c r="P732" s="53"/>
      <c r="Q732" s="55"/>
      <c r="R732" s="49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</row>
    <row r="733" spans="1:41" ht="13.8" x14ac:dyDescent="0.25">
      <c r="A733" s="46"/>
      <c r="B733" s="114"/>
      <c r="C733" s="48"/>
      <c r="D733" s="115"/>
      <c r="E733" s="26" t="str">
        <f t="shared" si="22"/>
        <v/>
      </c>
      <c r="F733" s="116"/>
      <c r="G733" s="116"/>
      <c r="H733" s="52"/>
      <c r="I733" s="126"/>
      <c r="J733" s="139"/>
      <c r="K733" s="126"/>
      <c r="L733" s="126"/>
      <c r="M733" s="56"/>
      <c r="N733" s="118"/>
      <c r="O733" s="55"/>
      <c r="P733" s="53"/>
      <c r="Q733" s="55"/>
      <c r="R733" s="49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</row>
    <row r="734" spans="1:41" ht="13.8" x14ac:dyDescent="0.25">
      <c r="A734" s="46"/>
      <c r="B734" s="114"/>
      <c r="C734" s="48"/>
      <c r="D734" s="115"/>
      <c r="E734" s="26" t="str">
        <f t="shared" si="22"/>
        <v/>
      </c>
      <c r="F734" s="116"/>
      <c r="G734" s="116"/>
      <c r="H734" s="52"/>
      <c r="I734" s="126"/>
      <c r="J734" s="139"/>
      <c r="K734" s="126"/>
      <c r="L734" s="126"/>
      <c r="M734" s="56"/>
      <c r="N734" s="118"/>
      <c r="O734" s="55"/>
      <c r="P734" s="53"/>
      <c r="Q734" s="55"/>
      <c r="R734" s="49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</row>
    <row r="735" spans="1:41" ht="13.8" x14ac:dyDescent="0.25">
      <c r="A735" s="46"/>
      <c r="B735" s="114"/>
      <c r="C735" s="48"/>
      <c r="D735" s="115"/>
      <c r="E735" s="26" t="str">
        <f t="shared" si="22"/>
        <v/>
      </c>
      <c r="F735" s="116"/>
      <c r="G735" s="116"/>
      <c r="H735" s="52"/>
      <c r="I735" s="126"/>
      <c r="J735" s="139"/>
      <c r="K735" s="126"/>
      <c r="L735" s="126"/>
      <c r="M735" s="56"/>
      <c r="N735" s="118"/>
      <c r="O735" s="55"/>
      <c r="P735" s="53"/>
      <c r="Q735" s="55"/>
      <c r="R735" s="49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</row>
    <row r="736" spans="1:41" ht="13.8" x14ac:dyDescent="0.25">
      <c r="A736" s="46"/>
      <c r="B736" s="114"/>
      <c r="C736" s="48"/>
      <c r="D736" s="115"/>
      <c r="E736" s="26" t="str">
        <f t="shared" si="22"/>
        <v/>
      </c>
      <c r="F736" s="116"/>
      <c r="G736" s="116"/>
      <c r="H736" s="52"/>
      <c r="I736" s="126"/>
      <c r="J736" s="139"/>
      <c r="K736" s="126"/>
      <c r="L736" s="126"/>
      <c r="M736" s="56"/>
      <c r="N736" s="118"/>
      <c r="O736" s="55"/>
      <c r="P736" s="53"/>
      <c r="Q736" s="55"/>
      <c r="R736" s="49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</row>
    <row r="737" spans="1:41" ht="13.8" x14ac:dyDescent="0.25">
      <c r="A737" s="46"/>
      <c r="B737" s="114"/>
      <c r="C737" s="48"/>
      <c r="D737" s="115"/>
      <c r="E737" s="26" t="str">
        <f t="shared" si="22"/>
        <v/>
      </c>
      <c r="F737" s="116"/>
      <c r="G737" s="116"/>
      <c r="H737" s="52"/>
      <c r="I737" s="126"/>
      <c r="J737" s="139"/>
      <c r="K737" s="126"/>
      <c r="L737" s="126"/>
      <c r="M737" s="56"/>
      <c r="N737" s="118"/>
      <c r="O737" s="55"/>
      <c r="P737" s="53"/>
      <c r="Q737" s="55"/>
      <c r="R737" s="49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</row>
    <row r="738" spans="1:41" ht="13.8" x14ac:dyDescent="0.25">
      <c r="A738" s="46"/>
      <c r="B738" s="114"/>
      <c r="C738" s="48"/>
      <c r="D738" s="115"/>
      <c r="E738" s="50"/>
      <c r="F738" s="116"/>
      <c r="G738" s="116"/>
      <c r="H738" s="52"/>
      <c r="I738" s="126"/>
      <c r="J738" s="139"/>
      <c r="K738" s="126"/>
      <c r="L738" s="126"/>
      <c r="M738" s="56"/>
      <c r="N738" s="118"/>
      <c r="O738" s="55"/>
      <c r="P738" s="53"/>
      <c r="Q738" s="55"/>
      <c r="R738" s="49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</row>
    <row r="739" spans="1:41" ht="13.8" x14ac:dyDescent="0.25">
      <c r="A739" s="46"/>
      <c r="B739" s="114"/>
      <c r="C739" s="48"/>
      <c r="D739" s="115"/>
      <c r="E739" s="50"/>
      <c r="F739" s="116"/>
      <c r="G739" s="116"/>
      <c r="H739" s="52"/>
      <c r="I739" s="126"/>
      <c r="J739" s="139"/>
      <c r="K739" s="126"/>
      <c r="L739" s="126"/>
      <c r="M739" s="56"/>
      <c r="N739" s="118"/>
      <c r="O739" s="55"/>
      <c r="P739" s="53"/>
      <c r="Q739" s="55"/>
      <c r="R739" s="49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</row>
    <row r="740" spans="1:41" ht="13.8" x14ac:dyDescent="0.25">
      <c r="A740" s="46"/>
      <c r="B740" s="114"/>
      <c r="C740" s="48"/>
      <c r="D740" s="115"/>
      <c r="E740" s="50"/>
      <c r="F740" s="116"/>
      <c r="G740" s="116"/>
      <c r="H740" s="52"/>
      <c r="I740" s="126"/>
      <c r="J740" s="139"/>
      <c r="K740" s="126"/>
      <c r="L740" s="126"/>
      <c r="M740" s="56"/>
      <c r="N740" s="118"/>
      <c r="O740" s="55"/>
      <c r="P740" s="53"/>
      <c r="Q740" s="55"/>
      <c r="R740" s="49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</row>
    <row r="741" spans="1:41" ht="13.8" x14ac:dyDescent="0.25">
      <c r="A741" s="46"/>
      <c r="B741" s="114"/>
      <c r="C741" s="48"/>
      <c r="D741" s="115"/>
      <c r="E741" s="50"/>
      <c r="F741" s="116"/>
      <c r="G741" s="116"/>
      <c r="H741" s="52"/>
      <c r="I741" s="126"/>
      <c r="J741" s="139"/>
      <c r="K741" s="126"/>
      <c r="L741" s="126"/>
      <c r="M741" s="56"/>
      <c r="N741" s="118"/>
      <c r="O741" s="55"/>
      <c r="P741" s="53"/>
      <c r="Q741" s="55"/>
      <c r="R741" s="49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</row>
    <row r="742" spans="1:41" ht="13.8" x14ac:dyDescent="0.25">
      <c r="A742" s="46"/>
      <c r="B742" s="114"/>
      <c r="C742" s="48"/>
      <c r="D742" s="115"/>
      <c r="E742" s="50"/>
      <c r="F742" s="116"/>
      <c r="G742" s="116"/>
      <c r="H742" s="52"/>
      <c r="I742" s="126"/>
      <c r="J742" s="139"/>
      <c r="K742" s="126"/>
      <c r="L742" s="126"/>
      <c r="M742" s="56"/>
      <c r="N742" s="118"/>
      <c r="O742" s="55"/>
      <c r="P742" s="53"/>
      <c r="Q742" s="55"/>
      <c r="R742" s="49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</row>
    <row r="743" spans="1:41" ht="13.8" x14ac:dyDescent="0.25">
      <c r="A743" s="46"/>
      <c r="B743" s="114"/>
      <c r="C743" s="48"/>
      <c r="D743" s="115"/>
      <c r="E743" s="50"/>
      <c r="F743" s="116"/>
      <c r="G743" s="116"/>
      <c r="H743" s="52"/>
      <c r="I743" s="126"/>
      <c r="J743" s="139"/>
      <c r="K743" s="126"/>
      <c r="L743" s="126"/>
      <c r="M743" s="56"/>
      <c r="N743" s="118"/>
      <c r="O743" s="55"/>
      <c r="P743" s="53"/>
      <c r="Q743" s="55"/>
      <c r="R743" s="49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</row>
    <row r="744" spans="1:41" ht="13.8" x14ac:dyDescent="0.25">
      <c r="A744" s="46"/>
      <c r="B744" s="114"/>
      <c r="C744" s="48"/>
      <c r="D744" s="115"/>
      <c r="E744" s="50"/>
      <c r="F744" s="116"/>
      <c r="G744" s="116"/>
      <c r="H744" s="52"/>
      <c r="I744" s="126"/>
      <c r="J744" s="139"/>
      <c r="K744" s="126"/>
      <c r="L744" s="126"/>
      <c r="M744" s="56"/>
      <c r="N744" s="118"/>
      <c r="O744" s="55"/>
      <c r="P744" s="53"/>
      <c r="Q744" s="55"/>
      <c r="R744" s="49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</row>
    <row r="745" spans="1:41" ht="13.8" x14ac:dyDescent="0.25">
      <c r="A745" s="46"/>
      <c r="B745" s="114"/>
      <c r="C745" s="48"/>
      <c r="D745" s="115"/>
      <c r="E745" s="50"/>
      <c r="F745" s="116"/>
      <c r="G745" s="116"/>
      <c r="H745" s="52"/>
      <c r="I745" s="126"/>
      <c r="J745" s="139"/>
      <c r="K745" s="126"/>
      <c r="L745" s="126"/>
      <c r="M745" s="56"/>
      <c r="N745" s="118"/>
      <c r="O745" s="55"/>
      <c r="P745" s="53"/>
      <c r="Q745" s="55"/>
      <c r="R745" s="49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</row>
    <row r="746" spans="1:41" ht="13.8" x14ac:dyDescent="0.25">
      <c r="A746" s="46"/>
      <c r="B746" s="114"/>
      <c r="C746" s="48"/>
      <c r="D746" s="115"/>
      <c r="E746" s="50"/>
      <c r="F746" s="116"/>
      <c r="G746" s="116"/>
      <c r="H746" s="52"/>
      <c r="I746" s="126"/>
      <c r="J746" s="139"/>
      <c r="K746" s="126"/>
      <c r="L746" s="126"/>
      <c r="M746" s="56"/>
      <c r="N746" s="118"/>
      <c r="O746" s="55"/>
      <c r="P746" s="53"/>
      <c r="Q746" s="55"/>
      <c r="R746" s="49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</row>
    <row r="747" spans="1:41" ht="13.8" x14ac:dyDescent="0.25">
      <c r="A747" s="46"/>
      <c r="B747" s="114"/>
      <c r="C747" s="48"/>
      <c r="D747" s="115"/>
      <c r="E747" s="50"/>
      <c r="F747" s="116"/>
      <c r="G747" s="116"/>
      <c r="H747" s="52"/>
      <c r="I747" s="126"/>
      <c r="J747" s="139"/>
      <c r="K747" s="126"/>
      <c r="L747" s="126"/>
      <c r="M747" s="56"/>
      <c r="N747" s="118"/>
      <c r="O747" s="55"/>
      <c r="P747" s="53"/>
      <c r="Q747" s="55"/>
      <c r="R747" s="49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</row>
    <row r="748" spans="1:41" ht="13.8" x14ac:dyDescent="0.25">
      <c r="A748" s="46"/>
      <c r="B748" s="114"/>
      <c r="C748" s="48"/>
      <c r="D748" s="115"/>
      <c r="E748" s="50"/>
      <c r="F748" s="116"/>
      <c r="G748" s="116"/>
      <c r="H748" s="52"/>
      <c r="I748" s="126"/>
      <c r="J748" s="139"/>
      <c r="K748" s="126"/>
      <c r="L748" s="126"/>
      <c r="M748" s="56"/>
      <c r="N748" s="118"/>
      <c r="O748" s="55"/>
      <c r="P748" s="53"/>
      <c r="Q748" s="55"/>
      <c r="R748" s="49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</row>
    <row r="749" spans="1:41" ht="13.8" x14ac:dyDescent="0.25">
      <c r="A749" s="46"/>
      <c r="B749" s="114"/>
      <c r="C749" s="48"/>
      <c r="D749" s="115"/>
      <c r="E749" s="50"/>
      <c r="F749" s="116"/>
      <c r="G749" s="116"/>
      <c r="H749" s="52"/>
      <c r="I749" s="126"/>
      <c r="J749" s="139"/>
      <c r="K749" s="126"/>
      <c r="L749" s="126"/>
      <c r="M749" s="56"/>
      <c r="N749" s="118"/>
      <c r="O749" s="55"/>
      <c r="P749" s="53"/>
      <c r="Q749" s="55"/>
      <c r="R749" s="49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</row>
    <row r="750" spans="1:41" ht="13.8" x14ac:dyDescent="0.25">
      <c r="A750" s="46"/>
      <c r="B750" s="114"/>
      <c r="C750" s="48"/>
      <c r="D750" s="115"/>
      <c r="E750" s="50"/>
      <c r="F750" s="116"/>
      <c r="G750" s="116"/>
      <c r="H750" s="52"/>
      <c r="I750" s="126"/>
      <c r="J750" s="139"/>
      <c r="K750" s="126"/>
      <c r="L750" s="126"/>
      <c r="M750" s="56"/>
      <c r="N750" s="118"/>
      <c r="O750" s="55"/>
      <c r="P750" s="53"/>
      <c r="Q750" s="55"/>
      <c r="R750" s="49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</row>
    <row r="751" spans="1:41" ht="13.8" x14ac:dyDescent="0.25">
      <c r="A751" s="46"/>
      <c r="B751" s="114"/>
      <c r="C751" s="48"/>
      <c r="D751" s="115"/>
      <c r="E751" s="50"/>
      <c r="F751" s="116"/>
      <c r="G751" s="116"/>
      <c r="H751" s="52"/>
      <c r="I751" s="126"/>
      <c r="J751" s="139"/>
      <c r="K751" s="126"/>
      <c r="L751" s="126"/>
      <c r="M751" s="56"/>
      <c r="N751" s="118"/>
      <c r="O751" s="55"/>
      <c r="P751" s="53"/>
      <c r="Q751" s="55"/>
      <c r="R751" s="49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</row>
    <row r="752" spans="1:41" ht="13.8" x14ac:dyDescent="0.25">
      <c r="A752" s="46"/>
      <c r="B752" s="114"/>
      <c r="C752" s="48"/>
      <c r="D752" s="115"/>
      <c r="E752" s="50"/>
      <c r="F752" s="116"/>
      <c r="G752" s="116"/>
      <c r="H752" s="52"/>
      <c r="I752" s="126"/>
      <c r="J752" s="139"/>
      <c r="K752" s="126"/>
      <c r="L752" s="126"/>
      <c r="M752" s="56"/>
      <c r="N752" s="118"/>
      <c r="O752" s="55"/>
      <c r="P752" s="53"/>
      <c r="Q752" s="55"/>
      <c r="R752" s="49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</row>
    <row r="753" spans="1:41" ht="13.8" x14ac:dyDescent="0.25">
      <c r="A753" s="46"/>
      <c r="B753" s="114"/>
      <c r="C753" s="48"/>
      <c r="D753" s="115"/>
      <c r="E753" s="50"/>
      <c r="F753" s="116"/>
      <c r="G753" s="116"/>
      <c r="H753" s="52"/>
      <c r="I753" s="126"/>
      <c r="J753" s="139"/>
      <c r="K753" s="126"/>
      <c r="L753" s="126"/>
      <c r="M753" s="56"/>
      <c r="N753" s="118"/>
      <c r="O753" s="55"/>
      <c r="P753" s="53"/>
      <c r="Q753" s="55"/>
      <c r="R753" s="49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</row>
    <row r="754" spans="1:41" ht="13.8" x14ac:dyDescent="0.25">
      <c r="A754" s="46"/>
      <c r="B754" s="114"/>
      <c r="C754" s="48"/>
      <c r="D754" s="115"/>
      <c r="E754" s="50"/>
      <c r="F754" s="116"/>
      <c r="G754" s="116"/>
      <c r="H754" s="52"/>
      <c r="I754" s="126"/>
      <c r="J754" s="139"/>
      <c r="K754" s="126"/>
      <c r="L754" s="126"/>
      <c r="M754" s="56"/>
      <c r="N754" s="118"/>
      <c r="O754" s="55"/>
      <c r="P754" s="53"/>
      <c r="Q754" s="55"/>
      <c r="R754" s="49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</row>
    <row r="755" spans="1:41" ht="13.8" x14ac:dyDescent="0.25">
      <c r="A755" s="46"/>
      <c r="B755" s="114"/>
      <c r="C755" s="48"/>
      <c r="D755" s="115"/>
      <c r="E755" s="50"/>
      <c r="F755" s="116"/>
      <c r="G755" s="116"/>
      <c r="H755" s="52"/>
      <c r="I755" s="126"/>
      <c r="J755" s="139"/>
      <c r="K755" s="126"/>
      <c r="L755" s="126"/>
      <c r="M755" s="56"/>
      <c r="N755" s="118"/>
      <c r="O755" s="55"/>
      <c r="P755" s="53"/>
      <c r="Q755" s="55"/>
      <c r="R755" s="49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</row>
    <row r="756" spans="1:41" ht="13.8" x14ac:dyDescent="0.25">
      <c r="A756" s="46"/>
      <c r="B756" s="114"/>
      <c r="C756" s="48"/>
      <c r="D756" s="115"/>
      <c r="E756" s="50"/>
      <c r="F756" s="116"/>
      <c r="G756" s="116"/>
      <c r="H756" s="52"/>
      <c r="I756" s="126"/>
      <c r="J756" s="139"/>
      <c r="K756" s="126"/>
      <c r="L756" s="126"/>
      <c r="M756" s="56"/>
      <c r="N756" s="118"/>
      <c r="O756" s="55"/>
      <c r="P756" s="53"/>
      <c r="Q756" s="55"/>
      <c r="R756" s="49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</row>
    <row r="757" spans="1:41" ht="13.8" x14ac:dyDescent="0.25">
      <c r="A757" s="46"/>
      <c r="B757" s="114"/>
      <c r="C757" s="48"/>
      <c r="D757" s="115"/>
      <c r="E757" s="50"/>
      <c r="F757" s="116"/>
      <c r="G757" s="116"/>
      <c r="H757" s="52"/>
      <c r="I757" s="126"/>
      <c r="J757" s="139"/>
      <c r="K757" s="126"/>
      <c r="L757" s="126"/>
      <c r="M757" s="56"/>
      <c r="N757" s="118"/>
      <c r="O757" s="55"/>
      <c r="P757" s="53"/>
      <c r="Q757" s="55"/>
      <c r="R757" s="49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</row>
    <row r="758" spans="1:41" ht="13.8" x14ac:dyDescent="0.25">
      <c r="A758" s="46"/>
      <c r="B758" s="114"/>
      <c r="C758" s="48"/>
      <c r="D758" s="115"/>
      <c r="E758" s="50"/>
      <c r="F758" s="116"/>
      <c r="G758" s="116"/>
      <c r="H758" s="52"/>
      <c r="I758" s="126"/>
      <c r="J758" s="139"/>
      <c r="K758" s="126"/>
      <c r="L758" s="126"/>
      <c r="M758" s="56"/>
      <c r="N758" s="118"/>
      <c r="O758" s="55"/>
      <c r="P758" s="53"/>
      <c r="Q758" s="55"/>
      <c r="R758" s="49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</row>
    <row r="759" spans="1:41" ht="13.8" x14ac:dyDescent="0.25">
      <c r="A759" s="46"/>
      <c r="B759" s="114"/>
      <c r="C759" s="48"/>
      <c r="D759" s="115"/>
      <c r="E759" s="50"/>
      <c r="F759" s="116"/>
      <c r="G759" s="116"/>
      <c r="H759" s="52"/>
      <c r="I759" s="126"/>
      <c r="J759" s="139"/>
      <c r="K759" s="126"/>
      <c r="L759" s="126"/>
      <c r="M759" s="56"/>
      <c r="N759" s="118"/>
      <c r="O759" s="55"/>
      <c r="P759" s="53"/>
      <c r="Q759" s="55"/>
      <c r="R759" s="49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</row>
    <row r="760" spans="1:41" ht="13.8" x14ac:dyDescent="0.25">
      <c r="A760" s="46"/>
      <c r="B760" s="114"/>
      <c r="C760" s="48"/>
      <c r="D760" s="115"/>
      <c r="E760" s="50"/>
      <c r="F760" s="116"/>
      <c r="G760" s="116"/>
      <c r="H760" s="52"/>
      <c r="I760" s="126"/>
      <c r="J760" s="139"/>
      <c r="K760" s="126"/>
      <c r="L760" s="126"/>
      <c r="M760" s="56"/>
      <c r="N760" s="118"/>
      <c r="O760" s="55"/>
      <c r="P760" s="53"/>
      <c r="Q760" s="55"/>
      <c r="R760" s="49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</row>
    <row r="761" spans="1:41" ht="13.8" x14ac:dyDescent="0.25">
      <c r="A761" s="46"/>
      <c r="B761" s="114"/>
      <c r="C761" s="48"/>
      <c r="D761" s="115"/>
      <c r="E761" s="50"/>
      <c r="F761" s="116"/>
      <c r="G761" s="116"/>
      <c r="H761" s="52"/>
      <c r="I761" s="126"/>
      <c r="J761" s="139"/>
      <c r="K761" s="126"/>
      <c r="L761" s="126"/>
      <c r="M761" s="56"/>
      <c r="N761" s="118"/>
      <c r="O761" s="55"/>
      <c r="P761" s="53"/>
      <c r="Q761" s="55"/>
      <c r="R761" s="49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</row>
    <row r="762" spans="1:41" ht="13.8" x14ac:dyDescent="0.25">
      <c r="A762" s="46"/>
      <c r="B762" s="114"/>
      <c r="C762" s="48"/>
      <c r="D762" s="115"/>
      <c r="E762" s="50"/>
      <c r="F762" s="116"/>
      <c r="G762" s="116"/>
      <c r="H762" s="52"/>
      <c r="I762" s="126"/>
      <c r="J762" s="139"/>
      <c r="K762" s="126"/>
      <c r="L762" s="126"/>
      <c r="M762" s="56"/>
      <c r="N762" s="118"/>
      <c r="O762" s="55"/>
      <c r="P762" s="53"/>
      <c r="Q762" s="55"/>
      <c r="R762" s="49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</row>
    <row r="763" spans="1:41" ht="13.8" x14ac:dyDescent="0.25">
      <c r="A763" s="46"/>
      <c r="B763" s="114"/>
      <c r="C763" s="48"/>
      <c r="D763" s="115"/>
      <c r="E763" s="50"/>
      <c r="F763" s="116"/>
      <c r="G763" s="116"/>
      <c r="H763" s="52"/>
      <c r="I763" s="126"/>
      <c r="J763" s="139"/>
      <c r="K763" s="126"/>
      <c r="L763" s="126"/>
      <c r="M763" s="56"/>
      <c r="N763" s="118"/>
      <c r="O763" s="55"/>
      <c r="P763" s="53"/>
      <c r="Q763" s="55"/>
      <c r="R763" s="49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</row>
    <row r="764" spans="1:41" ht="13.8" x14ac:dyDescent="0.25">
      <c r="A764" s="46"/>
      <c r="B764" s="114"/>
      <c r="C764" s="48"/>
      <c r="D764" s="115"/>
      <c r="E764" s="50"/>
      <c r="F764" s="116"/>
      <c r="G764" s="116"/>
      <c r="H764" s="52"/>
      <c r="I764" s="126"/>
      <c r="J764" s="139"/>
      <c r="K764" s="126"/>
      <c r="L764" s="126"/>
      <c r="M764" s="56"/>
      <c r="N764" s="118"/>
      <c r="O764" s="55"/>
      <c r="P764" s="53"/>
      <c r="Q764" s="55"/>
      <c r="R764" s="49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</row>
    <row r="765" spans="1:41" ht="13.8" x14ac:dyDescent="0.25">
      <c r="A765" s="46"/>
      <c r="B765" s="114"/>
      <c r="C765" s="48"/>
      <c r="D765" s="115"/>
      <c r="E765" s="50"/>
      <c r="F765" s="116"/>
      <c r="G765" s="116"/>
      <c r="H765" s="52"/>
      <c r="I765" s="126"/>
      <c r="J765" s="139"/>
      <c r="K765" s="126"/>
      <c r="L765" s="126"/>
      <c r="M765" s="56"/>
      <c r="N765" s="118"/>
      <c r="O765" s="55"/>
      <c r="P765" s="53"/>
      <c r="Q765" s="55"/>
      <c r="R765" s="49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</row>
    <row r="766" spans="1:41" ht="13.8" x14ac:dyDescent="0.25">
      <c r="A766" s="46"/>
      <c r="B766" s="114"/>
      <c r="C766" s="48"/>
      <c r="D766" s="115"/>
      <c r="E766" s="50"/>
      <c r="F766" s="116"/>
      <c r="G766" s="116"/>
      <c r="H766" s="52"/>
      <c r="I766" s="126"/>
      <c r="J766" s="139"/>
      <c r="K766" s="126"/>
      <c r="L766" s="126"/>
      <c r="M766" s="56"/>
      <c r="N766" s="118"/>
      <c r="O766" s="55"/>
      <c r="P766" s="53"/>
      <c r="Q766" s="55"/>
      <c r="R766" s="49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</row>
    <row r="767" spans="1:41" ht="13.8" x14ac:dyDescent="0.25">
      <c r="A767" s="46"/>
      <c r="B767" s="114"/>
      <c r="C767" s="48"/>
      <c r="D767" s="115"/>
      <c r="E767" s="50"/>
      <c r="F767" s="116"/>
      <c r="G767" s="116"/>
      <c r="H767" s="52"/>
      <c r="I767" s="126"/>
      <c r="J767" s="139"/>
      <c r="K767" s="126"/>
      <c r="L767" s="126"/>
      <c r="M767" s="56"/>
      <c r="N767" s="118"/>
      <c r="O767" s="55"/>
      <c r="P767" s="53"/>
      <c r="Q767" s="55"/>
      <c r="R767" s="49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</row>
    <row r="768" spans="1:41" ht="13.8" x14ac:dyDescent="0.25">
      <c r="A768" s="46"/>
      <c r="B768" s="114"/>
      <c r="C768" s="48"/>
      <c r="D768" s="115"/>
      <c r="E768" s="50"/>
      <c r="F768" s="116"/>
      <c r="G768" s="116"/>
      <c r="H768" s="52"/>
      <c r="I768" s="126"/>
      <c r="J768" s="139"/>
      <c r="K768" s="126"/>
      <c r="L768" s="126"/>
      <c r="M768" s="56"/>
      <c r="N768" s="118"/>
      <c r="O768" s="55"/>
      <c r="P768" s="53"/>
      <c r="Q768" s="55"/>
      <c r="R768" s="49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</row>
    <row r="769" spans="1:41" ht="13.8" x14ac:dyDescent="0.25">
      <c r="A769" s="46"/>
      <c r="B769" s="114"/>
      <c r="C769" s="48"/>
      <c r="D769" s="115"/>
      <c r="E769" s="50"/>
      <c r="F769" s="116"/>
      <c r="G769" s="116"/>
      <c r="H769" s="52"/>
      <c r="I769" s="126"/>
      <c r="J769" s="139"/>
      <c r="K769" s="126"/>
      <c r="L769" s="126"/>
      <c r="M769" s="56"/>
      <c r="N769" s="118"/>
      <c r="O769" s="55"/>
      <c r="P769" s="53"/>
      <c r="Q769" s="55"/>
      <c r="R769" s="49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</row>
    <row r="770" spans="1:41" ht="13.8" x14ac:dyDescent="0.25">
      <c r="A770" s="46"/>
      <c r="B770" s="114"/>
      <c r="C770" s="48"/>
      <c r="D770" s="115"/>
      <c r="E770" s="50"/>
      <c r="F770" s="116"/>
      <c r="G770" s="116"/>
      <c r="H770" s="52"/>
      <c r="I770" s="126"/>
      <c r="J770" s="139"/>
      <c r="K770" s="126"/>
      <c r="L770" s="126"/>
      <c r="M770" s="56"/>
      <c r="N770" s="118"/>
      <c r="O770" s="55"/>
      <c r="P770" s="53"/>
      <c r="Q770" s="55"/>
      <c r="R770" s="49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</row>
    <row r="771" spans="1:41" ht="13.8" x14ac:dyDescent="0.25">
      <c r="A771" s="46"/>
      <c r="B771" s="114"/>
      <c r="C771" s="48"/>
      <c r="D771" s="115"/>
      <c r="E771" s="50"/>
      <c r="F771" s="116"/>
      <c r="G771" s="116"/>
      <c r="H771" s="52"/>
      <c r="I771" s="126"/>
      <c r="J771" s="139"/>
      <c r="K771" s="126"/>
      <c r="L771" s="126"/>
      <c r="M771" s="56"/>
      <c r="N771" s="118"/>
      <c r="O771" s="55"/>
      <c r="P771" s="53"/>
      <c r="Q771" s="55"/>
      <c r="R771" s="49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</row>
    <row r="772" spans="1:41" ht="13.8" x14ac:dyDescent="0.25">
      <c r="A772" s="46"/>
      <c r="B772" s="114"/>
      <c r="C772" s="48"/>
      <c r="D772" s="115"/>
      <c r="E772" s="50"/>
      <c r="F772" s="116"/>
      <c r="G772" s="116"/>
      <c r="H772" s="52"/>
      <c r="I772" s="126"/>
      <c r="J772" s="139"/>
      <c r="K772" s="126"/>
      <c r="L772" s="126"/>
      <c r="M772" s="56"/>
      <c r="N772" s="118"/>
      <c r="O772" s="55"/>
      <c r="P772" s="53"/>
      <c r="Q772" s="55"/>
      <c r="R772" s="49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</row>
    <row r="773" spans="1:41" ht="13.8" x14ac:dyDescent="0.25">
      <c r="A773" s="46"/>
      <c r="B773" s="114"/>
      <c r="C773" s="48"/>
      <c r="D773" s="115"/>
      <c r="E773" s="50"/>
      <c r="F773" s="116"/>
      <c r="G773" s="116"/>
      <c r="H773" s="52"/>
      <c r="I773" s="126"/>
      <c r="J773" s="139"/>
      <c r="K773" s="126"/>
      <c r="L773" s="126"/>
      <c r="M773" s="56"/>
      <c r="N773" s="118"/>
      <c r="O773" s="55"/>
      <c r="P773" s="53"/>
      <c r="Q773" s="55"/>
      <c r="R773" s="49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</row>
    <row r="774" spans="1:41" ht="13.8" x14ac:dyDescent="0.25">
      <c r="A774" s="46"/>
      <c r="B774" s="114"/>
      <c r="C774" s="48"/>
      <c r="D774" s="115"/>
      <c r="E774" s="50"/>
      <c r="F774" s="116"/>
      <c r="G774" s="116"/>
      <c r="H774" s="52"/>
      <c r="I774" s="126"/>
      <c r="J774" s="139"/>
      <c r="K774" s="126"/>
      <c r="L774" s="126"/>
      <c r="M774" s="56"/>
      <c r="N774" s="118"/>
      <c r="O774" s="55"/>
      <c r="P774" s="53"/>
      <c r="Q774" s="55"/>
      <c r="R774" s="49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</row>
    <row r="775" spans="1:41" ht="13.8" x14ac:dyDescent="0.25">
      <c r="A775" s="46"/>
      <c r="B775" s="114"/>
      <c r="C775" s="48"/>
      <c r="D775" s="115"/>
      <c r="E775" s="50"/>
      <c r="F775" s="116"/>
      <c r="G775" s="116"/>
      <c r="H775" s="52"/>
      <c r="I775" s="126"/>
      <c r="J775" s="139"/>
      <c r="K775" s="126"/>
      <c r="L775" s="126"/>
      <c r="M775" s="56"/>
      <c r="N775" s="118"/>
      <c r="O775" s="55"/>
      <c r="P775" s="53"/>
      <c r="Q775" s="55"/>
      <c r="R775" s="49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</row>
    <row r="776" spans="1:41" ht="13.8" x14ac:dyDescent="0.25">
      <c r="A776" s="46"/>
      <c r="B776" s="114"/>
      <c r="C776" s="48"/>
      <c r="D776" s="115"/>
      <c r="E776" s="50"/>
      <c r="F776" s="116"/>
      <c r="G776" s="116"/>
      <c r="H776" s="52"/>
      <c r="I776" s="126"/>
      <c r="J776" s="139"/>
      <c r="K776" s="126"/>
      <c r="L776" s="126"/>
      <c r="M776" s="56"/>
      <c r="N776" s="118"/>
      <c r="O776" s="55"/>
      <c r="P776" s="53"/>
      <c r="Q776" s="55"/>
      <c r="R776" s="49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</row>
    <row r="777" spans="1:41" ht="13.8" x14ac:dyDescent="0.25">
      <c r="A777" s="46"/>
      <c r="B777" s="114"/>
      <c r="C777" s="48"/>
      <c r="D777" s="115"/>
      <c r="E777" s="50"/>
      <c r="F777" s="116"/>
      <c r="G777" s="116"/>
      <c r="H777" s="52"/>
      <c r="I777" s="126"/>
      <c r="J777" s="139"/>
      <c r="K777" s="126"/>
      <c r="L777" s="126"/>
      <c r="M777" s="56"/>
      <c r="N777" s="118"/>
      <c r="O777" s="55"/>
      <c r="P777" s="53"/>
      <c r="Q777" s="55"/>
      <c r="R777" s="49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</row>
    <row r="778" spans="1:41" ht="13.8" x14ac:dyDescent="0.25">
      <c r="A778" s="46"/>
      <c r="B778" s="114"/>
      <c r="C778" s="48"/>
      <c r="D778" s="115"/>
      <c r="E778" s="50"/>
      <c r="F778" s="116"/>
      <c r="G778" s="116"/>
      <c r="H778" s="52"/>
      <c r="I778" s="126"/>
      <c r="J778" s="139"/>
      <c r="K778" s="126"/>
      <c r="L778" s="126"/>
      <c r="M778" s="56"/>
      <c r="N778" s="118"/>
      <c r="O778" s="55"/>
      <c r="P778" s="53"/>
      <c r="Q778" s="55"/>
      <c r="R778" s="49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</row>
    <row r="779" spans="1:41" ht="13.8" x14ac:dyDescent="0.25">
      <c r="A779" s="46"/>
      <c r="B779" s="114"/>
      <c r="C779" s="48"/>
      <c r="D779" s="115"/>
      <c r="E779" s="50"/>
      <c r="F779" s="116"/>
      <c r="G779" s="116"/>
      <c r="H779" s="52"/>
      <c r="I779" s="126"/>
      <c r="J779" s="139"/>
      <c r="K779" s="126"/>
      <c r="L779" s="126"/>
      <c r="M779" s="56"/>
      <c r="N779" s="118"/>
      <c r="O779" s="55"/>
      <c r="P779" s="53"/>
      <c r="Q779" s="55"/>
      <c r="R779" s="49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</row>
    <row r="780" spans="1:41" ht="13.8" x14ac:dyDescent="0.25">
      <c r="A780" s="46"/>
      <c r="B780" s="114"/>
      <c r="C780" s="48"/>
      <c r="D780" s="115"/>
      <c r="E780" s="50"/>
      <c r="F780" s="116"/>
      <c r="G780" s="116"/>
      <c r="H780" s="52"/>
      <c r="I780" s="126"/>
      <c r="J780" s="139"/>
      <c r="K780" s="126"/>
      <c r="L780" s="126"/>
      <c r="M780" s="56"/>
      <c r="N780" s="118"/>
      <c r="O780" s="55"/>
      <c r="P780" s="53"/>
      <c r="Q780" s="55"/>
      <c r="R780" s="49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</row>
    <row r="781" spans="1:41" ht="13.8" x14ac:dyDescent="0.25">
      <c r="A781" s="46"/>
      <c r="B781" s="114"/>
      <c r="C781" s="48"/>
      <c r="D781" s="115"/>
      <c r="E781" s="50"/>
      <c r="F781" s="116"/>
      <c r="G781" s="116"/>
      <c r="H781" s="52"/>
      <c r="I781" s="126"/>
      <c r="J781" s="139"/>
      <c r="K781" s="126"/>
      <c r="L781" s="126"/>
      <c r="M781" s="56"/>
      <c r="N781" s="118"/>
      <c r="O781" s="55"/>
      <c r="P781" s="53"/>
      <c r="Q781" s="55"/>
      <c r="R781" s="49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</row>
    <row r="782" spans="1:41" ht="13.8" x14ac:dyDescent="0.25">
      <c r="A782" s="46"/>
      <c r="B782" s="114"/>
      <c r="C782" s="48"/>
      <c r="D782" s="115"/>
      <c r="E782" s="50"/>
      <c r="F782" s="116"/>
      <c r="G782" s="116"/>
      <c r="H782" s="52"/>
      <c r="I782" s="126"/>
      <c r="J782" s="139"/>
      <c r="K782" s="126"/>
      <c r="L782" s="126"/>
      <c r="M782" s="56"/>
      <c r="N782" s="118"/>
      <c r="O782" s="55"/>
      <c r="P782" s="53"/>
      <c r="Q782" s="55"/>
      <c r="R782" s="49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</row>
    <row r="783" spans="1:41" ht="13.8" x14ac:dyDescent="0.25">
      <c r="A783" s="46"/>
      <c r="B783" s="114"/>
      <c r="C783" s="48"/>
      <c r="D783" s="115"/>
      <c r="E783" s="50"/>
      <c r="F783" s="116"/>
      <c r="G783" s="116"/>
      <c r="H783" s="52"/>
      <c r="I783" s="126"/>
      <c r="J783" s="139"/>
      <c r="K783" s="126"/>
      <c r="L783" s="126"/>
      <c r="M783" s="56"/>
      <c r="N783" s="118"/>
      <c r="O783" s="55"/>
      <c r="P783" s="53"/>
      <c r="Q783" s="55"/>
      <c r="R783" s="49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</row>
    <row r="784" spans="1:41" ht="13.8" x14ac:dyDescent="0.25">
      <c r="A784" s="46"/>
      <c r="B784" s="114"/>
      <c r="C784" s="48"/>
      <c r="D784" s="115"/>
      <c r="E784" s="50"/>
      <c r="F784" s="116"/>
      <c r="G784" s="116"/>
      <c r="H784" s="52"/>
      <c r="I784" s="126"/>
      <c r="J784" s="139"/>
      <c r="K784" s="126"/>
      <c r="L784" s="126"/>
      <c r="M784" s="56"/>
      <c r="N784" s="118"/>
      <c r="O784" s="55"/>
      <c r="P784" s="53"/>
      <c r="Q784" s="55"/>
      <c r="R784" s="49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</row>
    <row r="785" spans="1:41" ht="13.8" x14ac:dyDescent="0.25">
      <c r="A785" s="46"/>
      <c r="B785" s="114"/>
      <c r="C785" s="48"/>
      <c r="D785" s="115"/>
      <c r="E785" s="50"/>
      <c r="F785" s="116"/>
      <c r="G785" s="116"/>
      <c r="H785" s="52"/>
      <c r="I785" s="126"/>
      <c r="J785" s="139"/>
      <c r="K785" s="126"/>
      <c r="L785" s="126"/>
      <c r="M785" s="56"/>
      <c r="N785" s="118"/>
      <c r="O785" s="55"/>
      <c r="P785" s="53"/>
      <c r="Q785" s="55"/>
      <c r="R785" s="49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</row>
    <row r="786" spans="1:41" ht="13.8" x14ac:dyDescent="0.25">
      <c r="A786" s="46"/>
      <c r="B786" s="114"/>
      <c r="C786" s="48"/>
      <c r="D786" s="115"/>
      <c r="E786" s="50"/>
      <c r="F786" s="116"/>
      <c r="G786" s="116"/>
      <c r="H786" s="52"/>
      <c r="I786" s="126"/>
      <c r="J786" s="139"/>
      <c r="K786" s="126"/>
      <c r="L786" s="126"/>
      <c r="M786" s="56"/>
      <c r="N786" s="118"/>
      <c r="O786" s="55"/>
      <c r="P786" s="53"/>
      <c r="Q786" s="55"/>
      <c r="R786" s="49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</row>
    <row r="787" spans="1:41" ht="13.8" x14ac:dyDescent="0.25">
      <c r="A787" s="46"/>
      <c r="B787" s="114"/>
      <c r="C787" s="48"/>
      <c r="D787" s="115"/>
      <c r="E787" s="50"/>
      <c r="F787" s="116"/>
      <c r="G787" s="116"/>
      <c r="H787" s="52"/>
      <c r="I787" s="126"/>
      <c r="J787" s="139"/>
      <c r="K787" s="126"/>
      <c r="L787" s="126"/>
      <c r="M787" s="56"/>
      <c r="N787" s="118"/>
      <c r="O787" s="55"/>
      <c r="P787" s="53"/>
      <c r="Q787" s="55"/>
      <c r="R787" s="49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</row>
    <row r="788" spans="1:41" ht="13.8" x14ac:dyDescent="0.25">
      <c r="A788" s="46"/>
      <c r="B788" s="114"/>
      <c r="C788" s="48"/>
      <c r="D788" s="115"/>
      <c r="E788" s="50"/>
      <c r="F788" s="116"/>
      <c r="G788" s="116"/>
      <c r="H788" s="52"/>
      <c r="I788" s="126"/>
      <c r="J788" s="139"/>
      <c r="K788" s="126"/>
      <c r="L788" s="126"/>
      <c r="M788" s="56"/>
      <c r="N788" s="118"/>
      <c r="O788" s="55"/>
      <c r="P788" s="53"/>
      <c r="Q788" s="55"/>
      <c r="R788" s="49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</row>
    <row r="789" spans="1:41" ht="13.8" x14ac:dyDescent="0.25">
      <c r="A789" s="46"/>
      <c r="B789" s="114"/>
      <c r="C789" s="48"/>
      <c r="D789" s="115"/>
      <c r="E789" s="50"/>
      <c r="F789" s="116"/>
      <c r="G789" s="116"/>
      <c r="H789" s="52"/>
      <c r="I789" s="126"/>
      <c r="J789" s="139"/>
      <c r="K789" s="126"/>
      <c r="L789" s="126"/>
      <c r="M789" s="56"/>
      <c r="N789" s="118"/>
      <c r="O789" s="55"/>
      <c r="P789" s="53"/>
      <c r="Q789" s="55"/>
      <c r="R789" s="49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</row>
    <row r="790" spans="1:41" ht="13.8" x14ac:dyDescent="0.25">
      <c r="A790" s="46"/>
      <c r="B790" s="114"/>
      <c r="C790" s="48"/>
      <c r="D790" s="115"/>
      <c r="E790" s="50"/>
      <c r="F790" s="116"/>
      <c r="G790" s="116"/>
      <c r="H790" s="52"/>
      <c r="I790" s="126"/>
      <c r="J790" s="139"/>
      <c r="K790" s="126"/>
      <c r="L790" s="126"/>
      <c r="M790" s="56"/>
      <c r="N790" s="118"/>
      <c r="O790" s="55"/>
      <c r="P790" s="53"/>
      <c r="Q790" s="55"/>
      <c r="R790" s="49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</row>
    <row r="791" spans="1:41" ht="13.8" x14ac:dyDescent="0.25">
      <c r="A791" s="46"/>
      <c r="B791" s="114"/>
      <c r="C791" s="48"/>
      <c r="D791" s="115"/>
      <c r="E791" s="50"/>
      <c r="F791" s="116"/>
      <c r="G791" s="116"/>
      <c r="H791" s="52"/>
      <c r="I791" s="126"/>
      <c r="J791" s="139"/>
      <c r="K791" s="126"/>
      <c r="L791" s="126"/>
      <c r="M791" s="56"/>
      <c r="N791" s="118"/>
      <c r="O791" s="55"/>
      <c r="P791" s="53"/>
      <c r="Q791" s="55"/>
      <c r="R791" s="49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</row>
    <row r="792" spans="1:41" ht="13.8" x14ac:dyDescent="0.25">
      <c r="A792" s="46"/>
      <c r="B792" s="114"/>
      <c r="C792" s="48"/>
      <c r="D792" s="115"/>
      <c r="E792" s="50"/>
      <c r="F792" s="116"/>
      <c r="G792" s="116"/>
      <c r="H792" s="52"/>
      <c r="I792" s="126"/>
      <c r="J792" s="139"/>
      <c r="K792" s="126"/>
      <c r="L792" s="126"/>
      <c r="M792" s="56"/>
      <c r="N792" s="118"/>
      <c r="O792" s="55"/>
      <c r="P792" s="53"/>
      <c r="Q792" s="55"/>
      <c r="R792" s="49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</row>
    <row r="793" spans="1:41" ht="13.8" x14ac:dyDescent="0.25">
      <c r="A793" s="46"/>
      <c r="B793" s="114"/>
      <c r="C793" s="48"/>
      <c r="D793" s="115"/>
      <c r="E793" s="50"/>
      <c r="F793" s="116"/>
      <c r="G793" s="116"/>
      <c r="H793" s="52"/>
      <c r="I793" s="126"/>
      <c r="J793" s="139"/>
      <c r="K793" s="126"/>
      <c r="L793" s="126"/>
      <c r="M793" s="56"/>
      <c r="N793" s="118"/>
      <c r="O793" s="55"/>
      <c r="P793" s="53"/>
      <c r="Q793" s="55"/>
      <c r="R793" s="49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</row>
    <row r="794" spans="1:41" ht="13.8" x14ac:dyDescent="0.25">
      <c r="A794" s="46"/>
      <c r="B794" s="114"/>
      <c r="C794" s="48"/>
      <c r="D794" s="115"/>
      <c r="E794" s="50"/>
      <c r="F794" s="116"/>
      <c r="G794" s="116"/>
      <c r="H794" s="52"/>
      <c r="I794" s="126"/>
      <c r="J794" s="139"/>
      <c r="K794" s="126"/>
      <c r="L794" s="126"/>
      <c r="M794" s="56"/>
      <c r="N794" s="118"/>
      <c r="O794" s="55"/>
      <c r="P794" s="53"/>
      <c r="Q794" s="55"/>
      <c r="R794" s="49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</row>
    <row r="795" spans="1:41" ht="13.8" x14ac:dyDescent="0.25">
      <c r="A795" s="46"/>
      <c r="B795" s="114"/>
      <c r="C795" s="48"/>
      <c r="D795" s="115"/>
      <c r="E795" s="50"/>
      <c r="F795" s="116"/>
      <c r="G795" s="116"/>
      <c r="H795" s="52"/>
      <c r="I795" s="126"/>
      <c r="J795" s="139"/>
      <c r="K795" s="126"/>
      <c r="L795" s="126"/>
      <c r="M795" s="56"/>
      <c r="N795" s="118"/>
      <c r="O795" s="55"/>
      <c r="P795" s="53"/>
      <c r="Q795" s="55"/>
      <c r="R795" s="49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</row>
    <row r="796" spans="1:41" ht="13.8" x14ac:dyDescent="0.25">
      <c r="A796" s="46"/>
      <c r="B796" s="114"/>
      <c r="C796" s="48"/>
      <c r="D796" s="115"/>
      <c r="E796" s="50"/>
      <c r="F796" s="116"/>
      <c r="G796" s="116"/>
      <c r="H796" s="52"/>
      <c r="I796" s="126"/>
      <c r="J796" s="139"/>
      <c r="K796" s="126"/>
      <c r="L796" s="126"/>
      <c r="M796" s="56"/>
      <c r="N796" s="118"/>
      <c r="O796" s="55"/>
      <c r="P796" s="53"/>
      <c r="Q796" s="55"/>
      <c r="R796" s="49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</row>
    <row r="797" spans="1:41" ht="13.8" x14ac:dyDescent="0.25">
      <c r="A797" s="46"/>
      <c r="B797" s="114"/>
      <c r="C797" s="48"/>
      <c r="D797" s="115"/>
      <c r="E797" s="50"/>
      <c r="F797" s="116"/>
      <c r="G797" s="116"/>
      <c r="H797" s="52"/>
      <c r="I797" s="126"/>
      <c r="J797" s="139"/>
      <c r="K797" s="126"/>
      <c r="L797" s="126"/>
      <c r="M797" s="56"/>
      <c r="N797" s="118"/>
      <c r="O797" s="55"/>
      <c r="P797" s="53"/>
      <c r="Q797" s="55"/>
      <c r="R797" s="49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</row>
    <row r="798" spans="1:41" ht="13.8" x14ac:dyDescent="0.25">
      <c r="A798" s="46"/>
      <c r="B798" s="114"/>
      <c r="C798" s="48"/>
      <c r="D798" s="115"/>
      <c r="E798" s="50"/>
      <c r="F798" s="116"/>
      <c r="G798" s="116"/>
      <c r="H798" s="52"/>
      <c r="I798" s="126"/>
      <c r="J798" s="139"/>
      <c r="K798" s="126"/>
      <c r="L798" s="126"/>
      <c r="M798" s="56"/>
      <c r="N798" s="118"/>
      <c r="O798" s="55"/>
      <c r="P798" s="53"/>
      <c r="Q798" s="55"/>
      <c r="R798" s="49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</row>
    <row r="799" spans="1:41" ht="13.8" x14ac:dyDescent="0.25">
      <c r="A799" s="46"/>
      <c r="B799" s="114"/>
      <c r="C799" s="48"/>
      <c r="D799" s="115"/>
      <c r="E799" s="50"/>
      <c r="F799" s="116"/>
      <c r="G799" s="116"/>
      <c r="H799" s="52"/>
      <c r="I799" s="126"/>
      <c r="J799" s="139"/>
      <c r="K799" s="126"/>
      <c r="L799" s="126"/>
      <c r="M799" s="56"/>
      <c r="N799" s="118"/>
      <c r="O799" s="55"/>
      <c r="P799" s="53"/>
      <c r="Q799" s="55"/>
      <c r="R799" s="49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</row>
    <row r="800" spans="1:41" ht="13.8" x14ac:dyDescent="0.25">
      <c r="A800" s="46"/>
      <c r="B800" s="114"/>
      <c r="C800" s="48"/>
      <c r="D800" s="115"/>
      <c r="E800" s="50"/>
      <c r="F800" s="116"/>
      <c r="G800" s="116"/>
      <c r="H800" s="52"/>
      <c r="I800" s="126"/>
      <c r="J800" s="139"/>
      <c r="K800" s="126"/>
      <c r="L800" s="126"/>
      <c r="M800" s="56"/>
      <c r="N800" s="118"/>
      <c r="O800" s="55"/>
      <c r="P800" s="53"/>
      <c r="Q800" s="55"/>
      <c r="R800" s="49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</row>
    <row r="801" spans="1:41" ht="13.8" x14ac:dyDescent="0.25">
      <c r="A801" s="46"/>
      <c r="B801" s="114"/>
      <c r="C801" s="48"/>
      <c r="D801" s="115"/>
      <c r="E801" s="50"/>
      <c r="F801" s="116"/>
      <c r="G801" s="116"/>
      <c r="H801" s="52"/>
      <c r="I801" s="126"/>
      <c r="J801" s="139"/>
      <c r="K801" s="126"/>
      <c r="L801" s="126"/>
      <c r="M801" s="56"/>
      <c r="N801" s="118"/>
      <c r="O801" s="55"/>
      <c r="P801" s="53"/>
      <c r="Q801" s="55"/>
      <c r="R801" s="49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</row>
    <row r="802" spans="1:41" ht="13.8" x14ac:dyDescent="0.25">
      <c r="A802" s="46"/>
      <c r="B802" s="114"/>
      <c r="C802" s="48"/>
      <c r="D802" s="115"/>
      <c r="E802" s="50"/>
      <c r="F802" s="116"/>
      <c r="G802" s="116"/>
      <c r="H802" s="52"/>
      <c r="I802" s="126"/>
      <c r="J802" s="139"/>
      <c r="K802" s="126"/>
      <c r="L802" s="126"/>
      <c r="M802" s="56"/>
      <c r="N802" s="118"/>
      <c r="O802" s="55"/>
      <c r="P802" s="53"/>
      <c r="Q802" s="55"/>
      <c r="R802" s="49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</row>
    <row r="803" spans="1:41" ht="13.8" x14ac:dyDescent="0.25">
      <c r="A803" s="46"/>
      <c r="B803" s="114"/>
      <c r="C803" s="48"/>
      <c r="D803" s="115"/>
      <c r="E803" s="50"/>
      <c r="F803" s="116"/>
      <c r="G803" s="116"/>
      <c r="H803" s="52"/>
      <c r="I803" s="126"/>
      <c r="J803" s="139"/>
      <c r="K803" s="126"/>
      <c r="L803" s="126"/>
      <c r="M803" s="56"/>
      <c r="N803" s="118"/>
      <c r="O803" s="55"/>
      <c r="P803" s="53"/>
      <c r="Q803" s="55"/>
      <c r="R803" s="49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</row>
    <row r="804" spans="1:41" ht="13.8" x14ac:dyDescent="0.25">
      <c r="A804" s="46"/>
      <c r="B804" s="114"/>
      <c r="C804" s="48"/>
      <c r="D804" s="115"/>
      <c r="E804" s="50"/>
      <c r="F804" s="116"/>
      <c r="G804" s="116"/>
      <c r="H804" s="52"/>
      <c r="I804" s="126"/>
      <c r="J804" s="139"/>
      <c r="K804" s="126"/>
      <c r="L804" s="126"/>
      <c r="M804" s="56"/>
      <c r="N804" s="118"/>
      <c r="O804" s="55"/>
      <c r="P804" s="53"/>
      <c r="Q804" s="55"/>
      <c r="R804" s="49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</row>
    <row r="805" spans="1:41" ht="13.8" x14ac:dyDescent="0.25">
      <c r="A805" s="46"/>
      <c r="B805" s="114"/>
      <c r="C805" s="48"/>
      <c r="D805" s="115"/>
      <c r="E805" s="50"/>
      <c r="F805" s="116"/>
      <c r="G805" s="116"/>
      <c r="H805" s="52"/>
      <c r="I805" s="126"/>
      <c r="J805" s="139"/>
      <c r="K805" s="126"/>
      <c r="L805" s="126"/>
      <c r="M805" s="56"/>
      <c r="N805" s="118"/>
      <c r="O805" s="55"/>
      <c r="P805" s="53"/>
      <c r="Q805" s="55"/>
      <c r="R805" s="49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</row>
    <row r="806" spans="1:41" ht="13.8" x14ac:dyDescent="0.25">
      <c r="A806" s="46"/>
      <c r="B806" s="114"/>
      <c r="C806" s="48"/>
      <c r="D806" s="115"/>
      <c r="E806" s="50"/>
      <c r="F806" s="116"/>
      <c r="G806" s="116"/>
      <c r="H806" s="52"/>
      <c r="I806" s="126"/>
      <c r="J806" s="139"/>
      <c r="K806" s="126"/>
      <c r="L806" s="126"/>
      <c r="M806" s="56"/>
      <c r="N806" s="118"/>
      <c r="O806" s="55"/>
      <c r="P806" s="53"/>
      <c r="Q806" s="55"/>
      <c r="R806" s="49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</row>
    <row r="807" spans="1:41" ht="13.8" x14ac:dyDescent="0.25">
      <c r="A807" s="46"/>
      <c r="B807" s="114"/>
      <c r="C807" s="48"/>
      <c r="D807" s="115"/>
      <c r="E807" s="50"/>
      <c r="F807" s="116"/>
      <c r="G807" s="116"/>
      <c r="H807" s="52"/>
      <c r="I807" s="126"/>
      <c r="J807" s="139"/>
      <c r="K807" s="126"/>
      <c r="L807" s="126"/>
      <c r="M807" s="56"/>
      <c r="N807" s="118"/>
      <c r="O807" s="55"/>
      <c r="P807" s="53"/>
      <c r="Q807" s="55"/>
      <c r="R807" s="49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</row>
    <row r="808" spans="1:41" ht="13.8" x14ac:dyDescent="0.25">
      <c r="A808" s="46"/>
      <c r="B808" s="114"/>
      <c r="C808" s="48"/>
      <c r="D808" s="115"/>
      <c r="E808" s="50"/>
      <c r="F808" s="116"/>
      <c r="G808" s="116"/>
      <c r="H808" s="52"/>
      <c r="I808" s="126"/>
      <c r="J808" s="139"/>
      <c r="K808" s="126"/>
      <c r="L808" s="126"/>
      <c r="M808" s="56"/>
      <c r="N808" s="118"/>
      <c r="O808" s="55"/>
      <c r="P808" s="53"/>
      <c r="Q808" s="55"/>
      <c r="R808" s="49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</row>
    <row r="809" spans="1:41" ht="13.8" x14ac:dyDescent="0.25">
      <c r="A809" s="46"/>
      <c r="B809" s="114"/>
      <c r="C809" s="48"/>
      <c r="D809" s="115"/>
      <c r="E809" s="50"/>
      <c r="F809" s="116"/>
      <c r="G809" s="116"/>
      <c r="H809" s="52"/>
      <c r="I809" s="126"/>
      <c r="J809" s="139"/>
      <c r="K809" s="126"/>
      <c r="L809" s="126"/>
      <c r="M809" s="56"/>
      <c r="N809" s="118"/>
      <c r="O809" s="55"/>
      <c r="P809" s="53"/>
      <c r="Q809" s="55"/>
      <c r="R809" s="49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</row>
    <row r="810" spans="1:41" ht="13.8" x14ac:dyDescent="0.25">
      <c r="A810" s="46"/>
      <c r="B810" s="114"/>
      <c r="C810" s="48"/>
      <c r="D810" s="115"/>
      <c r="E810" s="50"/>
      <c r="F810" s="116"/>
      <c r="G810" s="116"/>
      <c r="H810" s="52"/>
      <c r="I810" s="126"/>
      <c r="J810" s="139"/>
      <c r="K810" s="126"/>
      <c r="L810" s="126"/>
      <c r="M810" s="56"/>
      <c r="N810" s="118"/>
      <c r="O810" s="55"/>
      <c r="P810" s="53"/>
      <c r="Q810" s="55"/>
      <c r="R810" s="49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</row>
    <row r="811" spans="1:41" ht="13.8" x14ac:dyDescent="0.25">
      <c r="A811" s="46"/>
      <c r="B811" s="114"/>
      <c r="C811" s="48"/>
      <c r="D811" s="115"/>
      <c r="E811" s="50"/>
      <c r="F811" s="116"/>
      <c r="G811" s="116"/>
      <c r="H811" s="52"/>
      <c r="I811" s="126"/>
      <c r="J811" s="139"/>
      <c r="K811" s="126"/>
      <c r="L811" s="126"/>
      <c r="M811" s="56"/>
      <c r="N811" s="118"/>
      <c r="O811" s="55"/>
      <c r="P811" s="53"/>
      <c r="Q811" s="55"/>
      <c r="R811" s="49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</row>
    <row r="812" spans="1:41" ht="13.8" x14ac:dyDescent="0.25">
      <c r="A812" s="46"/>
      <c r="B812" s="114"/>
      <c r="C812" s="48"/>
      <c r="D812" s="115"/>
      <c r="E812" s="50"/>
      <c r="F812" s="116"/>
      <c r="G812" s="116"/>
      <c r="H812" s="52"/>
      <c r="I812" s="126"/>
      <c r="J812" s="139"/>
      <c r="K812" s="126"/>
      <c r="L812" s="126"/>
      <c r="M812" s="56"/>
      <c r="N812" s="118"/>
      <c r="O812" s="55"/>
      <c r="P812" s="53"/>
      <c r="Q812" s="55"/>
      <c r="R812" s="49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</row>
    <row r="813" spans="1:41" ht="13.8" x14ac:dyDescent="0.25">
      <c r="A813" s="46"/>
      <c r="B813" s="114"/>
      <c r="C813" s="48"/>
      <c r="D813" s="115"/>
      <c r="E813" s="50"/>
      <c r="F813" s="116"/>
      <c r="G813" s="116"/>
      <c r="H813" s="52"/>
      <c r="I813" s="126"/>
      <c r="J813" s="139"/>
      <c r="K813" s="126"/>
      <c r="L813" s="126"/>
      <c r="M813" s="56"/>
      <c r="N813" s="118"/>
      <c r="O813" s="55"/>
      <c r="P813" s="53"/>
      <c r="Q813" s="55"/>
      <c r="R813" s="49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</row>
    <row r="814" spans="1:41" ht="13.8" x14ac:dyDescent="0.25">
      <c r="A814" s="46"/>
      <c r="B814" s="114"/>
      <c r="C814" s="48"/>
      <c r="D814" s="115"/>
      <c r="E814" s="50"/>
      <c r="F814" s="116"/>
      <c r="G814" s="116"/>
      <c r="H814" s="52"/>
      <c r="I814" s="126"/>
      <c r="J814" s="139"/>
      <c r="K814" s="126"/>
      <c r="L814" s="126"/>
      <c r="M814" s="56"/>
      <c r="N814" s="118"/>
      <c r="O814" s="55"/>
      <c r="P814" s="53"/>
      <c r="Q814" s="55"/>
      <c r="R814" s="49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</row>
    <row r="815" spans="1:41" ht="13.8" x14ac:dyDescent="0.25">
      <c r="A815" s="46"/>
      <c r="B815" s="114"/>
      <c r="C815" s="48"/>
      <c r="D815" s="115"/>
      <c r="E815" s="50"/>
      <c r="F815" s="116"/>
      <c r="G815" s="116"/>
      <c r="H815" s="52"/>
      <c r="I815" s="126"/>
      <c r="J815" s="139"/>
      <c r="K815" s="126"/>
      <c r="L815" s="126"/>
      <c r="M815" s="56"/>
      <c r="N815" s="118"/>
      <c r="O815" s="55"/>
      <c r="P815" s="53"/>
      <c r="Q815" s="55"/>
      <c r="R815" s="49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</row>
    <row r="816" spans="1:41" ht="13.8" x14ac:dyDescent="0.25">
      <c r="A816" s="46"/>
      <c r="B816" s="114"/>
      <c r="C816" s="48"/>
      <c r="D816" s="115"/>
      <c r="E816" s="50"/>
      <c r="F816" s="116"/>
      <c r="G816" s="116"/>
      <c r="H816" s="52"/>
      <c r="I816" s="126"/>
      <c r="J816" s="139"/>
      <c r="K816" s="126"/>
      <c r="L816" s="126"/>
      <c r="M816" s="56"/>
      <c r="N816" s="118"/>
      <c r="O816" s="55"/>
      <c r="P816" s="53"/>
      <c r="Q816" s="55"/>
      <c r="R816" s="49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</row>
    <row r="817" spans="1:41" ht="13.8" x14ac:dyDescent="0.25">
      <c r="A817" s="46"/>
      <c r="B817" s="114"/>
      <c r="C817" s="48"/>
      <c r="D817" s="115"/>
      <c r="E817" s="50"/>
      <c r="F817" s="116"/>
      <c r="G817" s="116"/>
      <c r="H817" s="52"/>
      <c r="I817" s="126"/>
      <c r="J817" s="139"/>
      <c r="K817" s="126"/>
      <c r="L817" s="126"/>
      <c r="M817" s="56"/>
      <c r="N817" s="118"/>
      <c r="O817" s="55"/>
      <c r="P817" s="53"/>
      <c r="Q817" s="55"/>
      <c r="R817" s="49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</row>
    <row r="818" spans="1:41" ht="13.8" x14ac:dyDescent="0.25">
      <c r="A818" s="46"/>
      <c r="B818" s="114"/>
      <c r="C818" s="48"/>
      <c r="D818" s="115"/>
      <c r="E818" s="50"/>
      <c r="F818" s="116"/>
      <c r="G818" s="116"/>
      <c r="H818" s="52"/>
      <c r="I818" s="126"/>
      <c r="J818" s="139"/>
      <c r="K818" s="126"/>
      <c r="L818" s="126"/>
      <c r="M818" s="56"/>
      <c r="N818" s="118"/>
      <c r="O818" s="55"/>
      <c r="P818" s="53"/>
      <c r="Q818" s="55"/>
      <c r="R818" s="49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</row>
    <row r="819" spans="1:41" ht="13.8" x14ac:dyDescent="0.25">
      <c r="A819" s="46"/>
      <c r="B819" s="114"/>
      <c r="C819" s="48"/>
      <c r="D819" s="115"/>
      <c r="E819" s="50"/>
      <c r="F819" s="116"/>
      <c r="G819" s="116"/>
      <c r="H819" s="52"/>
      <c r="I819" s="126"/>
      <c r="J819" s="139"/>
      <c r="K819" s="126"/>
      <c r="L819" s="126"/>
      <c r="M819" s="56"/>
      <c r="N819" s="118"/>
      <c r="O819" s="55"/>
      <c r="P819" s="53"/>
      <c r="Q819" s="55"/>
      <c r="R819" s="49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</row>
    <row r="820" spans="1:41" ht="13.8" x14ac:dyDescent="0.25">
      <c r="A820" s="46"/>
      <c r="B820" s="114"/>
      <c r="C820" s="48"/>
      <c r="D820" s="115"/>
      <c r="E820" s="50"/>
      <c r="F820" s="116"/>
      <c r="G820" s="116"/>
      <c r="H820" s="52"/>
      <c r="I820" s="126"/>
      <c r="J820" s="139"/>
      <c r="K820" s="126"/>
      <c r="L820" s="126"/>
      <c r="M820" s="56"/>
      <c r="N820" s="118"/>
      <c r="O820" s="55"/>
      <c r="P820" s="53"/>
      <c r="Q820" s="55"/>
      <c r="R820" s="49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</row>
    <row r="821" spans="1:41" ht="13.8" x14ac:dyDescent="0.25">
      <c r="A821" s="46"/>
      <c r="B821" s="114"/>
      <c r="C821" s="48"/>
      <c r="D821" s="115"/>
      <c r="E821" s="50"/>
      <c r="F821" s="116"/>
      <c r="G821" s="116"/>
      <c r="H821" s="52"/>
      <c r="I821" s="126"/>
      <c r="J821" s="139"/>
      <c r="K821" s="126"/>
      <c r="L821" s="126"/>
      <c r="M821" s="56"/>
      <c r="N821" s="118"/>
      <c r="O821" s="55"/>
      <c r="P821" s="53"/>
      <c r="Q821" s="55"/>
      <c r="R821" s="49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</row>
    <row r="822" spans="1:41" ht="13.8" x14ac:dyDescent="0.25">
      <c r="A822" s="46"/>
      <c r="B822" s="114"/>
      <c r="C822" s="48"/>
      <c r="D822" s="115"/>
      <c r="E822" s="50"/>
      <c r="F822" s="116"/>
      <c r="G822" s="116"/>
      <c r="H822" s="52"/>
      <c r="I822" s="126"/>
      <c r="J822" s="139"/>
      <c r="K822" s="126"/>
      <c r="L822" s="126"/>
      <c r="M822" s="56"/>
      <c r="N822" s="118"/>
      <c r="O822" s="55"/>
      <c r="P822" s="53"/>
      <c r="Q822" s="55"/>
      <c r="R822" s="49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</row>
    <row r="823" spans="1:41" ht="13.8" x14ac:dyDescent="0.25">
      <c r="A823" s="46"/>
      <c r="B823" s="114"/>
      <c r="C823" s="48"/>
      <c r="D823" s="115"/>
      <c r="E823" s="50"/>
      <c r="F823" s="116"/>
      <c r="G823" s="116"/>
      <c r="H823" s="52"/>
      <c r="I823" s="126"/>
      <c r="J823" s="139"/>
      <c r="K823" s="126"/>
      <c r="L823" s="126"/>
      <c r="M823" s="56"/>
      <c r="N823" s="118"/>
      <c r="O823" s="55"/>
      <c r="P823" s="53"/>
      <c r="Q823" s="55"/>
      <c r="R823" s="49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</row>
    <row r="824" spans="1:41" ht="13.8" x14ac:dyDescent="0.25">
      <c r="A824" s="46"/>
      <c r="B824" s="114"/>
      <c r="C824" s="48"/>
      <c r="D824" s="115"/>
      <c r="E824" s="50"/>
      <c r="F824" s="116"/>
      <c r="G824" s="116"/>
      <c r="H824" s="52"/>
      <c r="I824" s="126"/>
      <c r="J824" s="139"/>
      <c r="K824" s="126"/>
      <c r="L824" s="126"/>
      <c r="M824" s="56"/>
      <c r="N824" s="118"/>
      <c r="O824" s="55"/>
      <c r="P824" s="53"/>
      <c r="Q824" s="55"/>
      <c r="R824" s="49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</row>
    <row r="825" spans="1:41" ht="13.8" x14ac:dyDescent="0.25">
      <c r="A825" s="46"/>
      <c r="B825" s="114"/>
      <c r="C825" s="48"/>
      <c r="D825" s="115"/>
      <c r="E825" s="50"/>
      <c r="F825" s="116"/>
      <c r="G825" s="116"/>
      <c r="H825" s="52"/>
      <c r="I825" s="126"/>
      <c r="J825" s="139"/>
      <c r="K825" s="126"/>
      <c r="L825" s="126"/>
      <c r="M825" s="56"/>
      <c r="N825" s="118"/>
      <c r="O825" s="55"/>
      <c r="P825" s="53"/>
      <c r="Q825" s="55"/>
      <c r="R825" s="49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</row>
    <row r="826" spans="1:41" ht="13.8" x14ac:dyDescent="0.25">
      <c r="A826" s="46"/>
      <c r="B826" s="114"/>
      <c r="C826" s="48"/>
      <c r="D826" s="115"/>
      <c r="E826" s="50"/>
      <c r="F826" s="116"/>
      <c r="G826" s="116"/>
      <c r="H826" s="52"/>
      <c r="I826" s="126"/>
      <c r="J826" s="139"/>
      <c r="K826" s="126"/>
      <c r="L826" s="126"/>
      <c r="M826" s="56"/>
      <c r="N826" s="118"/>
      <c r="O826" s="55"/>
      <c r="P826" s="53"/>
      <c r="Q826" s="55"/>
      <c r="R826" s="49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</row>
    <row r="827" spans="1:41" ht="13.8" x14ac:dyDescent="0.25">
      <c r="A827" s="46"/>
      <c r="B827" s="114"/>
      <c r="C827" s="48"/>
      <c r="D827" s="115"/>
      <c r="E827" s="50"/>
      <c r="F827" s="116"/>
      <c r="G827" s="116"/>
      <c r="H827" s="52"/>
      <c r="I827" s="126"/>
      <c r="J827" s="139"/>
      <c r="K827" s="126"/>
      <c r="L827" s="126"/>
      <c r="M827" s="56"/>
      <c r="N827" s="118"/>
      <c r="O827" s="55"/>
      <c r="P827" s="53"/>
      <c r="Q827" s="55"/>
      <c r="R827" s="49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</row>
    <row r="828" spans="1:41" ht="13.8" x14ac:dyDescent="0.25">
      <c r="A828" s="46"/>
      <c r="B828" s="114"/>
      <c r="C828" s="48"/>
      <c r="D828" s="115"/>
      <c r="E828" s="50"/>
      <c r="F828" s="116"/>
      <c r="G828" s="116"/>
      <c r="H828" s="52"/>
      <c r="I828" s="126"/>
      <c r="J828" s="139"/>
      <c r="K828" s="126"/>
      <c r="L828" s="126"/>
      <c r="M828" s="56"/>
      <c r="N828" s="118"/>
      <c r="O828" s="55"/>
      <c r="P828" s="53"/>
      <c r="Q828" s="55"/>
      <c r="R828" s="49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</row>
    <row r="829" spans="1:41" ht="13.8" x14ac:dyDescent="0.25">
      <c r="A829" s="46"/>
      <c r="B829" s="114"/>
      <c r="C829" s="48"/>
      <c r="D829" s="115"/>
      <c r="E829" s="50"/>
      <c r="F829" s="116"/>
      <c r="G829" s="116"/>
      <c r="H829" s="52"/>
      <c r="I829" s="126"/>
      <c r="J829" s="139"/>
      <c r="K829" s="126"/>
      <c r="L829" s="126"/>
      <c r="M829" s="56"/>
      <c r="N829" s="118"/>
      <c r="O829" s="55"/>
      <c r="P829" s="53"/>
      <c r="Q829" s="55"/>
      <c r="R829" s="49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</row>
    <row r="830" spans="1:41" ht="13.8" x14ac:dyDescent="0.25">
      <c r="A830" s="46"/>
      <c r="B830" s="114"/>
      <c r="C830" s="48"/>
      <c r="D830" s="115"/>
      <c r="E830" s="50"/>
      <c r="F830" s="116"/>
      <c r="G830" s="116"/>
      <c r="H830" s="52"/>
      <c r="I830" s="126"/>
      <c r="J830" s="139"/>
      <c r="K830" s="126"/>
      <c r="L830" s="126"/>
      <c r="M830" s="56"/>
      <c r="N830" s="118"/>
      <c r="O830" s="55"/>
      <c r="P830" s="53"/>
      <c r="Q830" s="55"/>
      <c r="R830" s="49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</row>
    <row r="831" spans="1:41" ht="13.8" x14ac:dyDescent="0.25">
      <c r="A831" s="46"/>
      <c r="B831" s="114"/>
      <c r="C831" s="48"/>
      <c r="D831" s="115"/>
      <c r="E831" s="50"/>
      <c r="F831" s="116"/>
      <c r="G831" s="116"/>
      <c r="H831" s="52"/>
      <c r="I831" s="126"/>
      <c r="J831" s="139"/>
      <c r="K831" s="126"/>
      <c r="L831" s="126"/>
      <c r="M831" s="56"/>
      <c r="N831" s="118"/>
      <c r="O831" s="55"/>
      <c r="P831" s="53"/>
      <c r="Q831" s="55"/>
      <c r="R831" s="49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</row>
    <row r="832" spans="1:41" ht="13.8" x14ac:dyDescent="0.25">
      <c r="A832" s="46"/>
      <c r="B832" s="114"/>
      <c r="C832" s="48"/>
      <c r="D832" s="115"/>
      <c r="E832" s="50"/>
      <c r="F832" s="116"/>
      <c r="G832" s="116"/>
      <c r="H832" s="52"/>
      <c r="I832" s="126"/>
      <c r="J832" s="139"/>
      <c r="K832" s="126"/>
      <c r="L832" s="126"/>
      <c r="M832" s="56"/>
      <c r="N832" s="118"/>
      <c r="O832" s="55"/>
      <c r="P832" s="53"/>
      <c r="Q832" s="55"/>
      <c r="R832" s="49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</row>
    <row r="833" spans="1:41" ht="13.8" x14ac:dyDescent="0.25">
      <c r="A833" s="46"/>
      <c r="B833" s="114"/>
      <c r="C833" s="48"/>
      <c r="D833" s="115"/>
      <c r="E833" s="50"/>
      <c r="F833" s="116"/>
      <c r="G833" s="116"/>
      <c r="H833" s="52"/>
      <c r="I833" s="126"/>
      <c r="J833" s="139"/>
      <c r="K833" s="126"/>
      <c r="L833" s="126"/>
      <c r="M833" s="56"/>
      <c r="N833" s="118"/>
      <c r="O833" s="55"/>
      <c r="P833" s="53"/>
      <c r="Q833" s="55"/>
      <c r="R833" s="49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</row>
    <row r="834" spans="1:41" ht="13.8" x14ac:dyDescent="0.25">
      <c r="A834" s="46"/>
      <c r="B834" s="114"/>
      <c r="C834" s="48"/>
      <c r="D834" s="115"/>
      <c r="E834" s="50"/>
      <c r="F834" s="116"/>
      <c r="G834" s="116"/>
      <c r="H834" s="52"/>
      <c r="I834" s="126"/>
      <c r="J834" s="139"/>
      <c r="K834" s="126"/>
      <c r="L834" s="126"/>
      <c r="M834" s="56"/>
      <c r="N834" s="118"/>
      <c r="O834" s="55"/>
      <c r="P834" s="53"/>
      <c r="Q834" s="55"/>
      <c r="R834" s="49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</row>
    <row r="835" spans="1:41" ht="13.8" x14ac:dyDescent="0.25">
      <c r="A835" s="46"/>
      <c r="B835" s="114"/>
      <c r="C835" s="48"/>
      <c r="D835" s="115"/>
      <c r="E835" s="50"/>
      <c r="F835" s="116"/>
      <c r="G835" s="116"/>
      <c r="H835" s="52"/>
      <c r="I835" s="126"/>
      <c r="J835" s="139"/>
      <c r="K835" s="126"/>
      <c r="L835" s="126"/>
      <c r="M835" s="56"/>
      <c r="N835" s="118"/>
      <c r="O835" s="55"/>
      <c r="P835" s="53"/>
      <c r="Q835" s="55"/>
      <c r="R835" s="49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</row>
    <row r="836" spans="1:41" ht="13.8" x14ac:dyDescent="0.25">
      <c r="A836" s="46"/>
      <c r="B836" s="114"/>
      <c r="C836" s="48"/>
      <c r="D836" s="115"/>
      <c r="E836" s="50"/>
      <c r="F836" s="116"/>
      <c r="G836" s="116"/>
      <c r="H836" s="52"/>
      <c r="I836" s="126"/>
      <c r="J836" s="139"/>
      <c r="K836" s="126"/>
      <c r="L836" s="126"/>
      <c r="M836" s="56"/>
      <c r="N836" s="118"/>
      <c r="O836" s="55"/>
      <c r="P836" s="53"/>
      <c r="Q836" s="55"/>
      <c r="R836" s="49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</row>
    <row r="837" spans="1:41" ht="13.8" x14ac:dyDescent="0.25">
      <c r="A837" s="46"/>
      <c r="B837" s="114"/>
      <c r="C837" s="48"/>
      <c r="D837" s="115"/>
      <c r="E837" s="50"/>
      <c r="F837" s="116"/>
      <c r="G837" s="116"/>
      <c r="H837" s="52"/>
      <c r="I837" s="126"/>
      <c r="J837" s="139"/>
      <c r="K837" s="126"/>
      <c r="L837" s="126"/>
      <c r="M837" s="56"/>
      <c r="N837" s="118"/>
      <c r="O837" s="55"/>
      <c r="P837" s="53"/>
      <c r="Q837" s="55"/>
      <c r="R837" s="49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</row>
    <row r="838" spans="1:41" ht="13.8" x14ac:dyDescent="0.25">
      <c r="A838" s="46"/>
      <c r="B838" s="114"/>
      <c r="C838" s="48"/>
      <c r="D838" s="115"/>
      <c r="E838" s="50"/>
      <c r="F838" s="116"/>
      <c r="G838" s="116"/>
      <c r="H838" s="52"/>
      <c r="I838" s="126"/>
      <c r="J838" s="139"/>
      <c r="K838" s="126"/>
      <c r="L838" s="126"/>
      <c r="M838" s="56"/>
      <c r="N838" s="118"/>
      <c r="O838" s="55"/>
      <c r="P838" s="53"/>
      <c r="Q838" s="55"/>
      <c r="R838" s="49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</row>
    <row r="839" spans="1:41" ht="13.8" x14ac:dyDescent="0.25">
      <c r="A839" s="46"/>
      <c r="B839" s="114"/>
      <c r="C839" s="48"/>
      <c r="D839" s="115"/>
      <c r="E839" s="50"/>
      <c r="F839" s="116"/>
      <c r="G839" s="116"/>
      <c r="H839" s="52"/>
      <c r="I839" s="126"/>
      <c r="J839" s="139"/>
      <c r="K839" s="126"/>
      <c r="L839" s="126"/>
      <c r="M839" s="56"/>
      <c r="N839" s="118"/>
      <c r="O839" s="55"/>
      <c r="P839" s="53"/>
      <c r="Q839" s="55"/>
      <c r="R839" s="49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</row>
    <row r="840" spans="1:41" ht="13.8" x14ac:dyDescent="0.25">
      <c r="A840" s="46"/>
      <c r="B840" s="114"/>
      <c r="C840" s="48"/>
      <c r="D840" s="115"/>
      <c r="E840" s="50"/>
      <c r="F840" s="116"/>
      <c r="G840" s="116"/>
      <c r="H840" s="52"/>
      <c r="I840" s="126"/>
      <c r="J840" s="139"/>
      <c r="K840" s="126"/>
      <c r="L840" s="126"/>
      <c r="M840" s="56"/>
      <c r="N840" s="118"/>
      <c r="O840" s="55"/>
      <c r="P840" s="53"/>
      <c r="Q840" s="55"/>
      <c r="R840" s="49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</row>
    <row r="841" spans="1:41" ht="13.8" x14ac:dyDescent="0.25">
      <c r="A841" s="46"/>
      <c r="B841" s="114"/>
      <c r="C841" s="48"/>
      <c r="D841" s="115"/>
      <c r="E841" s="50"/>
      <c r="F841" s="116"/>
      <c r="G841" s="116"/>
      <c r="H841" s="52"/>
      <c r="I841" s="126"/>
      <c r="J841" s="139"/>
      <c r="K841" s="126"/>
      <c r="L841" s="126"/>
      <c r="M841" s="56"/>
      <c r="N841" s="118"/>
      <c r="O841" s="55"/>
      <c r="P841" s="53"/>
      <c r="Q841" s="55"/>
      <c r="R841" s="49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</row>
    <row r="842" spans="1:41" ht="13.8" x14ac:dyDescent="0.25">
      <c r="A842" s="46"/>
      <c r="B842" s="114"/>
      <c r="C842" s="48"/>
      <c r="D842" s="115"/>
      <c r="E842" s="50"/>
      <c r="F842" s="116"/>
      <c r="G842" s="116"/>
      <c r="H842" s="52"/>
      <c r="I842" s="126"/>
      <c r="J842" s="139"/>
      <c r="K842" s="126"/>
      <c r="L842" s="126"/>
      <c r="M842" s="56"/>
      <c r="N842" s="118"/>
      <c r="O842" s="55"/>
      <c r="P842" s="53"/>
      <c r="Q842" s="55"/>
      <c r="R842" s="49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</row>
    <row r="843" spans="1:41" ht="13.8" x14ac:dyDescent="0.25">
      <c r="A843" s="46"/>
      <c r="B843" s="114"/>
      <c r="C843" s="48"/>
      <c r="D843" s="115"/>
      <c r="E843" s="50"/>
      <c r="F843" s="116"/>
      <c r="G843" s="116"/>
      <c r="H843" s="52"/>
      <c r="I843" s="126"/>
      <c r="J843" s="139"/>
      <c r="K843" s="126"/>
      <c r="L843" s="126"/>
      <c r="M843" s="56"/>
      <c r="N843" s="118"/>
      <c r="O843" s="55"/>
      <c r="P843" s="53"/>
      <c r="Q843" s="55"/>
      <c r="R843" s="49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</row>
    <row r="844" spans="1:41" ht="13.8" x14ac:dyDescent="0.25">
      <c r="A844" s="46"/>
      <c r="B844" s="114"/>
      <c r="C844" s="48"/>
      <c r="D844" s="115"/>
      <c r="E844" s="50"/>
      <c r="F844" s="116"/>
      <c r="G844" s="116"/>
      <c r="H844" s="52"/>
      <c r="I844" s="126"/>
      <c r="J844" s="139"/>
      <c r="K844" s="126"/>
      <c r="L844" s="126"/>
      <c r="M844" s="56"/>
      <c r="N844" s="118"/>
      <c r="O844" s="55"/>
      <c r="P844" s="53"/>
      <c r="Q844" s="55"/>
      <c r="R844" s="49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</row>
    <row r="845" spans="1:41" ht="13.8" x14ac:dyDescent="0.25">
      <c r="A845" s="46"/>
      <c r="B845" s="114"/>
      <c r="C845" s="48"/>
      <c r="D845" s="115"/>
      <c r="E845" s="50"/>
      <c r="F845" s="116"/>
      <c r="G845" s="116"/>
      <c r="H845" s="52"/>
      <c r="I845" s="126"/>
      <c r="J845" s="139"/>
      <c r="K845" s="126"/>
      <c r="L845" s="126"/>
      <c r="M845" s="56"/>
      <c r="N845" s="118"/>
      <c r="O845" s="55"/>
      <c r="P845" s="53"/>
      <c r="Q845" s="55"/>
      <c r="R845" s="49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</row>
    <row r="846" spans="1:41" ht="13.8" x14ac:dyDescent="0.25">
      <c r="A846" s="46"/>
      <c r="B846" s="114"/>
      <c r="C846" s="48"/>
      <c r="D846" s="115"/>
      <c r="E846" s="50"/>
      <c r="F846" s="116"/>
      <c r="G846" s="116"/>
      <c r="H846" s="52"/>
      <c r="I846" s="126"/>
      <c r="J846" s="139"/>
      <c r="K846" s="126"/>
      <c r="L846" s="126"/>
      <c r="M846" s="56"/>
      <c r="N846" s="118"/>
      <c r="O846" s="55"/>
      <c r="P846" s="53"/>
      <c r="Q846" s="55"/>
      <c r="R846" s="49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</row>
    <row r="847" spans="1:41" ht="13.8" x14ac:dyDescent="0.25">
      <c r="A847" s="46"/>
      <c r="B847" s="114"/>
      <c r="C847" s="48"/>
      <c r="D847" s="115"/>
      <c r="E847" s="50"/>
      <c r="F847" s="116"/>
      <c r="G847" s="116"/>
      <c r="H847" s="52"/>
      <c r="I847" s="126"/>
      <c r="J847" s="139"/>
      <c r="K847" s="126"/>
      <c r="L847" s="126"/>
      <c r="M847" s="56"/>
      <c r="N847" s="118"/>
      <c r="O847" s="55"/>
      <c r="P847" s="53"/>
      <c r="Q847" s="55"/>
      <c r="R847" s="49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</row>
    <row r="848" spans="1:41" ht="13.8" x14ac:dyDescent="0.25">
      <c r="A848" s="46"/>
      <c r="B848" s="114"/>
      <c r="C848" s="48"/>
      <c r="D848" s="115"/>
      <c r="E848" s="50"/>
      <c r="F848" s="116"/>
      <c r="G848" s="116"/>
      <c r="H848" s="52"/>
      <c r="I848" s="126"/>
      <c r="J848" s="139"/>
      <c r="K848" s="126"/>
      <c r="L848" s="126"/>
      <c r="M848" s="56"/>
      <c r="N848" s="118"/>
      <c r="O848" s="55"/>
      <c r="P848" s="53"/>
      <c r="Q848" s="55"/>
      <c r="R848" s="49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</row>
    <row r="849" spans="1:41" ht="13.8" x14ac:dyDescent="0.25">
      <c r="A849" s="46"/>
      <c r="B849" s="114"/>
      <c r="C849" s="48"/>
      <c r="D849" s="115"/>
      <c r="E849" s="50"/>
      <c r="F849" s="116"/>
      <c r="G849" s="116"/>
      <c r="H849" s="52"/>
      <c r="I849" s="126"/>
      <c r="J849" s="139"/>
      <c r="K849" s="126"/>
      <c r="L849" s="126"/>
      <c r="M849" s="56"/>
      <c r="N849" s="118"/>
      <c r="O849" s="55"/>
      <c r="P849" s="53"/>
      <c r="Q849" s="55"/>
      <c r="R849" s="49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</row>
    <row r="850" spans="1:41" ht="13.8" x14ac:dyDescent="0.25">
      <c r="A850" s="46"/>
      <c r="B850" s="114"/>
      <c r="C850" s="48"/>
      <c r="D850" s="115"/>
      <c r="E850" s="50"/>
      <c r="F850" s="116"/>
      <c r="G850" s="116"/>
      <c r="H850" s="52"/>
      <c r="I850" s="126"/>
      <c r="J850" s="139"/>
      <c r="K850" s="126"/>
      <c r="L850" s="126"/>
      <c r="M850" s="56"/>
      <c r="N850" s="118"/>
      <c r="O850" s="55"/>
      <c r="P850" s="53"/>
      <c r="Q850" s="55"/>
      <c r="R850" s="49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</row>
    <row r="851" spans="1:41" ht="13.8" x14ac:dyDescent="0.25">
      <c r="A851" s="46"/>
      <c r="B851" s="114"/>
      <c r="C851" s="48"/>
      <c r="D851" s="115"/>
      <c r="E851" s="50"/>
      <c r="F851" s="116"/>
      <c r="G851" s="116"/>
      <c r="H851" s="52"/>
      <c r="I851" s="126"/>
      <c r="J851" s="139"/>
      <c r="K851" s="126"/>
      <c r="L851" s="126"/>
      <c r="M851" s="56"/>
      <c r="N851" s="118"/>
      <c r="O851" s="55"/>
      <c r="P851" s="53"/>
      <c r="Q851" s="55"/>
      <c r="R851" s="49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</row>
    <row r="852" spans="1:41" ht="13.8" x14ac:dyDescent="0.25">
      <c r="A852" s="46"/>
      <c r="B852" s="114"/>
      <c r="C852" s="48"/>
      <c r="D852" s="115"/>
      <c r="E852" s="50"/>
      <c r="F852" s="116"/>
      <c r="G852" s="116"/>
      <c r="H852" s="52"/>
      <c r="I852" s="126"/>
      <c r="J852" s="139"/>
      <c r="K852" s="126"/>
      <c r="L852" s="126"/>
      <c r="M852" s="56"/>
      <c r="N852" s="118"/>
      <c r="O852" s="55"/>
      <c r="P852" s="53"/>
      <c r="Q852" s="55"/>
      <c r="R852" s="49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</row>
    <row r="853" spans="1:41" ht="13.8" x14ac:dyDescent="0.25">
      <c r="A853" s="46"/>
      <c r="B853" s="114"/>
      <c r="C853" s="48"/>
      <c r="D853" s="115"/>
      <c r="E853" s="50"/>
      <c r="F853" s="116"/>
      <c r="G853" s="116"/>
      <c r="H853" s="52"/>
      <c r="I853" s="126"/>
      <c r="J853" s="139"/>
      <c r="K853" s="126"/>
      <c r="L853" s="126"/>
      <c r="M853" s="56"/>
      <c r="N853" s="118"/>
      <c r="O853" s="55"/>
      <c r="P853" s="53"/>
      <c r="Q853" s="55"/>
      <c r="R853" s="49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</row>
    <row r="854" spans="1:41" ht="13.8" x14ac:dyDescent="0.25">
      <c r="A854" s="46"/>
      <c r="B854" s="114"/>
      <c r="C854" s="48"/>
      <c r="D854" s="115"/>
      <c r="E854" s="50"/>
      <c r="F854" s="116"/>
      <c r="G854" s="116"/>
      <c r="H854" s="52"/>
      <c r="I854" s="126"/>
      <c r="J854" s="139"/>
      <c r="K854" s="126"/>
      <c r="L854" s="126"/>
      <c r="M854" s="56"/>
      <c r="N854" s="118"/>
      <c r="O854" s="55"/>
      <c r="P854" s="53"/>
      <c r="Q854" s="55"/>
      <c r="R854" s="49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</row>
    <row r="855" spans="1:41" ht="13.8" x14ac:dyDescent="0.25">
      <c r="A855" s="46"/>
      <c r="B855" s="114"/>
      <c r="C855" s="48"/>
      <c r="D855" s="115"/>
      <c r="E855" s="50"/>
      <c r="F855" s="116"/>
      <c r="G855" s="116"/>
      <c r="H855" s="52"/>
      <c r="I855" s="126"/>
      <c r="J855" s="139"/>
      <c r="K855" s="126"/>
      <c r="L855" s="126"/>
      <c r="M855" s="56"/>
      <c r="N855" s="118"/>
      <c r="O855" s="55"/>
      <c r="P855" s="53"/>
      <c r="Q855" s="55"/>
      <c r="R855" s="49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</row>
    <row r="856" spans="1:41" ht="13.8" x14ac:dyDescent="0.25">
      <c r="A856" s="46"/>
      <c r="B856" s="114"/>
      <c r="C856" s="48"/>
      <c r="D856" s="115"/>
      <c r="E856" s="50"/>
      <c r="F856" s="116"/>
      <c r="G856" s="116"/>
      <c r="H856" s="52"/>
      <c r="I856" s="126"/>
      <c r="J856" s="139"/>
      <c r="K856" s="126"/>
      <c r="L856" s="126"/>
      <c r="M856" s="56"/>
      <c r="N856" s="118"/>
      <c r="O856" s="55"/>
      <c r="P856" s="53"/>
      <c r="Q856" s="55"/>
      <c r="R856" s="49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</row>
    <row r="857" spans="1:41" ht="13.8" x14ac:dyDescent="0.25">
      <c r="A857" s="46"/>
      <c r="B857" s="114"/>
      <c r="C857" s="48"/>
      <c r="D857" s="115"/>
      <c r="E857" s="50"/>
      <c r="F857" s="116"/>
      <c r="G857" s="116"/>
      <c r="H857" s="52"/>
      <c r="I857" s="126"/>
      <c r="J857" s="139"/>
      <c r="K857" s="126"/>
      <c r="L857" s="126"/>
      <c r="M857" s="56"/>
      <c r="N857" s="118"/>
      <c r="O857" s="55"/>
      <c r="P857" s="53"/>
      <c r="Q857" s="55"/>
      <c r="R857" s="49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</row>
    <row r="858" spans="1:41" ht="13.8" x14ac:dyDescent="0.25">
      <c r="A858" s="46"/>
      <c r="B858" s="114"/>
      <c r="C858" s="48"/>
      <c r="D858" s="115"/>
      <c r="E858" s="50"/>
      <c r="F858" s="116"/>
      <c r="G858" s="116"/>
      <c r="H858" s="52"/>
      <c r="I858" s="126"/>
      <c r="J858" s="139"/>
      <c r="K858" s="126"/>
      <c r="L858" s="126"/>
      <c r="M858" s="56"/>
      <c r="N858" s="118"/>
      <c r="O858" s="55"/>
      <c r="P858" s="53"/>
      <c r="Q858" s="55"/>
      <c r="R858" s="49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</row>
    <row r="859" spans="1:41" ht="13.8" x14ac:dyDescent="0.25">
      <c r="A859" s="46"/>
      <c r="B859" s="114"/>
      <c r="C859" s="48"/>
      <c r="D859" s="115"/>
      <c r="E859" s="50"/>
      <c r="F859" s="116"/>
      <c r="G859" s="116"/>
      <c r="H859" s="52"/>
      <c r="I859" s="126"/>
      <c r="J859" s="139"/>
      <c r="K859" s="126"/>
      <c r="L859" s="126"/>
      <c r="M859" s="56"/>
      <c r="N859" s="118"/>
      <c r="O859" s="55"/>
      <c r="P859" s="53"/>
      <c r="Q859" s="55"/>
      <c r="R859" s="49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</row>
    <row r="860" spans="1:41" ht="13.8" x14ac:dyDescent="0.25">
      <c r="A860" s="46"/>
      <c r="B860" s="114"/>
      <c r="C860" s="48"/>
      <c r="D860" s="115"/>
      <c r="E860" s="50"/>
      <c r="F860" s="116"/>
      <c r="G860" s="116"/>
      <c r="H860" s="52"/>
      <c r="I860" s="126"/>
      <c r="J860" s="139"/>
      <c r="K860" s="126"/>
      <c r="L860" s="126"/>
      <c r="M860" s="56"/>
      <c r="N860" s="118"/>
      <c r="O860" s="55"/>
      <c r="P860" s="53"/>
      <c r="Q860" s="55"/>
      <c r="R860" s="49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</row>
    <row r="861" spans="1:41" ht="13.8" x14ac:dyDescent="0.25">
      <c r="A861" s="46"/>
      <c r="B861" s="114"/>
      <c r="C861" s="48"/>
      <c r="D861" s="115"/>
      <c r="E861" s="50"/>
      <c r="F861" s="116"/>
      <c r="G861" s="116"/>
      <c r="H861" s="52"/>
      <c r="I861" s="126"/>
      <c r="J861" s="139"/>
      <c r="K861" s="126"/>
      <c r="L861" s="126"/>
      <c r="M861" s="56"/>
      <c r="N861" s="118"/>
      <c r="O861" s="55"/>
      <c r="P861" s="53"/>
      <c r="Q861" s="55"/>
      <c r="R861" s="49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</row>
    <row r="862" spans="1:41" ht="13.8" x14ac:dyDescent="0.25">
      <c r="A862" s="46"/>
      <c r="B862" s="114"/>
      <c r="C862" s="48"/>
      <c r="D862" s="115"/>
      <c r="E862" s="50"/>
      <c r="F862" s="116"/>
      <c r="G862" s="116"/>
      <c r="H862" s="52"/>
      <c r="I862" s="126"/>
      <c r="J862" s="139"/>
      <c r="K862" s="126"/>
      <c r="L862" s="126"/>
      <c r="M862" s="56"/>
      <c r="N862" s="118"/>
      <c r="O862" s="55"/>
      <c r="P862" s="53"/>
      <c r="Q862" s="55"/>
      <c r="R862" s="49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</row>
    <row r="863" spans="1:41" ht="13.8" x14ac:dyDescent="0.25">
      <c r="A863" s="46"/>
      <c r="B863" s="114"/>
      <c r="C863" s="48"/>
      <c r="D863" s="115"/>
      <c r="E863" s="50"/>
      <c r="F863" s="116"/>
      <c r="G863" s="116"/>
      <c r="H863" s="52"/>
      <c r="I863" s="126"/>
      <c r="J863" s="139"/>
      <c r="K863" s="126"/>
      <c r="L863" s="126"/>
      <c r="M863" s="56"/>
      <c r="N863" s="118"/>
      <c r="O863" s="55"/>
      <c r="P863" s="53"/>
      <c r="Q863" s="55"/>
      <c r="R863" s="49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</row>
    <row r="864" spans="1:41" ht="13.8" x14ac:dyDescent="0.25">
      <c r="A864" s="46"/>
      <c r="B864" s="114"/>
      <c r="C864" s="48"/>
      <c r="D864" s="115"/>
      <c r="E864" s="50"/>
      <c r="F864" s="116"/>
      <c r="G864" s="116"/>
      <c r="H864" s="52"/>
      <c r="I864" s="126"/>
      <c r="J864" s="139"/>
      <c r="K864" s="126"/>
      <c r="L864" s="126"/>
      <c r="M864" s="56"/>
      <c r="N864" s="118"/>
      <c r="O864" s="55"/>
      <c r="P864" s="53"/>
      <c r="Q864" s="55"/>
      <c r="R864" s="49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</row>
    <row r="865" spans="1:41" ht="13.8" x14ac:dyDescent="0.25">
      <c r="A865" s="46"/>
      <c r="B865" s="114"/>
      <c r="C865" s="48"/>
      <c r="D865" s="115"/>
      <c r="E865" s="50"/>
      <c r="F865" s="116"/>
      <c r="G865" s="116"/>
      <c r="H865" s="52"/>
      <c r="I865" s="126"/>
      <c r="J865" s="139"/>
      <c r="K865" s="126"/>
      <c r="L865" s="126"/>
      <c r="M865" s="56"/>
      <c r="N865" s="118"/>
      <c r="O865" s="55"/>
      <c r="P865" s="53"/>
      <c r="Q865" s="55"/>
      <c r="R865" s="49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</row>
    <row r="866" spans="1:41" ht="13.8" x14ac:dyDescent="0.25">
      <c r="A866" s="46"/>
      <c r="B866" s="114"/>
      <c r="C866" s="48"/>
      <c r="D866" s="115"/>
      <c r="E866" s="50"/>
      <c r="F866" s="116"/>
      <c r="G866" s="116"/>
      <c r="H866" s="52"/>
      <c r="I866" s="126"/>
      <c r="J866" s="139"/>
      <c r="K866" s="126"/>
      <c r="L866" s="126"/>
      <c r="M866" s="56"/>
      <c r="N866" s="118"/>
      <c r="O866" s="55"/>
      <c r="P866" s="53"/>
      <c r="Q866" s="55"/>
      <c r="R866" s="49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</row>
    <row r="867" spans="1:41" ht="13.8" x14ac:dyDescent="0.25">
      <c r="A867" s="46"/>
      <c r="B867" s="114"/>
      <c r="C867" s="48"/>
      <c r="D867" s="115"/>
      <c r="E867" s="50"/>
      <c r="F867" s="116"/>
      <c r="G867" s="116"/>
      <c r="H867" s="52"/>
      <c r="I867" s="126"/>
      <c r="J867" s="139"/>
      <c r="K867" s="126"/>
      <c r="L867" s="126"/>
      <c r="M867" s="56"/>
      <c r="N867" s="118"/>
      <c r="O867" s="55"/>
      <c r="P867" s="53"/>
      <c r="Q867" s="55"/>
      <c r="R867" s="49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</row>
    <row r="868" spans="1:41" ht="13.8" x14ac:dyDescent="0.25">
      <c r="A868" s="46"/>
      <c r="B868" s="114"/>
      <c r="C868" s="48"/>
      <c r="D868" s="115"/>
      <c r="E868" s="50"/>
      <c r="F868" s="116"/>
      <c r="G868" s="116"/>
      <c r="H868" s="52"/>
      <c r="I868" s="126"/>
      <c r="J868" s="139"/>
      <c r="K868" s="126"/>
      <c r="L868" s="126"/>
      <c r="M868" s="56"/>
      <c r="N868" s="118"/>
      <c r="O868" s="55"/>
      <c r="P868" s="53"/>
      <c r="Q868" s="55"/>
      <c r="R868" s="49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</row>
    <row r="869" spans="1:41" ht="13.8" x14ac:dyDescent="0.25">
      <c r="A869" s="46"/>
      <c r="B869" s="114"/>
      <c r="C869" s="48"/>
      <c r="D869" s="115"/>
      <c r="E869" s="50"/>
      <c r="F869" s="116"/>
      <c r="G869" s="116"/>
      <c r="H869" s="52"/>
      <c r="I869" s="126"/>
      <c r="J869" s="139"/>
      <c r="K869" s="126"/>
      <c r="L869" s="126"/>
      <c r="M869" s="56"/>
      <c r="N869" s="118"/>
      <c r="O869" s="55"/>
      <c r="P869" s="53"/>
      <c r="Q869" s="55"/>
      <c r="R869" s="49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</row>
    <row r="870" spans="1:41" ht="13.8" x14ac:dyDescent="0.25">
      <c r="A870" s="46"/>
      <c r="B870" s="114"/>
      <c r="C870" s="48"/>
      <c r="D870" s="115"/>
      <c r="E870" s="50"/>
      <c r="F870" s="116"/>
      <c r="G870" s="116"/>
      <c r="H870" s="52"/>
      <c r="I870" s="126"/>
      <c r="J870" s="139"/>
      <c r="K870" s="126"/>
      <c r="L870" s="126"/>
      <c r="M870" s="56"/>
      <c r="N870" s="118"/>
      <c r="O870" s="55"/>
      <c r="P870" s="53"/>
      <c r="Q870" s="55"/>
      <c r="R870" s="49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</row>
    <row r="871" spans="1:41" ht="13.8" x14ac:dyDescent="0.25">
      <c r="A871" s="46"/>
      <c r="B871" s="114"/>
      <c r="C871" s="48"/>
      <c r="D871" s="115"/>
      <c r="E871" s="50"/>
      <c r="F871" s="116"/>
      <c r="G871" s="116"/>
      <c r="H871" s="52"/>
      <c r="I871" s="126"/>
      <c r="J871" s="139"/>
      <c r="K871" s="126"/>
      <c r="L871" s="126"/>
      <c r="M871" s="56"/>
      <c r="N871" s="118"/>
      <c r="O871" s="55"/>
      <c r="P871" s="53"/>
      <c r="Q871" s="55"/>
      <c r="R871" s="49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</row>
    <row r="872" spans="1:41" ht="13.8" x14ac:dyDescent="0.25">
      <c r="A872" s="46"/>
      <c r="B872" s="114"/>
      <c r="C872" s="48"/>
      <c r="D872" s="115"/>
      <c r="E872" s="50"/>
      <c r="F872" s="116"/>
      <c r="G872" s="116"/>
      <c r="H872" s="52"/>
      <c r="I872" s="126"/>
      <c r="J872" s="139"/>
      <c r="K872" s="126"/>
      <c r="L872" s="126"/>
      <c r="M872" s="56"/>
      <c r="N872" s="118"/>
      <c r="O872" s="55"/>
      <c r="P872" s="53"/>
      <c r="Q872" s="55"/>
      <c r="R872" s="49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</row>
    <row r="873" spans="1:41" ht="13.8" x14ac:dyDescent="0.25">
      <c r="A873" s="46"/>
      <c r="B873" s="114"/>
      <c r="C873" s="48"/>
      <c r="D873" s="115"/>
      <c r="E873" s="50"/>
      <c r="F873" s="116"/>
      <c r="G873" s="116"/>
      <c r="H873" s="52"/>
      <c r="I873" s="126"/>
      <c r="J873" s="139"/>
      <c r="K873" s="126"/>
      <c r="L873" s="126"/>
      <c r="M873" s="56"/>
      <c r="N873" s="118"/>
      <c r="O873" s="55"/>
      <c r="P873" s="53"/>
      <c r="Q873" s="55"/>
      <c r="R873" s="49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</row>
    <row r="874" spans="1:41" ht="13.8" x14ac:dyDescent="0.25">
      <c r="A874" s="46"/>
      <c r="B874" s="114"/>
      <c r="C874" s="48"/>
      <c r="D874" s="115"/>
      <c r="E874" s="50"/>
      <c r="F874" s="116"/>
      <c r="G874" s="116"/>
      <c r="H874" s="52"/>
      <c r="I874" s="126"/>
      <c r="J874" s="139"/>
      <c r="K874" s="126"/>
      <c r="L874" s="126"/>
      <c r="M874" s="56"/>
      <c r="N874" s="118"/>
      <c r="O874" s="55"/>
      <c r="P874" s="53"/>
      <c r="Q874" s="55"/>
      <c r="R874" s="49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</row>
    <row r="875" spans="1:41" ht="13.8" x14ac:dyDescent="0.25">
      <c r="A875" s="46"/>
      <c r="B875" s="114"/>
      <c r="C875" s="48"/>
      <c r="D875" s="115"/>
      <c r="E875" s="50"/>
      <c r="F875" s="116"/>
      <c r="G875" s="116"/>
      <c r="H875" s="52"/>
      <c r="I875" s="126"/>
      <c r="J875" s="139"/>
      <c r="K875" s="126"/>
      <c r="L875" s="126"/>
      <c r="M875" s="56"/>
      <c r="N875" s="118"/>
      <c r="O875" s="55"/>
      <c r="P875" s="53"/>
      <c r="Q875" s="55"/>
      <c r="R875" s="49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</row>
    <row r="876" spans="1:41" ht="13.8" x14ac:dyDescent="0.25">
      <c r="A876" s="46"/>
      <c r="B876" s="114"/>
      <c r="C876" s="48"/>
      <c r="D876" s="115"/>
      <c r="E876" s="50"/>
      <c r="F876" s="116"/>
      <c r="G876" s="116"/>
      <c r="H876" s="52"/>
      <c r="I876" s="126"/>
      <c r="J876" s="139"/>
      <c r="K876" s="126"/>
      <c r="L876" s="126"/>
      <c r="M876" s="56"/>
      <c r="N876" s="118"/>
      <c r="O876" s="55"/>
      <c r="P876" s="53"/>
      <c r="Q876" s="55"/>
      <c r="R876" s="49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</row>
    <row r="877" spans="1:41" ht="13.8" x14ac:dyDescent="0.25">
      <c r="A877" s="46"/>
      <c r="B877" s="114"/>
      <c r="C877" s="48"/>
      <c r="D877" s="115"/>
      <c r="E877" s="50"/>
      <c r="F877" s="116"/>
      <c r="G877" s="116"/>
      <c r="H877" s="52"/>
      <c r="I877" s="126"/>
      <c r="J877" s="139"/>
      <c r="K877" s="126"/>
      <c r="L877" s="126"/>
      <c r="M877" s="56"/>
      <c r="N877" s="118"/>
      <c r="O877" s="55"/>
      <c r="P877" s="53"/>
      <c r="Q877" s="55"/>
      <c r="R877" s="49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</row>
    <row r="878" spans="1:41" ht="13.8" x14ac:dyDescent="0.25">
      <c r="A878" s="46"/>
      <c r="B878" s="114"/>
      <c r="C878" s="48"/>
      <c r="D878" s="115"/>
      <c r="E878" s="50"/>
      <c r="F878" s="116"/>
      <c r="G878" s="116"/>
      <c r="H878" s="52"/>
      <c r="I878" s="126"/>
      <c r="J878" s="139"/>
      <c r="K878" s="126"/>
      <c r="L878" s="126"/>
      <c r="M878" s="56"/>
      <c r="N878" s="118"/>
      <c r="O878" s="55"/>
      <c r="P878" s="53"/>
      <c r="Q878" s="55"/>
      <c r="R878" s="49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</row>
    <row r="879" spans="1:41" ht="13.8" x14ac:dyDescent="0.25">
      <c r="A879" s="46"/>
      <c r="B879" s="114"/>
      <c r="C879" s="48"/>
      <c r="D879" s="115"/>
      <c r="E879" s="50"/>
      <c r="F879" s="116"/>
      <c r="G879" s="116"/>
      <c r="H879" s="52"/>
      <c r="I879" s="126"/>
      <c r="J879" s="139"/>
      <c r="K879" s="126"/>
      <c r="L879" s="126"/>
      <c r="M879" s="56"/>
      <c r="N879" s="118"/>
      <c r="O879" s="55"/>
      <c r="P879" s="53"/>
      <c r="Q879" s="55"/>
      <c r="R879" s="49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</row>
    <row r="880" spans="1:41" ht="13.8" x14ac:dyDescent="0.25">
      <c r="A880" s="46"/>
      <c r="B880" s="114"/>
      <c r="C880" s="48"/>
      <c r="D880" s="115"/>
      <c r="E880" s="50"/>
      <c r="F880" s="116"/>
      <c r="G880" s="116"/>
      <c r="H880" s="52"/>
      <c r="I880" s="126"/>
      <c r="J880" s="139"/>
      <c r="K880" s="126"/>
      <c r="L880" s="126"/>
      <c r="M880" s="56"/>
      <c r="N880" s="118"/>
      <c r="O880" s="55"/>
      <c r="P880" s="53"/>
      <c r="Q880" s="55"/>
      <c r="R880" s="49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</row>
    <row r="881" spans="1:41" ht="13.8" x14ac:dyDescent="0.25">
      <c r="A881" s="46"/>
      <c r="B881" s="114"/>
      <c r="C881" s="48"/>
      <c r="D881" s="115"/>
      <c r="E881" s="50"/>
      <c r="F881" s="116"/>
      <c r="G881" s="116"/>
      <c r="H881" s="52"/>
      <c r="I881" s="126"/>
      <c r="J881" s="139"/>
      <c r="K881" s="126"/>
      <c r="L881" s="126"/>
      <c r="M881" s="56"/>
      <c r="N881" s="118"/>
      <c r="O881" s="55"/>
      <c r="P881" s="53"/>
      <c r="Q881" s="55"/>
      <c r="R881" s="49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</row>
    <row r="882" spans="1:41" ht="13.8" x14ac:dyDescent="0.25">
      <c r="A882" s="46"/>
      <c r="B882" s="114"/>
      <c r="C882" s="48"/>
      <c r="D882" s="115"/>
      <c r="E882" s="50"/>
      <c r="F882" s="116"/>
      <c r="G882" s="116"/>
      <c r="H882" s="52"/>
      <c r="I882" s="126"/>
      <c r="J882" s="139"/>
      <c r="K882" s="126"/>
      <c r="L882" s="126"/>
      <c r="M882" s="56"/>
      <c r="N882" s="118"/>
      <c r="O882" s="55"/>
      <c r="P882" s="53"/>
      <c r="Q882" s="55"/>
      <c r="R882" s="49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</row>
    <row r="883" spans="1:41" ht="13.8" x14ac:dyDescent="0.25">
      <c r="A883" s="46"/>
      <c r="B883" s="114"/>
      <c r="C883" s="48"/>
      <c r="D883" s="115"/>
      <c r="E883" s="50"/>
      <c r="F883" s="116"/>
      <c r="G883" s="116"/>
      <c r="H883" s="52"/>
      <c r="I883" s="126"/>
      <c r="J883" s="139"/>
      <c r="K883" s="126"/>
      <c r="L883" s="126"/>
      <c r="M883" s="56"/>
      <c r="N883" s="118"/>
      <c r="O883" s="55"/>
      <c r="P883" s="53"/>
      <c r="Q883" s="55"/>
      <c r="R883" s="49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</row>
    <row r="884" spans="1:41" ht="13.8" x14ac:dyDescent="0.25">
      <c r="A884" s="46"/>
      <c r="B884" s="114"/>
      <c r="C884" s="48"/>
      <c r="D884" s="115"/>
      <c r="E884" s="50"/>
      <c r="F884" s="116"/>
      <c r="G884" s="116"/>
      <c r="H884" s="52"/>
      <c r="I884" s="126"/>
      <c r="J884" s="139"/>
      <c r="K884" s="126"/>
      <c r="L884" s="126"/>
      <c r="M884" s="56"/>
      <c r="N884" s="118"/>
      <c r="O884" s="55"/>
      <c r="P884" s="53"/>
      <c r="Q884" s="55"/>
      <c r="R884" s="49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</row>
    <row r="885" spans="1:41" ht="13.8" x14ac:dyDescent="0.25">
      <c r="A885" s="46"/>
      <c r="B885" s="114"/>
      <c r="C885" s="48"/>
      <c r="D885" s="115"/>
      <c r="E885" s="50"/>
      <c r="F885" s="116"/>
      <c r="G885" s="116"/>
      <c r="H885" s="52"/>
      <c r="I885" s="126"/>
      <c r="J885" s="139"/>
      <c r="K885" s="126"/>
      <c r="L885" s="126"/>
      <c r="M885" s="56"/>
      <c r="N885" s="118"/>
      <c r="O885" s="55"/>
      <c r="P885" s="53"/>
      <c r="Q885" s="55"/>
      <c r="R885" s="49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</row>
    <row r="886" spans="1:41" ht="13.8" x14ac:dyDescent="0.25">
      <c r="A886" s="46"/>
      <c r="B886" s="114"/>
      <c r="C886" s="48"/>
      <c r="D886" s="115"/>
      <c r="E886" s="50"/>
      <c r="F886" s="116"/>
      <c r="G886" s="116"/>
      <c r="H886" s="52"/>
      <c r="I886" s="126"/>
      <c r="J886" s="139"/>
      <c r="K886" s="126"/>
      <c r="L886" s="126"/>
      <c r="M886" s="56"/>
      <c r="N886" s="118"/>
      <c r="O886" s="55"/>
      <c r="P886" s="53"/>
      <c r="Q886" s="55"/>
      <c r="R886" s="49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</row>
    <row r="887" spans="1:41" ht="13.8" x14ac:dyDescent="0.25">
      <c r="A887" s="46"/>
      <c r="B887" s="114"/>
      <c r="C887" s="48"/>
      <c r="D887" s="115"/>
      <c r="E887" s="50"/>
      <c r="F887" s="116"/>
      <c r="G887" s="116"/>
      <c r="H887" s="52"/>
      <c r="I887" s="126"/>
      <c r="J887" s="139"/>
      <c r="K887" s="126"/>
      <c r="L887" s="126"/>
      <c r="M887" s="56"/>
      <c r="N887" s="118"/>
      <c r="O887" s="55"/>
      <c r="P887" s="53"/>
      <c r="Q887" s="55"/>
      <c r="R887" s="49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</row>
    <row r="888" spans="1:41" ht="13.8" x14ac:dyDescent="0.25">
      <c r="A888" s="46"/>
      <c r="B888" s="114"/>
      <c r="C888" s="48"/>
      <c r="D888" s="115"/>
      <c r="E888" s="50"/>
      <c r="F888" s="116"/>
      <c r="G888" s="116"/>
      <c r="H888" s="52"/>
      <c r="I888" s="126"/>
      <c r="J888" s="139"/>
      <c r="K888" s="126"/>
      <c r="L888" s="126"/>
      <c r="M888" s="56"/>
      <c r="N888" s="118"/>
      <c r="O888" s="55"/>
      <c r="P888" s="53"/>
      <c r="Q888" s="55"/>
      <c r="R888" s="49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</row>
    <row r="889" spans="1:41" ht="13.8" x14ac:dyDescent="0.25">
      <c r="A889" s="46"/>
      <c r="B889" s="114"/>
      <c r="C889" s="48"/>
      <c r="D889" s="115"/>
      <c r="E889" s="50"/>
      <c r="F889" s="116"/>
      <c r="G889" s="116"/>
      <c r="H889" s="52"/>
      <c r="I889" s="126"/>
      <c r="J889" s="139"/>
      <c r="K889" s="126"/>
      <c r="L889" s="126"/>
      <c r="M889" s="56"/>
      <c r="N889" s="118"/>
      <c r="O889" s="55"/>
      <c r="P889" s="53"/>
      <c r="Q889" s="55"/>
      <c r="R889" s="49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</row>
    <row r="890" spans="1:41" ht="13.8" x14ac:dyDescent="0.25">
      <c r="A890" s="46"/>
      <c r="B890" s="114"/>
      <c r="C890" s="48"/>
      <c r="D890" s="115"/>
      <c r="E890" s="50"/>
      <c r="F890" s="116"/>
      <c r="G890" s="116"/>
      <c r="H890" s="52"/>
      <c r="I890" s="126"/>
      <c r="J890" s="139"/>
      <c r="K890" s="126"/>
      <c r="L890" s="126"/>
      <c r="M890" s="56"/>
      <c r="N890" s="118"/>
      <c r="O890" s="55"/>
      <c r="P890" s="53"/>
      <c r="Q890" s="55"/>
      <c r="R890" s="49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</row>
    <row r="891" spans="1:41" ht="13.8" x14ac:dyDescent="0.25">
      <c r="A891" s="46"/>
      <c r="B891" s="114"/>
      <c r="C891" s="48"/>
      <c r="D891" s="115"/>
      <c r="E891" s="50"/>
      <c r="F891" s="116"/>
      <c r="G891" s="116"/>
      <c r="H891" s="52"/>
      <c r="I891" s="126"/>
      <c r="J891" s="139"/>
      <c r="K891" s="126"/>
      <c r="L891" s="126"/>
      <c r="M891" s="56"/>
      <c r="N891" s="118"/>
      <c r="O891" s="55"/>
      <c r="P891" s="53"/>
      <c r="Q891" s="55"/>
      <c r="R891" s="49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</row>
    <row r="892" spans="1:41" ht="13.8" x14ac:dyDescent="0.25">
      <c r="A892" s="46"/>
      <c r="B892" s="114"/>
      <c r="C892" s="48"/>
      <c r="D892" s="115"/>
      <c r="E892" s="50"/>
      <c r="F892" s="116"/>
      <c r="G892" s="116"/>
      <c r="H892" s="52"/>
      <c r="I892" s="126"/>
      <c r="J892" s="139"/>
      <c r="K892" s="126"/>
      <c r="L892" s="126"/>
      <c r="M892" s="56"/>
      <c r="N892" s="118"/>
      <c r="O892" s="55"/>
      <c r="P892" s="53"/>
      <c r="Q892" s="55"/>
      <c r="R892" s="49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</row>
    <row r="893" spans="1:41" ht="13.8" x14ac:dyDescent="0.25">
      <c r="A893" s="46"/>
      <c r="B893" s="114"/>
      <c r="C893" s="48"/>
      <c r="D893" s="115"/>
      <c r="E893" s="50"/>
      <c r="F893" s="116"/>
      <c r="G893" s="116"/>
      <c r="H893" s="52"/>
      <c r="I893" s="126"/>
      <c r="J893" s="139"/>
      <c r="K893" s="126"/>
      <c r="L893" s="126"/>
      <c r="M893" s="56"/>
      <c r="N893" s="118"/>
      <c r="O893" s="55"/>
      <c r="P893" s="53"/>
      <c r="Q893" s="55"/>
      <c r="R893" s="49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</row>
    <row r="894" spans="1:41" ht="13.8" x14ac:dyDescent="0.25">
      <c r="A894" s="46"/>
      <c r="B894" s="114"/>
      <c r="C894" s="48"/>
      <c r="D894" s="115"/>
      <c r="E894" s="50"/>
      <c r="F894" s="116"/>
      <c r="G894" s="116"/>
      <c r="H894" s="52"/>
      <c r="I894" s="126"/>
      <c r="J894" s="139"/>
      <c r="K894" s="126"/>
      <c r="L894" s="126"/>
      <c r="M894" s="56"/>
      <c r="N894" s="118"/>
      <c r="O894" s="55"/>
      <c r="P894" s="53"/>
      <c r="Q894" s="55"/>
      <c r="R894" s="49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</row>
    <row r="895" spans="1:41" ht="13.8" x14ac:dyDescent="0.25">
      <c r="A895" s="46"/>
      <c r="B895" s="114"/>
      <c r="C895" s="48"/>
      <c r="D895" s="115"/>
      <c r="E895" s="50"/>
      <c r="F895" s="116"/>
      <c r="G895" s="116"/>
      <c r="H895" s="52"/>
      <c r="I895" s="126"/>
      <c r="J895" s="139"/>
      <c r="K895" s="126"/>
      <c r="L895" s="126"/>
      <c r="M895" s="56"/>
      <c r="N895" s="118"/>
      <c r="O895" s="55"/>
      <c r="P895" s="53"/>
      <c r="Q895" s="55"/>
      <c r="R895" s="49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</row>
    <row r="896" spans="1:41" ht="13.8" x14ac:dyDescent="0.25">
      <c r="A896" s="46"/>
      <c r="B896" s="114"/>
      <c r="C896" s="48"/>
      <c r="D896" s="115"/>
      <c r="E896" s="50"/>
      <c r="F896" s="116"/>
      <c r="G896" s="116"/>
      <c r="H896" s="52"/>
      <c r="I896" s="126"/>
      <c r="J896" s="139"/>
      <c r="K896" s="126"/>
      <c r="L896" s="126"/>
      <c r="M896" s="56"/>
      <c r="N896" s="118"/>
      <c r="O896" s="55"/>
      <c r="P896" s="53"/>
      <c r="Q896" s="55"/>
      <c r="R896" s="49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</row>
    <row r="897" spans="1:41" ht="13.8" x14ac:dyDescent="0.25">
      <c r="A897" s="46"/>
      <c r="B897" s="114"/>
      <c r="C897" s="48"/>
      <c r="D897" s="115"/>
      <c r="E897" s="50"/>
      <c r="F897" s="116"/>
      <c r="G897" s="116"/>
      <c r="H897" s="52"/>
      <c r="I897" s="126"/>
      <c r="J897" s="139"/>
      <c r="K897" s="126"/>
      <c r="L897" s="126"/>
      <c r="M897" s="56"/>
      <c r="N897" s="118"/>
      <c r="O897" s="55"/>
      <c r="P897" s="53"/>
      <c r="Q897" s="55"/>
      <c r="R897" s="49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</row>
    <row r="898" spans="1:41" ht="13.8" x14ac:dyDescent="0.25">
      <c r="A898" s="46"/>
      <c r="B898" s="114"/>
      <c r="C898" s="48"/>
      <c r="D898" s="115"/>
      <c r="E898" s="50"/>
      <c r="F898" s="116"/>
      <c r="G898" s="116"/>
      <c r="H898" s="52"/>
      <c r="I898" s="126"/>
      <c r="J898" s="139"/>
      <c r="K898" s="126"/>
      <c r="L898" s="126"/>
      <c r="M898" s="56"/>
      <c r="N898" s="118"/>
      <c r="O898" s="55"/>
      <c r="P898" s="53"/>
      <c r="Q898" s="55"/>
      <c r="R898" s="49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</row>
    <row r="899" spans="1:41" ht="13.8" x14ac:dyDescent="0.25">
      <c r="A899" s="46"/>
      <c r="B899" s="114"/>
      <c r="C899" s="48"/>
      <c r="D899" s="115"/>
      <c r="E899" s="50"/>
      <c r="F899" s="116"/>
      <c r="G899" s="116"/>
      <c r="H899" s="52"/>
      <c r="I899" s="126"/>
      <c r="J899" s="139"/>
      <c r="K899" s="126"/>
      <c r="L899" s="126"/>
      <c r="M899" s="56"/>
      <c r="N899" s="118"/>
      <c r="O899" s="55"/>
      <c r="P899" s="53"/>
      <c r="Q899" s="55"/>
      <c r="R899" s="49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</row>
    <row r="900" spans="1:41" ht="13.8" x14ac:dyDescent="0.25">
      <c r="A900" s="46"/>
      <c r="B900" s="114"/>
      <c r="C900" s="48"/>
      <c r="D900" s="115"/>
      <c r="E900" s="50"/>
      <c r="F900" s="116"/>
      <c r="G900" s="116"/>
      <c r="H900" s="52"/>
      <c r="I900" s="126"/>
      <c r="J900" s="139"/>
      <c r="K900" s="126"/>
      <c r="L900" s="126"/>
      <c r="M900" s="56"/>
      <c r="N900" s="118"/>
      <c r="O900" s="55"/>
      <c r="P900" s="53"/>
      <c r="Q900" s="55"/>
      <c r="R900" s="49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</row>
    <row r="901" spans="1:41" ht="13.8" x14ac:dyDescent="0.25">
      <c r="A901" s="46"/>
      <c r="B901" s="114"/>
      <c r="C901" s="48"/>
      <c r="D901" s="115"/>
      <c r="E901" s="50"/>
      <c r="F901" s="116"/>
      <c r="G901" s="116"/>
      <c r="H901" s="52"/>
      <c r="I901" s="126"/>
      <c r="J901" s="139"/>
      <c r="K901" s="126"/>
      <c r="L901" s="126"/>
      <c r="M901" s="56"/>
      <c r="N901" s="118"/>
      <c r="O901" s="55"/>
      <c r="P901" s="53"/>
      <c r="Q901" s="55"/>
      <c r="R901" s="49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</row>
    <row r="902" spans="1:41" ht="13.8" x14ac:dyDescent="0.25">
      <c r="A902" s="46"/>
      <c r="B902" s="114"/>
      <c r="C902" s="48"/>
      <c r="D902" s="115"/>
      <c r="E902" s="50"/>
      <c r="F902" s="116"/>
      <c r="G902" s="116"/>
      <c r="H902" s="52"/>
      <c r="I902" s="126"/>
      <c r="J902" s="139"/>
      <c r="K902" s="126"/>
      <c r="L902" s="126"/>
      <c r="M902" s="56"/>
      <c r="N902" s="118"/>
      <c r="O902" s="55"/>
      <c r="P902" s="53"/>
      <c r="Q902" s="55"/>
      <c r="R902" s="49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</row>
    <row r="903" spans="1:41" ht="13.8" x14ac:dyDescent="0.25">
      <c r="A903" s="46"/>
      <c r="B903" s="114"/>
      <c r="C903" s="48"/>
      <c r="D903" s="115"/>
      <c r="E903" s="50"/>
      <c r="F903" s="116"/>
      <c r="G903" s="116"/>
      <c r="H903" s="52"/>
      <c r="I903" s="126"/>
      <c r="J903" s="139"/>
      <c r="K903" s="126"/>
      <c r="L903" s="126"/>
      <c r="M903" s="56"/>
      <c r="N903" s="118"/>
      <c r="O903" s="55"/>
      <c r="P903" s="53"/>
      <c r="Q903" s="55"/>
      <c r="R903" s="49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</row>
    <row r="904" spans="1:41" ht="13.8" x14ac:dyDescent="0.25">
      <c r="A904" s="46"/>
      <c r="B904" s="114"/>
      <c r="C904" s="48"/>
      <c r="D904" s="115"/>
      <c r="E904" s="50"/>
      <c r="F904" s="116"/>
      <c r="G904" s="116"/>
      <c r="H904" s="52"/>
      <c r="I904" s="126"/>
      <c r="J904" s="139"/>
      <c r="K904" s="126"/>
      <c r="L904" s="126"/>
      <c r="M904" s="56"/>
      <c r="N904" s="118"/>
      <c r="O904" s="55"/>
      <c r="P904" s="53"/>
      <c r="Q904" s="55"/>
      <c r="R904" s="49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</row>
    <row r="905" spans="1:41" ht="13.8" x14ac:dyDescent="0.25">
      <c r="A905" s="46"/>
      <c r="B905" s="114"/>
      <c r="C905" s="48"/>
      <c r="D905" s="115"/>
      <c r="E905" s="50"/>
      <c r="F905" s="116"/>
      <c r="G905" s="116"/>
      <c r="H905" s="52"/>
      <c r="I905" s="126"/>
      <c r="J905" s="139"/>
      <c r="K905" s="126"/>
      <c r="L905" s="126"/>
      <c r="M905" s="56"/>
      <c r="N905" s="118"/>
      <c r="O905" s="55"/>
      <c r="P905" s="53"/>
      <c r="Q905" s="55"/>
      <c r="R905" s="49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</row>
    <row r="906" spans="1:41" ht="13.8" x14ac:dyDescent="0.25">
      <c r="A906" s="46"/>
      <c r="B906" s="114"/>
      <c r="C906" s="48"/>
      <c r="D906" s="115"/>
      <c r="E906" s="50"/>
      <c r="F906" s="116"/>
      <c r="G906" s="116"/>
      <c r="H906" s="52"/>
      <c r="I906" s="126"/>
      <c r="J906" s="139"/>
      <c r="K906" s="126"/>
      <c r="L906" s="126"/>
      <c r="M906" s="56"/>
      <c r="N906" s="118"/>
      <c r="O906" s="55"/>
      <c r="P906" s="53"/>
      <c r="Q906" s="55"/>
      <c r="R906" s="49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</row>
    <row r="907" spans="1:41" ht="13.8" x14ac:dyDescent="0.25">
      <c r="A907" s="46"/>
      <c r="B907" s="114"/>
      <c r="C907" s="48"/>
      <c r="D907" s="115"/>
      <c r="E907" s="50"/>
      <c r="F907" s="116"/>
      <c r="G907" s="116"/>
      <c r="H907" s="52"/>
      <c r="I907" s="126"/>
      <c r="J907" s="139"/>
      <c r="K907" s="126"/>
      <c r="L907" s="126"/>
      <c r="M907" s="56"/>
      <c r="N907" s="118"/>
      <c r="O907" s="55"/>
      <c r="P907" s="53"/>
      <c r="Q907" s="55"/>
      <c r="R907" s="49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</row>
    <row r="908" spans="1:41" ht="13.8" x14ac:dyDescent="0.25">
      <c r="A908" s="46"/>
      <c r="B908" s="114"/>
      <c r="C908" s="48"/>
      <c r="D908" s="115"/>
      <c r="E908" s="50"/>
      <c r="F908" s="116"/>
      <c r="G908" s="116"/>
      <c r="H908" s="52"/>
      <c r="I908" s="126"/>
      <c r="J908" s="139"/>
      <c r="K908" s="126"/>
      <c r="L908" s="126"/>
      <c r="M908" s="56"/>
      <c r="N908" s="118"/>
      <c r="O908" s="55"/>
      <c r="P908" s="53"/>
      <c r="Q908" s="55"/>
      <c r="R908" s="49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</row>
    <row r="909" spans="1:41" ht="13.8" x14ac:dyDescent="0.25">
      <c r="A909" s="46"/>
      <c r="B909" s="114"/>
      <c r="C909" s="48"/>
      <c r="D909" s="115"/>
      <c r="E909" s="50"/>
      <c r="F909" s="116"/>
      <c r="G909" s="116"/>
      <c r="H909" s="52"/>
      <c r="I909" s="126"/>
      <c r="J909" s="139"/>
      <c r="K909" s="126"/>
      <c r="L909" s="126"/>
      <c r="M909" s="56"/>
      <c r="N909" s="118"/>
      <c r="O909" s="55"/>
      <c r="P909" s="53"/>
      <c r="Q909" s="55"/>
      <c r="R909" s="49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</row>
    <row r="910" spans="1:41" ht="13.8" x14ac:dyDescent="0.25">
      <c r="A910" s="46"/>
      <c r="B910" s="114"/>
      <c r="C910" s="48"/>
      <c r="D910" s="115"/>
      <c r="E910" s="50"/>
      <c r="F910" s="116"/>
      <c r="G910" s="116"/>
      <c r="H910" s="52"/>
      <c r="I910" s="126"/>
      <c r="J910" s="139"/>
      <c r="K910" s="126"/>
      <c r="L910" s="126"/>
      <c r="M910" s="56"/>
      <c r="N910" s="118"/>
      <c r="O910" s="55"/>
      <c r="P910" s="53"/>
      <c r="Q910" s="55"/>
      <c r="R910" s="49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</row>
    <row r="911" spans="1:41" ht="13.8" x14ac:dyDescent="0.25">
      <c r="A911" s="46"/>
      <c r="B911" s="114"/>
      <c r="C911" s="48"/>
      <c r="D911" s="115"/>
      <c r="E911" s="50"/>
      <c r="F911" s="116"/>
      <c r="G911" s="116"/>
      <c r="H911" s="52"/>
      <c r="I911" s="126"/>
      <c r="J911" s="139"/>
      <c r="K911" s="126"/>
      <c r="L911" s="126"/>
      <c r="M911" s="56"/>
      <c r="N911" s="118"/>
      <c r="O911" s="55"/>
      <c r="P911" s="53"/>
      <c r="Q911" s="55"/>
      <c r="R911" s="49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</row>
    <row r="912" spans="1:41" ht="13.8" x14ac:dyDescent="0.25">
      <c r="A912" s="46"/>
      <c r="B912" s="114"/>
      <c r="C912" s="48"/>
      <c r="D912" s="115"/>
      <c r="E912" s="50"/>
      <c r="F912" s="116"/>
      <c r="G912" s="116"/>
      <c r="H912" s="52"/>
      <c r="I912" s="126"/>
      <c r="J912" s="139"/>
      <c r="K912" s="126"/>
      <c r="L912" s="126"/>
      <c r="M912" s="56"/>
      <c r="N912" s="118"/>
      <c r="O912" s="55"/>
      <c r="P912" s="53"/>
      <c r="Q912" s="55"/>
      <c r="R912" s="49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</row>
    <row r="913" spans="1:41" ht="13.8" x14ac:dyDescent="0.25">
      <c r="A913" s="46"/>
      <c r="B913" s="114"/>
      <c r="C913" s="48"/>
      <c r="D913" s="115"/>
      <c r="E913" s="50"/>
      <c r="F913" s="116"/>
      <c r="G913" s="116"/>
      <c r="H913" s="52"/>
      <c r="I913" s="126"/>
      <c r="J913" s="139"/>
      <c r="K913" s="126"/>
      <c r="L913" s="126"/>
      <c r="M913" s="56"/>
      <c r="N913" s="118"/>
      <c r="O913" s="55"/>
      <c r="P913" s="53"/>
      <c r="Q913" s="55"/>
      <c r="R913" s="49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</row>
    <row r="914" spans="1:41" ht="13.8" x14ac:dyDescent="0.25">
      <c r="A914" s="46"/>
      <c r="B914" s="114"/>
      <c r="C914" s="48"/>
      <c r="D914" s="115"/>
      <c r="E914" s="50"/>
      <c r="F914" s="116"/>
      <c r="G914" s="116"/>
      <c r="H914" s="52"/>
      <c r="I914" s="126"/>
      <c r="J914" s="139"/>
      <c r="K914" s="126"/>
      <c r="L914" s="126"/>
      <c r="M914" s="56"/>
      <c r="N914" s="118"/>
      <c r="O914" s="55"/>
      <c r="P914" s="53"/>
      <c r="Q914" s="55"/>
      <c r="R914" s="49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</row>
    <row r="915" spans="1:41" ht="13.8" x14ac:dyDescent="0.25">
      <c r="A915" s="46"/>
      <c r="B915" s="114"/>
      <c r="C915" s="48"/>
      <c r="D915" s="115"/>
      <c r="E915" s="50"/>
      <c r="F915" s="116"/>
      <c r="G915" s="116"/>
      <c r="H915" s="52"/>
      <c r="I915" s="126"/>
      <c r="J915" s="139"/>
      <c r="K915" s="126"/>
      <c r="L915" s="126"/>
      <c r="M915" s="56"/>
      <c r="N915" s="118"/>
      <c r="O915" s="55"/>
      <c r="P915" s="53"/>
      <c r="Q915" s="55"/>
      <c r="R915" s="49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</row>
    <row r="916" spans="1:41" ht="13.8" x14ac:dyDescent="0.25">
      <c r="A916" s="46"/>
      <c r="B916" s="114"/>
      <c r="C916" s="48"/>
      <c r="D916" s="115"/>
      <c r="E916" s="50"/>
      <c r="F916" s="116"/>
      <c r="G916" s="116"/>
      <c r="H916" s="52"/>
      <c r="I916" s="126"/>
      <c r="J916" s="139"/>
      <c r="K916" s="126"/>
      <c r="L916" s="126"/>
      <c r="M916" s="56"/>
      <c r="N916" s="118"/>
      <c r="O916" s="55"/>
      <c r="P916" s="53"/>
      <c r="Q916" s="55"/>
      <c r="R916" s="49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</row>
    <row r="917" spans="1:41" ht="13.8" x14ac:dyDescent="0.25">
      <c r="A917" s="46"/>
      <c r="B917" s="114"/>
      <c r="C917" s="48"/>
      <c r="D917" s="115"/>
      <c r="E917" s="50"/>
      <c r="F917" s="116"/>
      <c r="G917" s="116"/>
      <c r="H917" s="52"/>
      <c r="I917" s="126"/>
      <c r="J917" s="139"/>
      <c r="K917" s="126"/>
      <c r="L917" s="126"/>
      <c r="M917" s="56"/>
      <c r="N917" s="118"/>
      <c r="O917" s="55"/>
      <c r="P917" s="53"/>
      <c r="Q917" s="55"/>
      <c r="R917" s="49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</row>
    <row r="918" spans="1:41" ht="13.8" x14ac:dyDescent="0.25">
      <c r="A918" s="46"/>
      <c r="B918" s="114"/>
      <c r="C918" s="48"/>
      <c r="D918" s="115"/>
      <c r="E918" s="50"/>
      <c r="F918" s="116"/>
      <c r="G918" s="116"/>
      <c r="H918" s="52"/>
      <c r="I918" s="126"/>
      <c r="J918" s="139"/>
      <c r="K918" s="126"/>
      <c r="L918" s="126"/>
      <c r="M918" s="56"/>
      <c r="N918" s="118"/>
      <c r="O918" s="55"/>
      <c r="P918" s="53"/>
      <c r="Q918" s="55"/>
      <c r="R918" s="49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</row>
    <row r="919" spans="1:41" ht="13.8" x14ac:dyDescent="0.25">
      <c r="A919" s="46"/>
      <c r="B919" s="114"/>
      <c r="C919" s="48"/>
      <c r="D919" s="115"/>
      <c r="E919" s="50"/>
      <c r="F919" s="116"/>
      <c r="G919" s="116"/>
      <c r="H919" s="52"/>
      <c r="I919" s="126"/>
      <c r="J919" s="139"/>
      <c r="K919" s="126"/>
      <c r="L919" s="126"/>
      <c r="M919" s="56"/>
      <c r="N919" s="118"/>
      <c r="O919" s="55"/>
      <c r="P919" s="53"/>
      <c r="Q919" s="55"/>
      <c r="R919" s="49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</row>
    <row r="920" spans="1:41" ht="13.8" x14ac:dyDescent="0.25">
      <c r="A920" s="46"/>
      <c r="B920" s="114"/>
      <c r="C920" s="48"/>
      <c r="D920" s="115"/>
      <c r="E920" s="50"/>
      <c r="F920" s="116"/>
      <c r="G920" s="116"/>
      <c r="H920" s="52"/>
      <c r="I920" s="126"/>
      <c r="J920" s="139"/>
      <c r="K920" s="126"/>
      <c r="L920" s="126"/>
      <c r="M920" s="56"/>
      <c r="N920" s="118"/>
      <c r="O920" s="55"/>
      <c r="P920" s="53"/>
      <c r="Q920" s="55"/>
      <c r="R920" s="49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</row>
    <row r="921" spans="1:41" ht="13.8" x14ac:dyDescent="0.25">
      <c r="A921" s="46"/>
      <c r="B921" s="114"/>
      <c r="C921" s="48"/>
      <c r="D921" s="115"/>
      <c r="E921" s="50"/>
      <c r="F921" s="116"/>
      <c r="G921" s="116"/>
      <c r="H921" s="52"/>
      <c r="I921" s="126"/>
      <c r="J921" s="139"/>
      <c r="K921" s="126"/>
      <c r="L921" s="126"/>
      <c r="M921" s="56"/>
      <c r="N921" s="118"/>
      <c r="O921" s="55"/>
      <c r="P921" s="53"/>
      <c r="Q921" s="55"/>
      <c r="R921" s="49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</row>
    <row r="922" spans="1:41" ht="13.8" x14ac:dyDescent="0.25">
      <c r="A922" s="46"/>
      <c r="B922" s="114"/>
      <c r="C922" s="48"/>
      <c r="D922" s="115"/>
      <c r="E922" s="50"/>
      <c r="F922" s="116"/>
      <c r="G922" s="116"/>
      <c r="H922" s="52"/>
      <c r="I922" s="126"/>
      <c r="J922" s="139"/>
      <c r="K922" s="126"/>
      <c r="L922" s="126"/>
      <c r="M922" s="56"/>
      <c r="N922" s="118"/>
      <c r="O922" s="55"/>
      <c r="P922" s="53"/>
      <c r="Q922" s="55"/>
      <c r="R922" s="49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</row>
    <row r="923" spans="1:41" ht="13.8" x14ac:dyDescent="0.25">
      <c r="A923" s="46"/>
      <c r="B923" s="114"/>
      <c r="C923" s="48"/>
      <c r="D923" s="115"/>
      <c r="E923" s="50"/>
      <c r="F923" s="116"/>
      <c r="G923" s="116"/>
      <c r="H923" s="52"/>
      <c r="I923" s="126"/>
      <c r="J923" s="139"/>
      <c r="K923" s="126"/>
      <c r="L923" s="126"/>
      <c r="M923" s="56"/>
      <c r="N923" s="118"/>
      <c r="O923" s="55"/>
      <c r="P923" s="53"/>
      <c r="Q923" s="55"/>
      <c r="R923" s="49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</row>
    <row r="924" spans="1:41" ht="13.8" x14ac:dyDescent="0.25">
      <c r="A924" s="46"/>
      <c r="B924" s="114"/>
      <c r="C924" s="48"/>
      <c r="D924" s="115"/>
      <c r="E924" s="50"/>
      <c r="F924" s="116"/>
      <c r="G924" s="116"/>
      <c r="H924" s="52"/>
      <c r="I924" s="126"/>
      <c r="J924" s="139"/>
      <c r="K924" s="126"/>
      <c r="L924" s="126"/>
      <c r="M924" s="56"/>
      <c r="N924" s="118"/>
      <c r="O924" s="55"/>
      <c r="P924" s="53"/>
      <c r="Q924" s="55"/>
      <c r="R924" s="49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</row>
    <row r="925" spans="1:41" ht="13.8" x14ac:dyDescent="0.25">
      <c r="A925" s="46"/>
      <c r="B925" s="114"/>
      <c r="C925" s="48"/>
      <c r="D925" s="115"/>
      <c r="E925" s="50"/>
      <c r="F925" s="116"/>
      <c r="G925" s="116"/>
      <c r="H925" s="52"/>
      <c r="I925" s="126"/>
      <c r="J925" s="139"/>
      <c r="K925" s="126"/>
      <c r="L925" s="126"/>
      <c r="M925" s="56"/>
      <c r="N925" s="118"/>
      <c r="O925" s="55"/>
      <c r="P925" s="53"/>
      <c r="Q925" s="55"/>
      <c r="R925" s="49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</row>
    <row r="926" spans="1:41" ht="13.8" x14ac:dyDescent="0.25">
      <c r="A926" s="46"/>
      <c r="B926" s="114"/>
      <c r="C926" s="48"/>
      <c r="D926" s="115"/>
      <c r="E926" s="50"/>
      <c r="F926" s="116"/>
      <c r="G926" s="116"/>
      <c r="H926" s="52"/>
      <c r="I926" s="126"/>
      <c r="J926" s="139"/>
      <c r="K926" s="126"/>
      <c r="L926" s="126"/>
      <c r="M926" s="56"/>
      <c r="N926" s="118"/>
      <c r="O926" s="55"/>
      <c r="P926" s="53"/>
      <c r="Q926" s="55"/>
      <c r="R926" s="49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</row>
    <row r="927" spans="1:41" ht="13.8" x14ac:dyDescent="0.25">
      <c r="A927" s="46"/>
      <c r="B927" s="114"/>
      <c r="C927" s="48"/>
      <c r="D927" s="115"/>
      <c r="E927" s="50"/>
      <c r="F927" s="116"/>
      <c r="G927" s="116"/>
      <c r="H927" s="52"/>
      <c r="I927" s="126"/>
      <c r="J927" s="139"/>
      <c r="K927" s="126"/>
      <c r="L927" s="126"/>
      <c r="M927" s="56"/>
      <c r="N927" s="118"/>
      <c r="O927" s="55"/>
      <c r="P927" s="53"/>
      <c r="Q927" s="55"/>
      <c r="R927" s="49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</row>
    <row r="928" spans="1:41" ht="13.8" x14ac:dyDescent="0.25">
      <c r="A928" s="46"/>
      <c r="B928" s="114"/>
      <c r="C928" s="48"/>
      <c r="D928" s="115"/>
      <c r="E928" s="50"/>
      <c r="F928" s="116"/>
      <c r="G928" s="116"/>
      <c r="H928" s="52"/>
      <c r="I928" s="126"/>
      <c r="J928" s="139"/>
      <c r="K928" s="126"/>
      <c r="L928" s="126"/>
      <c r="M928" s="56"/>
      <c r="N928" s="118"/>
      <c r="O928" s="55"/>
      <c r="P928" s="53"/>
      <c r="Q928" s="55"/>
      <c r="R928" s="49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</row>
    <row r="929" spans="1:41" ht="13.8" x14ac:dyDescent="0.25">
      <c r="A929" s="46"/>
      <c r="B929" s="114"/>
      <c r="C929" s="48"/>
      <c r="D929" s="115"/>
      <c r="E929" s="50"/>
      <c r="F929" s="116"/>
      <c r="G929" s="116"/>
      <c r="H929" s="52"/>
      <c r="I929" s="126"/>
      <c r="J929" s="139"/>
      <c r="K929" s="126"/>
      <c r="L929" s="126"/>
      <c r="M929" s="56"/>
      <c r="N929" s="118"/>
      <c r="O929" s="55"/>
      <c r="P929" s="53"/>
      <c r="Q929" s="55"/>
      <c r="R929" s="49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</row>
    <row r="930" spans="1:41" ht="13.8" x14ac:dyDescent="0.25">
      <c r="A930" s="46"/>
      <c r="B930" s="114"/>
      <c r="C930" s="48"/>
      <c r="D930" s="115"/>
      <c r="E930" s="50"/>
      <c r="F930" s="116"/>
      <c r="G930" s="116"/>
      <c r="H930" s="52"/>
      <c r="I930" s="126"/>
      <c r="J930" s="139"/>
      <c r="K930" s="126"/>
      <c r="L930" s="126"/>
      <c r="M930" s="56"/>
      <c r="N930" s="118"/>
      <c r="O930" s="55"/>
      <c r="P930" s="53"/>
      <c r="Q930" s="55"/>
      <c r="R930" s="49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</row>
    <row r="931" spans="1:41" ht="13.8" x14ac:dyDescent="0.25">
      <c r="A931" s="46"/>
      <c r="B931" s="114"/>
      <c r="C931" s="48"/>
      <c r="D931" s="115"/>
      <c r="E931" s="50"/>
      <c r="F931" s="116"/>
      <c r="G931" s="116"/>
      <c r="H931" s="52"/>
      <c r="I931" s="126"/>
      <c r="J931" s="139"/>
      <c r="K931" s="126"/>
      <c r="L931" s="126"/>
      <c r="M931" s="56"/>
      <c r="N931" s="118"/>
      <c r="O931" s="55"/>
      <c r="P931" s="53"/>
      <c r="Q931" s="55"/>
      <c r="R931" s="49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</row>
    <row r="932" spans="1:41" ht="13.8" x14ac:dyDescent="0.25">
      <c r="A932" s="46"/>
      <c r="B932" s="114"/>
      <c r="C932" s="48"/>
      <c r="D932" s="115"/>
      <c r="E932" s="50"/>
      <c r="F932" s="116"/>
      <c r="G932" s="116"/>
      <c r="H932" s="52"/>
      <c r="I932" s="126"/>
      <c r="J932" s="139"/>
      <c r="K932" s="126"/>
      <c r="L932" s="126"/>
      <c r="M932" s="56"/>
      <c r="N932" s="118"/>
      <c r="O932" s="55"/>
      <c r="P932" s="53"/>
      <c r="Q932" s="55"/>
      <c r="R932" s="49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</row>
    <row r="933" spans="1:41" ht="13.8" x14ac:dyDescent="0.25">
      <c r="A933" s="46"/>
      <c r="B933" s="114"/>
      <c r="C933" s="48"/>
      <c r="D933" s="115"/>
      <c r="E933" s="50"/>
      <c r="F933" s="116"/>
      <c r="G933" s="116"/>
      <c r="H933" s="52"/>
      <c r="I933" s="126"/>
      <c r="J933" s="139"/>
      <c r="K933" s="126"/>
      <c r="L933" s="126"/>
      <c r="M933" s="56"/>
      <c r="N933" s="118"/>
      <c r="O933" s="55"/>
      <c r="P933" s="53"/>
      <c r="Q933" s="55"/>
      <c r="R933" s="49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</row>
    <row r="934" spans="1:41" ht="13.8" x14ac:dyDescent="0.25">
      <c r="A934" s="46"/>
      <c r="B934" s="114"/>
      <c r="C934" s="48"/>
      <c r="D934" s="115"/>
      <c r="E934" s="50"/>
      <c r="F934" s="116"/>
      <c r="G934" s="116"/>
      <c r="H934" s="52"/>
      <c r="I934" s="126"/>
      <c r="J934" s="139"/>
      <c r="K934" s="126"/>
      <c r="L934" s="126"/>
      <c r="M934" s="56"/>
      <c r="N934" s="118"/>
      <c r="O934" s="55"/>
      <c r="P934" s="53"/>
      <c r="Q934" s="55"/>
      <c r="R934" s="49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</row>
    <row r="935" spans="1:41" ht="13.8" x14ac:dyDescent="0.25">
      <c r="A935" s="46"/>
      <c r="B935" s="114"/>
      <c r="C935" s="48"/>
      <c r="D935" s="115"/>
      <c r="E935" s="50"/>
      <c r="F935" s="116"/>
      <c r="G935" s="116"/>
      <c r="H935" s="52"/>
      <c r="I935" s="126"/>
      <c r="J935" s="139"/>
      <c r="K935" s="126"/>
      <c r="L935" s="126"/>
      <c r="M935" s="56"/>
      <c r="N935" s="118"/>
      <c r="O935" s="55"/>
      <c r="P935" s="53"/>
      <c r="Q935" s="55"/>
      <c r="R935" s="49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</row>
    <row r="936" spans="1:41" ht="13.8" x14ac:dyDescent="0.25">
      <c r="A936" s="46"/>
      <c r="B936" s="114"/>
      <c r="C936" s="48"/>
      <c r="D936" s="115"/>
      <c r="E936" s="50"/>
      <c r="F936" s="116"/>
      <c r="G936" s="116"/>
      <c r="H936" s="52"/>
      <c r="I936" s="126"/>
      <c r="J936" s="139"/>
      <c r="K936" s="126"/>
      <c r="L936" s="126"/>
      <c r="M936" s="56"/>
      <c r="N936" s="118"/>
      <c r="O936" s="55"/>
      <c r="P936" s="53"/>
      <c r="Q936" s="55"/>
      <c r="R936" s="49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</row>
    <row r="937" spans="1:41" ht="13.8" x14ac:dyDescent="0.25">
      <c r="A937" s="46"/>
      <c r="B937" s="114"/>
      <c r="C937" s="48"/>
      <c r="D937" s="115"/>
      <c r="E937" s="50"/>
      <c r="F937" s="116"/>
      <c r="G937" s="116"/>
      <c r="H937" s="52"/>
      <c r="I937" s="126"/>
      <c r="J937" s="139"/>
      <c r="K937" s="126"/>
      <c r="L937" s="126"/>
      <c r="M937" s="56"/>
      <c r="N937" s="118"/>
      <c r="O937" s="55"/>
      <c r="P937" s="53"/>
      <c r="Q937" s="55"/>
      <c r="R937" s="49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</row>
    <row r="938" spans="1:41" ht="13.8" x14ac:dyDescent="0.25">
      <c r="A938" s="46"/>
      <c r="B938" s="114"/>
      <c r="C938" s="48"/>
      <c r="D938" s="115"/>
      <c r="E938" s="50"/>
      <c r="F938" s="116"/>
      <c r="G938" s="116"/>
      <c r="H938" s="52"/>
      <c r="I938" s="126"/>
      <c r="J938" s="139"/>
      <c r="K938" s="126"/>
      <c r="L938" s="126"/>
      <c r="M938" s="56"/>
      <c r="N938" s="118"/>
      <c r="O938" s="55"/>
      <c r="P938" s="53"/>
      <c r="Q938" s="55"/>
      <c r="R938" s="49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</row>
    <row r="939" spans="1:41" ht="13.8" x14ac:dyDescent="0.25">
      <c r="A939" s="46"/>
      <c r="B939" s="114"/>
      <c r="C939" s="48"/>
      <c r="D939" s="115"/>
      <c r="E939" s="50"/>
      <c r="F939" s="116"/>
      <c r="G939" s="116"/>
      <c r="H939" s="52"/>
      <c r="I939" s="126"/>
      <c r="J939" s="139"/>
      <c r="K939" s="126"/>
      <c r="L939" s="126"/>
      <c r="M939" s="56"/>
      <c r="N939" s="118"/>
      <c r="O939" s="55"/>
      <c r="P939" s="53"/>
      <c r="Q939" s="55"/>
      <c r="R939" s="49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</row>
    <row r="940" spans="1:41" ht="13.8" x14ac:dyDescent="0.25">
      <c r="A940" s="46"/>
      <c r="B940" s="114"/>
      <c r="C940" s="48"/>
      <c r="D940" s="115"/>
      <c r="E940" s="50"/>
      <c r="F940" s="116"/>
      <c r="G940" s="116"/>
      <c r="H940" s="52"/>
      <c r="I940" s="126"/>
      <c r="J940" s="139"/>
      <c r="K940" s="126"/>
      <c r="L940" s="126"/>
      <c r="M940" s="56"/>
      <c r="N940" s="118"/>
      <c r="O940" s="55"/>
      <c r="P940" s="53"/>
      <c r="Q940" s="55"/>
      <c r="R940" s="49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</row>
    <row r="941" spans="1:41" ht="13.8" x14ac:dyDescent="0.25">
      <c r="A941" s="46"/>
      <c r="B941" s="114"/>
      <c r="C941" s="48"/>
      <c r="D941" s="115"/>
      <c r="E941" s="50"/>
      <c r="F941" s="116"/>
      <c r="G941" s="116"/>
      <c r="H941" s="52"/>
      <c r="I941" s="126"/>
      <c r="J941" s="139"/>
      <c r="K941" s="126"/>
      <c r="L941" s="126"/>
      <c r="M941" s="56"/>
      <c r="N941" s="118"/>
      <c r="O941" s="55"/>
      <c r="P941" s="53"/>
      <c r="Q941" s="55"/>
      <c r="R941" s="49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</row>
    <row r="942" spans="1:41" ht="13.8" x14ac:dyDescent="0.25">
      <c r="A942" s="46"/>
      <c r="B942" s="114"/>
      <c r="C942" s="48"/>
      <c r="D942" s="115"/>
      <c r="E942" s="50"/>
      <c r="F942" s="116"/>
      <c r="G942" s="116"/>
      <c r="H942" s="52"/>
      <c r="I942" s="126"/>
      <c r="J942" s="139"/>
      <c r="K942" s="126"/>
      <c r="L942" s="126"/>
      <c r="M942" s="56"/>
      <c r="N942" s="118"/>
      <c r="O942" s="55"/>
      <c r="P942" s="53"/>
      <c r="Q942" s="55"/>
      <c r="R942" s="49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</row>
    <row r="943" spans="1:41" ht="13.8" x14ac:dyDescent="0.25">
      <c r="A943" s="46"/>
      <c r="B943" s="114"/>
      <c r="C943" s="48"/>
      <c r="D943" s="115"/>
      <c r="E943" s="50"/>
      <c r="F943" s="116"/>
      <c r="G943" s="116"/>
      <c r="H943" s="52"/>
      <c r="I943" s="126"/>
      <c r="J943" s="139"/>
      <c r="K943" s="126"/>
      <c r="L943" s="126"/>
      <c r="M943" s="56"/>
      <c r="N943" s="118"/>
      <c r="O943" s="55"/>
      <c r="P943" s="53"/>
      <c r="Q943" s="55"/>
      <c r="R943" s="49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</row>
    <row r="944" spans="1:41" ht="13.8" x14ac:dyDescent="0.25">
      <c r="A944" s="46"/>
      <c r="B944" s="114"/>
      <c r="C944" s="48"/>
      <c r="D944" s="115"/>
      <c r="E944" s="50"/>
      <c r="F944" s="116"/>
      <c r="G944" s="116"/>
      <c r="H944" s="52"/>
      <c r="I944" s="126"/>
      <c r="J944" s="139"/>
      <c r="K944" s="126"/>
      <c r="L944" s="126"/>
      <c r="M944" s="56"/>
      <c r="N944" s="118"/>
      <c r="O944" s="55"/>
      <c r="P944" s="53"/>
      <c r="Q944" s="55"/>
      <c r="R944" s="49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</row>
    <row r="945" spans="1:41" ht="13.8" x14ac:dyDescent="0.25">
      <c r="A945" s="46"/>
      <c r="B945" s="114"/>
      <c r="C945" s="48"/>
      <c r="D945" s="115"/>
      <c r="E945" s="50"/>
      <c r="F945" s="116"/>
      <c r="G945" s="116"/>
      <c r="H945" s="52"/>
      <c r="I945" s="126"/>
      <c r="J945" s="139"/>
      <c r="K945" s="126"/>
      <c r="L945" s="126"/>
      <c r="M945" s="56"/>
      <c r="N945" s="118"/>
      <c r="O945" s="55"/>
      <c r="P945" s="53"/>
      <c r="Q945" s="55"/>
      <c r="R945" s="49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</row>
    <row r="946" spans="1:41" ht="13.8" x14ac:dyDescent="0.25">
      <c r="A946" s="46"/>
      <c r="B946" s="114"/>
      <c r="C946" s="48"/>
      <c r="D946" s="115"/>
      <c r="E946" s="50"/>
      <c r="F946" s="116"/>
      <c r="G946" s="116"/>
      <c r="H946" s="52"/>
      <c r="I946" s="126"/>
      <c r="J946" s="139"/>
      <c r="K946" s="126"/>
      <c r="L946" s="126"/>
      <c r="M946" s="56"/>
      <c r="N946" s="118"/>
      <c r="O946" s="55"/>
      <c r="P946" s="53"/>
      <c r="Q946" s="55"/>
      <c r="R946" s="49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</row>
    <row r="947" spans="1:41" ht="13.8" x14ac:dyDescent="0.25">
      <c r="A947" s="46"/>
      <c r="B947" s="114"/>
      <c r="C947" s="48"/>
      <c r="D947" s="115"/>
      <c r="E947" s="50"/>
      <c r="F947" s="116"/>
      <c r="G947" s="116"/>
      <c r="H947" s="52"/>
      <c r="I947" s="126"/>
      <c r="J947" s="139"/>
      <c r="K947" s="126"/>
      <c r="L947" s="126"/>
      <c r="M947" s="56"/>
      <c r="N947" s="118"/>
      <c r="O947" s="55"/>
      <c r="P947" s="53"/>
      <c r="Q947" s="55"/>
      <c r="R947" s="49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</row>
    <row r="948" spans="1:41" ht="13.8" x14ac:dyDescent="0.25">
      <c r="A948" s="46"/>
      <c r="B948" s="114"/>
      <c r="C948" s="48"/>
      <c r="D948" s="115"/>
      <c r="E948" s="50"/>
      <c r="F948" s="116"/>
      <c r="G948" s="116"/>
      <c r="H948" s="52"/>
      <c r="I948" s="126"/>
      <c r="J948" s="139"/>
      <c r="K948" s="126"/>
      <c r="L948" s="126"/>
      <c r="M948" s="56"/>
      <c r="N948" s="118"/>
      <c r="O948" s="55"/>
      <c r="P948" s="53"/>
      <c r="Q948" s="55"/>
      <c r="R948" s="49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</row>
    <row r="949" spans="1:41" ht="13.8" x14ac:dyDescent="0.25">
      <c r="A949" s="46"/>
      <c r="B949" s="114"/>
      <c r="C949" s="48"/>
      <c r="D949" s="115"/>
      <c r="E949" s="50"/>
      <c r="F949" s="116"/>
      <c r="G949" s="116"/>
      <c r="H949" s="52"/>
      <c r="I949" s="126"/>
      <c r="J949" s="139"/>
      <c r="K949" s="126"/>
      <c r="L949" s="126"/>
      <c r="M949" s="56"/>
      <c r="N949" s="118"/>
      <c r="O949" s="55"/>
      <c r="P949" s="53"/>
      <c r="Q949" s="55"/>
      <c r="R949" s="49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</row>
    <row r="950" spans="1:41" ht="13.8" x14ac:dyDescent="0.25">
      <c r="A950" s="46"/>
      <c r="B950" s="114"/>
      <c r="C950" s="48"/>
      <c r="D950" s="115"/>
      <c r="E950" s="50"/>
      <c r="F950" s="116"/>
      <c r="G950" s="116"/>
      <c r="H950" s="52"/>
      <c r="I950" s="126"/>
      <c r="J950" s="139"/>
      <c r="K950" s="126"/>
      <c r="L950" s="126"/>
      <c r="M950" s="56"/>
      <c r="N950" s="118"/>
      <c r="O950" s="55"/>
      <c r="P950" s="53"/>
      <c r="Q950" s="55"/>
      <c r="R950" s="49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</row>
    <row r="951" spans="1:41" ht="13.8" x14ac:dyDescent="0.25">
      <c r="A951" s="46"/>
      <c r="B951" s="114"/>
      <c r="C951" s="48"/>
      <c r="D951" s="115"/>
      <c r="E951" s="50"/>
      <c r="F951" s="116"/>
      <c r="G951" s="116"/>
      <c r="H951" s="52"/>
      <c r="I951" s="126"/>
      <c r="J951" s="139"/>
      <c r="K951" s="126"/>
      <c r="L951" s="126"/>
      <c r="M951" s="56"/>
      <c r="N951" s="118"/>
      <c r="O951" s="55"/>
      <c r="P951" s="53"/>
      <c r="Q951" s="55"/>
      <c r="R951" s="49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</row>
    <row r="952" spans="1:41" ht="13.8" x14ac:dyDescent="0.25">
      <c r="A952" s="46"/>
      <c r="B952" s="114"/>
      <c r="C952" s="48"/>
      <c r="D952" s="115"/>
      <c r="E952" s="50"/>
      <c r="F952" s="116"/>
      <c r="G952" s="116"/>
      <c r="H952" s="52"/>
      <c r="I952" s="126"/>
      <c r="J952" s="139"/>
      <c r="K952" s="126"/>
      <c r="L952" s="126"/>
      <c r="M952" s="56"/>
      <c r="N952" s="118"/>
      <c r="O952" s="55"/>
      <c r="P952" s="53"/>
      <c r="Q952" s="55"/>
      <c r="R952" s="49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</row>
    <row r="953" spans="1:41" ht="13.8" x14ac:dyDescent="0.25">
      <c r="A953" s="46"/>
      <c r="B953" s="114"/>
      <c r="C953" s="48"/>
      <c r="D953" s="115"/>
      <c r="E953" s="50"/>
      <c r="F953" s="116"/>
      <c r="G953" s="116"/>
      <c r="H953" s="52"/>
      <c r="I953" s="126"/>
      <c r="J953" s="139"/>
      <c r="K953" s="126"/>
      <c r="L953" s="126"/>
      <c r="M953" s="56"/>
      <c r="N953" s="118"/>
      <c r="O953" s="55"/>
      <c r="P953" s="53"/>
      <c r="Q953" s="55"/>
      <c r="R953" s="49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</row>
    <row r="954" spans="1:41" ht="13.8" x14ac:dyDescent="0.25">
      <c r="A954" s="46"/>
      <c r="B954" s="114"/>
      <c r="C954" s="48"/>
      <c r="D954" s="115"/>
      <c r="E954" s="50"/>
      <c r="F954" s="116"/>
      <c r="G954" s="116"/>
      <c r="H954" s="52"/>
      <c r="I954" s="126"/>
      <c r="J954" s="139"/>
      <c r="K954" s="126"/>
      <c r="L954" s="126"/>
      <c r="M954" s="56"/>
      <c r="N954" s="118"/>
      <c r="O954" s="55"/>
      <c r="P954" s="53"/>
      <c r="Q954" s="55"/>
      <c r="R954" s="49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</row>
    <row r="955" spans="1:41" ht="13.8" x14ac:dyDescent="0.25">
      <c r="A955" s="46"/>
      <c r="B955" s="114"/>
      <c r="C955" s="48"/>
      <c r="D955" s="115"/>
      <c r="E955" s="50"/>
      <c r="F955" s="116"/>
      <c r="G955" s="116"/>
      <c r="H955" s="52"/>
      <c r="I955" s="126"/>
      <c r="J955" s="139"/>
      <c r="K955" s="126"/>
      <c r="L955" s="126"/>
      <c r="M955" s="56"/>
      <c r="N955" s="118"/>
      <c r="O955" s="55"/>
      <c r="P955" s="53"/>
      <c r="Q955" s="55"/>
      <c r="R955" s="49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</row>
    <row r="956" spans="1:41" ht="13.8" x14ac:dyDescent="0.25">
      <c r="A956" s="46"/>
      <c r="B956" s="114"/>
      <c r="C956" s="48"/>
      <c r="D956" s="115"/>
      <c r="E956" s="50"/>
      <c r="F956" s="116"/>
      <c r="G956" s="116"/>
      <c r="H956" s="52"/>
      <c r="I956" s="126"/>
      <c r="J956" s="139"/>
      <c r="K956" s="126"/>
      <c r="L956" s="126"/>
      <c r="M956" s="56"/>
      <c r="N956" s="118"/>
      <c r="O956" s="55"/>
      <c r="P956" s="53"/>
      <c r="Q956" s="55"/>
      <c r="R956" s="49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</row>
    <row r="957" spans="1:41" ht="13.8" x14ac:dyDescent="0.25">
      <c r="A957" s="46"/>
      <c r="B957" s="114"/>
      <c r="C957" s="48"/>
      <c r="D957" s="115"/>
      <c r="E957" s="50"/>
      <c r="F957" s="116"/>
      <c r="G957" s="116"/>
      <c r="H957" s="52"/>
      <c r="I957" s="126"/>
      <c r="J957" s="139"/>
      <c r="K957" s="126"/>
      <c r="L957" s="126"/>
      <c r="M957" s="56"/>
      <c r="N957" s="118"/>
      <c r="O957" s="55"/>
      <c r="P957" s="53"/>
      <c r="Q957" s="55"/>
      <c r="R957" s="49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</row>
    <row r="958" spans="1:41" ht="13.8" x14ac:dyDescent="0.25">
      <c r="A958" s="46"/>
      <c r="B958" s="114"/>
      <c r="C958" s="48"/>
      <c r="D958" s="115"/>
      <c r="E958" s="50"/>
      <c r="F958" s="116"/>
      <c r="G958" s="116"/>
      <c r="H958" s="52"/>
      <c r="I958" s="126"/>
      <c r="J958" s="139"/>
      <c r="K958" s="126"/>
      <c r="L958" s="126"/>
      <c r="M958" s="56"/>
      <c r="N958" s="118"/>
      <c r="O958" s="55"/>
      <c r="P958" s="53"/>
      <c r="Q958" s="55"/>
      <c r="R958" s="49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</row>
    <row r="959" spans="1:41" ht="13.8" x14ac:dyDescent="0.25">
      <c r="A959" s="46"/>
      <c r="B959" s="114"/>
      <c r="C959" s="48"/>
      <c r="D959" s="115"/>
      <c r="E959" s="50"/>
      <c r="F959" s="116"/>
      <c r="G959" s="116"/>
      <c r="H959" s="52"/>
      <c r="I959" s="126"/>
      <c r="J959" s="139"/>
      <c r="K959" s="126"/>
      <c r="L959" s="126"/>
      <c r="M959" s="56"/>
      <c r="N959" s="118"/>
      <c r="O959" s="55"/>
      <c r="P959" s="53"/>
      <c r="Q959" s="55"/>
      <c r="R959" s="49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</row>
    <row r="960" spans="1:41" ht="13.8" x14ac:dyDescent="0.25">
      <c r="A960" s="46"/>
      <c r="B960" s="114"/>
      <c r="C960" s="48"/>
      <c r="D960" s="115"/>
      <c r="E960" s="50"/>
      <c r="F960" s="116"/>
      <c r="G960" s="116"/>
      <c r="H960" s="52"/>
      <c r="I960" s="126"/>
      <c r="J960" s="139"/>
      <c r="K960" s="126"/>
      <c r="L960" s="126"/>
      <c r="M960" s="56"/>
      <c r="N960" s="118"/>
      <c r="O960" s="55"/>
      <c r="P960" s="53"/>
      <c r="Q960" s="55"/>
      <c r="R960" s="49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</row>
    <row r="961" spans="1:41" ht="13.8" x14ac:dyDescent="0.25">
      <c r="A961" s="46"/>
      <c r="B961" s="114"/>
      <c r="C961" s="48"/>
      <c r="D961" s="115"/>
      <c r="E961" s="50"/>
      <c r="F961" s="116"/>
      <c r="G961" s="116"/>
      <c r="H961" s="52"/>
      <c r="I961" s="126"/>
      <c r="J961" s="139"/>
      <c r="K961" s="126"/>
      <c r="L961" s="126"/>
      <c r="M961" s="56"/>
      <c r="N961" s="118"/>
      <c r="O961" s="55"/>
      <c r="P961" s="53"/>
      <c r="Q961" s="55"/>
      <c r="R961" s="49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</row>
    <row r="962" spans="1:41" ht="13.8" x14ac:dyDescent="0.25">
      <c r="A962" s="46"/>
      <c r="B962" s="114"/>
      <c r="C962" s="48"/>
      <c r="D962" s="115"/>
      <c r="E962" s="50"/>
      <c r="F962" s="116"/>
      <c r="G962" s="116"/>
      <c r="H962" s="52"/>
      <c r="I962" s="126"/>
      <c r="J962" s="139"/>
      <c r="K962" s="126"/>
      <c r="L962" s="126"/>
      <c r="M962" s="56"/>
      <c r="N962" s="118"/>
      <c r="O962" s="55"/>
      <c r="P962" s="53"/>
      <c r="Q962" s="55"/>
      <c r="R962" s="49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</row>
    <row r="963" spans="1:41" ht="13.8" x14ac:dyDescent="0.25">
      <c r="A963" s="46"/>
      <c r="B963" s="114"/>
      <c r="C963" s="48"/>
      <c r="D963" s="115"/>
      <c r="E963" s="50"/>
      <c r="F963" s="116"/>
      <c r="G963" s="116"/>
      <c r="H963" s="52"/>
      <c r="I963" s="126"/>
      <c r="J963" s="139"/>
      <c r="K963" s="126"/>
      <c r="L963" s="126"/>
      <c r="M963" s="56"/>
      <c r="N963" s="118"/>
      <c r="O963" s="55"/>
      <c r="P963" s="53"/>
      <c r="Q963" s="55"/>
      <c r="R963" s="49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</row>
    <row r="964" spans="1:41" ht="13.8" x14ac:dyDescent="0.25">
      <c r="A964" s="46"/>
      <c r="B964" s="114"/>
      <c r="C964" s="48"/>
      <c r="D964" s="115"/>
      <c r="E964" s="50"/>
      <c r="F964" s="116"/>
      <c r="G964" s="116"/>
      <c r="H964" s="52"/>
      <c r="I964" s="126"/>
      <c r="J964" s="139"/>
      <c r="K964" s="126"/>
      <c r="L964" s="126"/>
      <c r="M964" s="56"/>
      <c r="N964" s="118"/>
      <c r="O964" s="55"/>
      <c r="P964" s="53"/>
      <c r="Q964" s="55"/>
      <c r="R964" s="49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</row>
    <row r="965" spans="1:41" ht="13.8" x14ac:dyDescent="0.25">
      <c r="A965" s="46"/>
      <c r="B965" s="114"/>
      <c r="C965" s="48"/>
      <c r="D965" s="115"/>
      <c r="E965" s="50"/>
      <c r="F965" s="116"/>
      <c r="G965" s="116"/>
      <c r="H965" s="52"/>
      <c r="I965" s="126"/>
      <c r="J965" s="139"/>
      <c r="K965" s="126"/>
      <c r="L965" s="126"/>
      <c r="M965" s="56"/>
      <c r="N965" s="118"/>
      <c r="O965" s="55"/>
      <c r="P965" s="53"/>
      <c r="Q965" s="55"/>
      <c r="R965" s="49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</row>
    <row r="966" spans="1:41" ht="13.8" x14ac:dyDescent="0.25">
      <c r="A966" s="46"/>
      <c r="B966" s="114"/>
      <c r="C966" s="48"/>
      <c r="D966" s="115"/>
      <c r="E966" s="50"/>
      <c r="F966" s="116"/>
      <c r="G966" s="116"/>
      <c r="H966" s="52"/>
      <c r="I966" s="126"/>
      <c r="J966" s="139"/>
      <c r="K966" s="126"/>
      <c r="L966" s="126"/>
      <c r="M966" s="56"/>
      <c r="N966" s="118"/>
      <c r="O966" s="55"/>
      <c r="P966" s="53"/>
      <c r="Q966" s="55"/>
      <c r="R966" s="49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</row>
    <row r="967" spans="1:41" ht="13.8" x14ac:dyDescent="0.25">
      <c r="A967" s="46"/>
      <c r="B967" s="114"/>
      <c r="C967" s="48"/>
      <c r="D967" s="115"/>
      <c r="E967" s="50"/>
      <c r="F967" s="116"/>
      <c r="G967" s="116"/>
      <c r="H967" s="52"/>
      <c r="I967" s="126"/>
      <c r="J967" s="139"/>
      <c r="K967" s="126"/>
      <c r="L967" s="126"/>
      <c r="M967" s="56"/>
      <c r="N967" s="118"/>
      <c r="O967" s="55"/>
      <c r="P967" s="53"/>
      <c r="Q967" s="55"/>
      <c r="R967" s="49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</row>
    <row r="968" spans="1:41" ht="13.8" x14ac:dyDescent="0.25">
      <c r="A968" s="46"/>
      <c r="B968" s="114"/>
      <c r="C968" s="48"/>
      <c r="D968" s="115"/>
      <c r="E968" s="50"/>
      <c r="F968" s="116"/>
      <c r="G968" s="116"/>
      <c r="H968" s="52"/>
      <c r="I968" s="126"/>
      <c r="J968" s="139"/>
      <c r="K968" s="126"/>
      <c r="L968" s="126"/>
      <c r="M968" s="56"/>
      <c r="N968" s="118"/>
      <c r="O968" s="55"/>
      <c r="P968" s="53"/>
      <c r="Q968" s="55"/>
      <c r="R968" s="49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</row>
    <row r="969" spans="1:41" ht="13.8" x14ac:dyDescent="0.25">
      <c r="A969" s="46"/>
      <c r="B969" s="114"/>
      <c r="C969" s="48"/>
      <c r="D969" s="115"/>
      <c r="E969" s="50"/>
      <c r="F969" s="116"/>
      <c r="G969" s="116"/>
      <c r="H969" s="52"/>
      <c r="I969" s="126"/>
      <c r="J969" s="139"/>
      <c r="K969" s="126"/>
      <c r="L969" s="126"/>
      <c r="M969" s="56"/>
      <c r="N969" s="118"/>
      <c r="O969" s="55"/>
      <c r="P969" s="53"/>
      <c r="Q969" s="55"/>
      <c r="R969" s="49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</row>
    <row r="970" spans="1:41" ht="13.8" x14ac:dyDescent="0.25">
      <c r="A970" s="46"/>
      <c r="B970" s="114"/>
      <c r="C970" s="48"/>
      <c r="D970" s="115"/>
      <c r="E970" s="50"/>
      <c r="F970" s="116"/>
      <c r="G970" s="116"/>
      <c r="H970" s="52"/>
      <c r="I970" s="126"/>
      <c r="J970" s="139"/>
      <c r="K970" s="126"/>
      <c r="L970" s="126"/>
      <c r="M970" s="56"/>
      <c r="N970" s="118"/>
      <c r="O970" s="55"/>
      <c r="P970" s="53"/>
      <c r="Q970" s="55"/>
      <c r="R970" s="49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</row>
    <row r="971" spans="1:41" ht="13.8" x14ac:dyDescent="0.25">
      <c r="A971" s="46"/>
      <c r="B971" s="114"/>
      <c r="C971" s="48"/>
      <c r="D971" s="115"/>
      <c r="E971" s="50"/>
      <c r="F971" s="116"/>
      <c r="G971" s="116"/>
      <c r="H971" s="52"/>
      <c r="I971" s="126"/>
      <c r="J971" s="139"/>
      <c r="K971" s="126"/>
      <c r="L971" s="126"/>
      <c r="M971" s="56"/>
      <c r="N971" s="118"/>
      <c r="O971" s="55"/>
      <c r="P971" s="53"/>
      <c r="Q971" s="55"/>
      <c r="R971" s="49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</row>
    <row r="972" spans="1:41" ht="13.8" x14ac:dyDescent="0.25">
      <c r="A972" s="46"/>
      <c r="B972" s="114"/>
      <c r="C972" s="48"/>
      <c r="D972" s="115"/>
      <c r="E972" s="50"/>
      <c r="F972" s="116"/>
      <c r="G972" s="116"/>
      <c r="H972" s="52"/>
      <c r="I972" s="126"/>
      <c r="J972" s="139"/>
      <c r="K972" s="126"/>
      <c r="L972" s="126"/>
      <c r="M972" s="56"/>
      <c r="N972" s="118"/>
      <c r="O972" s="55"/>
      <c r="P972" s="53"/>
      <c r="Q972" s="55"/>
      <c r="R972" s="49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</row>
    <row r="973" spans="1:41" ht="13.8" x14ac:dyDescent="0.25">
      <c r="A973" s="46"/>
      <c r="B973" s="114"/>
      <c r="C973" s="48"/>
      <c r="D973" s="115"/>
      <c r="E973" s="50"/>
      <c r="F973" s="116"/>
      <c r="G973" s="116"/>
      <c r="H973" s="52"/>
      <c r="I973" s="126"/>
      <c r="J973" s="139"/>
      <c r="K973" s="126"/>
      <c r="L973" s="126"/>
      <c r="M973" s="56"/>
      <c r="N973" s="118"/>
      <c r="O973" s="55"/>
      <c r="P973" s="53"/>
      <c r="Q973" s="55"/>
      <c r="R973" s="49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</row>
    <row r="974" spans="1:41" ht="13.8" x14ac:dyDescent="0.25">
      <c r="A974" s="46"/>
      <c r="B974" s="114"/>
      <c r="C974" s="48"/>
      <c r="D974" s="115"/>
      <c r="E974" s="50"/>
      <c r="F974" s="116"/>
      <c r="G974" s="116"/>
      <c r="H974" s="52"/>
      <c r="I974" s="126"/>
      <c r="J974" s="139"/>
      <c r="K974" s="126"/>
      <c r="L974" s="126"/>
      <c r="M974" s="56"/>
      <c r="N974" s="118"/>
      <c r="O974" s="55"/>
      <c r="P974" s="53"/>
      <c r="Q974" s="55"/>
      <c r="R974" s="49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</row>
    <row r="975" spans="1:41" ht="13.8" x14ac:dyDescent="0.25">
      <c r="A975" s="46"/>
      <c r="B975" s="114"/>
      <c r="C975" s="48"/>
      <c r="D975" s="115"/>
      <c r="E975" s="50"/>
      <c r="F975" s="116"/>
      <c r="G975" s="116"/>
      <c r="H975" s="52"/>
      <c r="I975" s="126"/>
      <c r="J975" s="139"/>
      <c r="K975" s="126"/>
      <c r="L975" s="126"/>
      <c r="M975" s="56"/>
      <c r="N975" s="118"/>
      <c r="O975" s="55"/>
      <c r="P975" s="53"/>
      <c r="Q975" s="55"/>
      <c r="R975" s="49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</row>
    <row r="976" spans="1:41" ht="13.8" x14ac:dyDescent="0.25">
      <c r="A976" s="46"/>
      <c r="B976" s="114"/>
      <c r="C976" s="48"/>
      <c r="D976" s="115"/>
      <c r="E976" s="50"/>
      <c r="F976" s="116"/>
      <c r="G976" s="116"/>
      <c r="H976" s="52"/>
      <c r="I976" s="126"/>
      <c r="J976" s="139"/>
      <c r="K976" s="126"/>
      <c r="L976" s="126"/>
      <c r="M976" s="56"/>
      <c r="N976" s="118"/>
      <c r="O976" s="55"/>
      <c r="P976" s="53"/>
      <c r="Q976" s="55"/>
      <c r="R976" s="49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</row>
    <row r="977" spans="1:41" ht="13.8" x14ac:dyDescent="0.25">
      <c r="A977" s="46"/>
      <c r="B977" s="114"/>
      <c r="C977" s="48"/>
      <c r="D977" s="115"/>
      <c r="E977" s="50"/>
      <c r="F977" s="116"/>
      <c r="G977" s="116"/>
      <c r="H977" s="52"/>
      <c r="I977" s="126"/>
      <c r="J977" s="139"/>
      <c r="K977" s="126"/>
      <c r="L977" s="126"/>
      <c r="M977" s="56"/>
      <c r="N977" s="118"/>
      <c r="O977" s="55"/>
      <c r="P977" s="53"/>
      <c r="Q977" s="55"/>
      <c r="R977" s="49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</row>
    <row r="978" spans="1:41" ht="13.8" x14ac:dyDescent="0.25">
      <c r="A978" s="46"/>
      <c r="B978" s="114"/>
      <c r="C978" s="48"/>
      <c r="D978" s="115"/>
      <c r="E978" s="50"/>
      <c r="F978" s="116"/>
      <c r="G978" s="116"/>
      <c r="H978" s="52"/>
      <c r="I978" s="126"/>
      <c r="J978" s="139"/>
      <c r="K978" s="126"/>
      <c r="L978" s="126"/>
      <c r="M978" s="56"/>
      <c r="N978" s="118"/>
      <c r="O978" s="55"/>
      <c r="P978" s="53"/>
      <c r="Q978" s="55"/>
      <c r="R978" s="49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</row>
  </sheetData>
  <autoFilter ref="A3:AO737"/>
  <dataValidations count="1">
    <dataValidation type="list" allowBlank="1" sqref="M4:M978">
      <formula1>"DONE,Progressing,Unpaid,Cancel"</formula1>
    </dataValidation>
  </dataValidations>
  <pageMargins left="0.25" right="0.25" top="0.75" bottom="0.75" header="0" footer="0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C98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7.33203125" customWidth="1"/>
    <col min="2" max="2" width="16.88671875" customWidth="1"/>
    <col min="3" max="3" width="10.21875" customWidth="1"/>
    <col min="4" max="4" width="18.88671875" customWidth="1"/>
    <col min="5" max="5" width="13.6640625" customWidth="1"/>
    <col min="6" max="6" width="26.21875" customWidth="1"/>
    <col min="7" max="7" width="14.6640625" customWidth="1"/>
    <col min="8" max="9" width="13.88671875" customWidth="1"/>
    <col min="10" max="10" width="25.77734375" customWidth="1"/>
  </cols>
  <sheetData>
    <row r="1" spans="1:29" ht="13.2" x14ac:dyDescent="0.25">
      <c r="A1" s="144" t="s">
        <v>0</v>
      </c>
      <c r="B1" s="144" t="s">
        <v>1</v>
      </c>
      <c r="C1" s="145"/>
      <c r="D1" s="145" t="s">
        <v>594</v>
      </c>
      <c r="E1" s="146" t="s">
        <v>595</v>
      </c>
      <c r="F1" s="147" t="s">
        <v>596</v>
      </c>
      <c r="G1" s="148" t="s">
        <v>6</v>
      </c>
      <c r="H1" s="148" t="s">
        <v>256</v>
      </c>
      <c r="I1" s="144" t="s">
        <v>597</v>
      </c>
      <c r="J1" s="149" t="s">
        <v>3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2" spans="1:29" ht="13.2" x14ac:dyDescent="0.25">
      <c r="A2" s="144"/>
      <c r="B2" s="145"/>
      <c r="C2" s="144"/>
      <c r="D2" s="144"/>
      <c r="E2" s="146"/>
      <c r="F2" s="147"/>
      <c r="G2" s="148" t="s">
        <v>598</v>
      </c>
      <c r="H2" s="148" t="s">
        <v>260</v>
      </c>
      <c r="I2" s="144"/>
      <c r="J2" s="149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</row>
    <row r="3" spans="1:29" ht="15.6" x14ac:dyDescent="0.3">
      <c r="A3" s="151">
        <f t="shared" ref="A3:A163" si="0">IF(D3="","",SUBTOTAL(3,$D$3:D3))</f>
        <v>1</v>
      </c>
      <c r="B3" s="152" t="s">
        <v>16</v>
      </c>
      <c r="C3" s="153" t="s">
        <v>18</v>
      </c>
      <c r="D3" s="154" t="str">
        <f t="shared" ref="D3:D96" si="1">C3&amp;"/LT/SAD/2025"</f>
        <v>001/LT/SAD/2025</v>
      </c>
      <c r="E3" s="155">
        <v>45658</v>
      </c>
      <c r="F3" s="156" t="s">
        <v>599</v>
      </c>
      <c r="G3" s="157" t="s">
        <v>600</v>
      </c>
      <c r="H3" s="157"/>
      <c r="I3" s="158"/>
      <c r="J3" s="159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</row>
    <row r="4" spans="1:29" ht="15.6" x14ac:dyDescent="0.3">
      <c r="A4" s="151">
        <f t="shared" si="0"/>
        <v>2</v>
      </c>
      <c r="B4" s="152" t="s">
        <v>21</v>
      </c>
      <c r="C4" s="153" t="s">
        <v>22</v>
      </c>
      <c r="D4" s="154" t="str">
        <f t="shared" si="1"/>
        <v>002/LT/SAD/2025</v>
      </c>
      <c r="E4" s="155">
        <v>45658</v>
      </c>
      <c r="F4" s="156" t="s">
        <v>601</v>
      </c>
      <c r="G4" s="157" t="s">
        <v>600</v>
      </c>
      <c r="H4" s="157"/>
      <c r="I4" s="158"/>
      <c r="J4" s="159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</row>
    <row r="5" spans="1:29" ht="15.6" x14ac:dyDescent="0.3">
      <c r="A5" s="151">
        <f t="shared" si="0"/>
        <v>3</v>
      </c>
      <c r="B5" s="152" t="s">
        <v>23</v>
      </c>
      <c r="C5" s="154" t="s">
        <v>24</v>
      </c>
      <c r="D5" s="154" t="str">
        <f t="shared" si="1"/>
        <v>003/LT/SAD/2025</v>
      </c>
      <c r="E5" s="155">
        <v>45658</v>
      </c>
      <c r="F5" s="156" t="s">
        <v>602</v>
      </c>
      <c r="G5" s="157" t="s">
        <v>600</v>
      </c>
      <c r="H5" s="157"/>
      <c r="I5" s="158"/>
      <c r="J5" s="159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</row>
    <row r="6" spans="1:29" ht="15.6" x14ac:dyDescent="0.3">
      <c r="A6" s="151">
        <f t="shared" si="0"/>
        <v>4</v>
      </c>
      <c r="B6" s="152" t="s">
        <v>26</v>
      </c>
      <c r="C6" s="154" t="s">
        <v>27</v>
      </c>
      <c r="D6" s="154" t="str">
        <f t="shared" si="1"/>
        <v>004/LT/SAD/2025</v>
      </c>
      <c r="E6" s="155">
        <v>45658</v>
      </c>
      <c r="F6" s="156" t="s">
        <v>602</v>
      </c>
      <c r="G6" s="157" t="s">
        <v>600</v>
      </c>
      <c r="H6" s="157"/>
      <c r="I6" s="158"/>
      <c r="J6" s="159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</row>
    <row r="7" spans="1:29" ht="15.6" x14ac:dyDescent="0.3">
      <c r="A7" s="151">
        <f t="shared" si="0"/>
        <v>5</v>
      </c>
      <c r="B7" s="152" t="s">
        <v>310</v>
      </c>
      <c r="C7" s="154" t="s">
        <v>29</v>
      </c>
      <c r="D7" s="154" t="str">
        <f t="shared" si="1"/>
        <v>005/LT/SAD/2025</v>
      </c>
      <c r="E7" s="155">
        <v>45658</v>
      </c>
      <c r="F7" s="156" t="s">
        <v>602</v>
      </c>
      <c r="G7" s="157" t="s">
        <v>600</v>
      </c>
      <c r="H7" s="157"/>
      <c r="I7" s="158"/>
      <c r="J7" s="161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</row>
    <row r="8" spans="1:29" ht="15.6" x14ac:dyDescent="0.3">
      <c r="A8" s="151">
        <f t="shared" si="0"/>
        <v>6</v>
      </c>
      <c r="B8" s="152" t="s">
        <v>30</v>
      </c>
      <c r="C8" s="154" t="s">
        <v>31</v>
      </c>
      <c r="D8" s="154" t="str">
        <f t="shared" si="1"/>
        <v>006/LT/SAD/2025</v>
      </c>
      <c r="E8" s="155">
        <v>45658</v>
      </c>
      <c r="F8" s="156" t="s">
        <v>602</v>
      </c>
      <c r="G8" s="157" t="s">
        <v>600</v>
      </c>
      <c r="H8" s="157"/>
      <c r="I8" s="158"/>
      <c r="J8" s="161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</row>
    <row r="9" spans="1:29" ht="15.6" x14ac:dyDescent="0.3">
      <c r="A9" s="151">
        <f t="shared" si="0"/>
        <v>7</v>
      </c>
      <c r="B9" s="152" t="s">
        <v>32</v>
      </c>
      <c r="C9" s="154" t="s">
        <v>33</v>
      </c>
      <c r="D9" s="154" t="str">
        <f t="shared" si="1"/>
        <v>007/LT/SAD/2025</v>
      </c>
      <c r="E9" s="155">
        <v>45658</v>
      </c>
      <c r="F9" s="156" t="s">
        <v>602</v>
      </c>
      <c r="G9" s="157" t="s">
        <v>600</v>
      </c>
      <c r="H9" s="157"/>
      <c r="I9" s="158"/>
      <c r="J9" s="159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</row>
    <row r="10" spans="1:29" ht="15.6" x14ac:dyDescent="0.3">
      <c r="A10" s="151">
        <f t="shared" si="0"/>
        <v>8</v>
      </c>
      <c r="B10" s="152" t="s">
        <v>34</v>
      </c>
      <c r="C10" s="154" t="s">
        <v>35</v>
      </c>
      <c r="D10" s="154" t="str">
        <f t="shared" si="1"/>
        <v>008/LT/SAD/2025</v>
      </c>
      <c r="E10" s="155">
        <v>45658</v>
      </c>
      <c r="F10" s="156" t="s">
        <v>603</v>
      </c>
      <c r="G10" s="157" t="s">
        <v>600</v>
      </c>
      <c r="H10" s="157"/>
      <c r="I10" s="158"/>
      <c r="J10" s="159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</row>
    <row r="11" spans="1:29" ht="15.6" x14ac:dyDescent="0.3">
      <c r="A11" s="151">
        <f t="shared" si="0"/>
        <v>9</v>
      </c>
      <c r="B11" s="152" t="s">
        <v>36</v>
      </c>
      <c r="C11" s="154" t="s">
        <v>37</v>
      </c>
      <c r="D11" s="154" t="str">
        <f t="shared" si="1"/>
        <v>009/LT/SAD/2025</v>
      </c>
      <c r="E11" s="155">
        <v>45658</v>
      </c>
      <c r="F11" s="156" t="s">
        <v>602</v>
      </c>
      <c r="G11" s="157" t="s">
        <v>600</v>
      </c>
      <c r="H11" s="157"/>
      <c r="I11" s="158"/>
      <c r="J11" s="159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</row>
    <row r="12" spans="1:29" ht="15.6" x14ac:dyDescent="0.3">
      <c r="A12" s="151">
        <f t="shared" si="0"/>
        <v>10</v>
      </c>
      <c r="B12" s="152" t="s">
        <v>38</v>
      </c>
      <c r="C12" s="154" t="s">
        <v>39</v>
      </c>
      <c r="D12" s="154" t="str">
        <f t="shared" si="1"/>
        <v>010/LT/SAD/2025</v>
      </c>
      <c r="E12" s="155">
        <v>45658</v>
      </c>
      <c r="F12" s="156" t="s">
        <v>602</v>
      </c>
      <c r="G12" s="157" t="s">
        <v>600</v>
      </c>
      <c r="H12" s="157"/>
      <c r="I12" s="158"/>
      <c r="J12" s="159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</row>
    <row r="13" spans="1:29" ht="15.6" x14ac:dyDescent="0.3">
      <c r="A13" s="151">
        <f t="shared" si="0"/>
        <v>11</v>
      </c>
      <c r="B13" s="152" t="s">
        <v>40</v>
      </c>
      <c r="C13" s="154" t="s">
        <v>41</v>
      </c>
      <c r="D13" s="154" t="str">
        <f t="shared" si="1"/>
        <v>011/LT/SAD/2025</v>
      </c>
      <c r="E13" s="155">
        <v>45658</v>
      </c>
      <c r="F13" s="156" t="s">
        <v>602</v>
      </c>
      <c r="G13" s="157" t="s">
        <v>600</v>
      </c>
      <c r="H13" s="157"/>
      <c r="I13" s="158"/>
      <c r="J13" s="159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</row>
    <row r="14" spans="1:29" ht="15.6" x14ac:dyDescent="0.3">
      <c r="A14" s="151">
        <f t="shared" si="0"/>
        <v>12</v>
      </c>
      <c r="B14" s="152" t="s">
        <v>42</v>
      </c>
      <c r="C14" s="154" t="s">
        <v>43</v>
      </c>
      <c r="D14" s="154" t="str">
        <f t="shared" si="1"/>
        <v>012/LT/SAD/2025</v>
      </c>
      <c r="E14" s="155">
        <v>45658</v>
      </c>
      <c r="F14" s="156" t="s">
        <v>602</v>
      </c>
      <c r="G14" s="157" t="s">
        <v>600</v>
      </c>
      <c r="H14" s="157"/>
      <c r="I14" s="158"/>
      <c r="J14" s="159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</row>
    <row r="15" spans="1:29" ht="15.6" x14ac:dyDescent="0.3">
      <c r="A15" s="151">
        <f t="shared" si="0"/>
        <v>13</v>
      </c>
      <c r="B15" s="152" t="s">
        <v>44</v>
      </c>
      <c r="C15" s="154" t="s">
        <v>45</v>
      </c>
      <c r="D15" s="154" t="str">
        <f t="shared" si="1"/>
        <v>013/LT/SAD/2025</v>
      </c>
      <c r="E15" s="155">
        <v>45658</v>
      </c>
      <c r="F15" s="156" t="s">
        <v>604</v>
      </c>
      <c r="G15" s="157" t="s">
        <v>600</v>
      </c>
      <c r="H15" s="157"/>
      <c r="I15" s="158"/>
      <c r="J15" s="159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</row>
    <row r="16" spans="1:29" ht="15.6" x14ac:dyDescent="0.3">
      <c r="A16" s="151">
        <f t="shared" si="0"/>
        <v>14</v>
      </c>
      <c r="B16" s="152" t="s">
        <v>46</v>
      </c>
      <c r="C16" s="154" t="s">
        <v>47</v>
      </c>
      <c r="D16" s="154" t="str">
        <f t="shared" si="1"/>
        <v>014/LT/SAD/2025</v>
      </c>
      <c r="E16" s="155">
        <v>45658</v>
      </c>
      <c r="F16" s="156" t="s">
        <v>603</v>
      </c>
      <c r="G16" s="157" t="s">
        <v>600</v>
      </c>
      <c r="H16" s="157"/>
      <c r="I16" s="158"/>
      <c r="J16" s="159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</row>
    <row r="17" spans="1:29" ht="15.6" x14ac:dyDescent="0.3">
      <c r="A17" s="151">
        <f t="shared" si="0"/>
        <v>15</v>
      </c>
      <c r="B17" s="152" t="s">
        <v>48</v>
      </c>
      <c r="C17" s="154" t="s">
        <v>49</v>
      </c>
      <c r="D17" s="154" t="str">
        <f t="shared" si="1"/>
        <v>015/LT/SAD/2025</v>
      </c>
      <c r="E17" s="155">
        <v>45658</v>
      </c>
      <c r="F17" s="156" t="s">
        <v>602</v>
      </c>
      <c r="G17" s="157" t="s">
        <v>600</v>
      </c>
      <c r="H17" s="157"/>
      <c r="I17" s="158"/>
      <c r="J17" s="159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</row>
    <row r="18" spans="1:29" ht="15.6" x14ac:dyDescent="0.3">
      <c r="A18" s="151">
        <f t="shared" si="0"/>
        <v>16</v>
      </c>
      <c r="B18" s="152" t="s">
        <v>50</v>
      </c>
      <c r="C18" s="154" t="s">
        <v>51</v>
      </c>
      <c r="D18" s="154" t="str">
        <f t="shared" si="1"/>
        <v>016/LT/SAD/2025</v>
      </c>
      <c r="E18" s="155">
        <v>45658</v>
      </c>
      <c r="F18" s="156" t="s">
        <v>602</v>
      </c>
      <c r="G18" s="157" t="s">
        <v>600</v>
      </c>
      <c r="H18" s="157"/>
      <c r="I18" s="162"/>
      <c r="J18" s="163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</row>
    <row r="19" spans="1:29" ht="15.6" x14ac:dyDescent="0.3">
      <c r="A19" s="151">
        <f t="shared" si="0"/>
        <v>17</v>
      </c>
      <c r="B19" s="152" t="s">
        <v>52</v>
      </c>
      <c r="C19" s="154" t="s">
        <v>53</v>
      </c>
      <c r="D19" s="154" t="str">
        <f t="shared" si="1"/>
        <v>017/LT/SAD/2025</v>
      </c>
      <c r="E19" s="155">
        <v>45658</v>
      </c>
      <c r="F19" s="156" t="s">
        <v>602</v>
      </c>
      <c r="G19" s="157" t="s">
        <v>600</v>
      </c>
      <c r="H19" s="157"/>
      <c r="I19" s="158"/>
      <c r="J19" s="159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</row>
    <row r="20" spans="1:29" ht="15.6" x14ac:dyDescent="0.3">
      <c r="A20" s="151">
        <f t="shared" si="0"/>
        <v>18</v>
      </c>
      <c r="B20" s="152" t="s">
        <v>54</v>
      </c>
      <c r="C20" s="154" t="s">
        <v>55</v>
      </c>
      <c r="D20" s="154" t="str">
        <f t="shared" si="1"/>
        <v>018/LT/SAD/2025</v>
      </c>
      <c r="E20" s="155">
        <v>45658</v>
      </c>
      <c r="F20" s="156" t="s">
        <v>602</v>
      </c>
      <c r="G20" s="157" t="s">
        <v>600</v>
      </c>
      <c r="H20" s="157"/>
      <c r="I20" s="158"/>
      <c r="J20" s="159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</row>
    <row r="21" spans="1:29" ht="15.6" x14ac:dyDescent="0.3">
      <c r="A21" s="151">
        <f t="shared" si="0"/>
        <v>19</v>
      </c>
      <c r="B21" s="152" t="s">
        <v>56</v>
      </c>
      <c r="C21" s="154" t="s">
        <v>57</v>
      </c>
      <c r="D21" s="154" t="str">
        <f t="shared" si="1"/>
        <v>019/LT/SAD/2025</v>
      </c>
      <c r="E21" s="155">
        <v>45658</v>
      </c>
      <c r="F21" s="156" t="s">
        <v>605</v>
      </c>
      <c r="G21" s="157" t="s">
        <v>600</v>
      </c>
      <c r="H21" s="157"/>
      <c r="I21" s="158"/>
      <c r="J21" s="159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</row>
    <row r="22" spans="1:29" ht="15.6" x14ac:dyDescent="0.3">
      <c r="A22" s="151">
        <f t="shared" si="0"/>
        <v>20</v>
      </c>
      <c r="B22" s="152" t="s">
        <v>58</v>
      </c>
      <c r="C22" s="154" t="s">
        <v>59</v>
      </c>
      <c r="D22" s="154" t="str">
        <f t="shared" si="1"/>
        <v>020/LT/SAD/2025</v>
      </c>
      <c r="E22" s="155">
        <v>45658</v>
      </c>
      <c r="F22" s="156" t="s">
        <v>603</v>
      </c>
      <c r="G22" s="157" t="s">
        <v>600</v>
      </c>
      <c r="H22" s="157"/>
      <c r="I22" s="158"/>
      <c r="J22" s="159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</row>
    <row r="23" spans="1:29" ht="15.6" x14ac:dyDescent="0.3">
      <c r="A23" s="151">
        <f t="shared" si="0"/>
        <v>21</v>
      </c>
      <c r="B23" s="152" t="s">
        <v>60</v>
      </c>
      <c r="C23" s="154" t="s">
        <v>61</v>
      </c>
      <c r="D23" s="154" t="str">
        <f t="shared" si="1"/>
        <v>021/LT/SAD/2025</v>
      </c>
      <c r="E23" s="155">
        <v>45658</v>
      </c>
      <c r="F23" s="156" t="s">
        <v>603</v>
      </c>
      <c r="G23" s="157" t="s">
        <v>600</v>
      </c>
      <c r="H23" s="157"/>
      <c r="I23" s="158"/>
      <c r="J23" s="159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</row>
    <row r="24" spans="1:29" ht="15.6" x14ac:dyDescent="0.3">
      <c r="A24" s="151">
        <f t="shared" si="0"/>
        <v>22</v>
      </c>
      <c r="B24" s="152" t="s">
        <v>62</v>
      </c>
      <c r="C24" s="154" t="s">
        <v>63</v>
      </c>
      <c r="D24" s="154" t="str">
        <f t="shared" si="1"/>
        <v>022/LT/SAD/2025</v>
      </c>
      <c r="E24" s="155">
        <v>45658</v>
      </c>
      <c r="F24" s="156" t="s">
        <v>602</v>
      </c>
      <c r="G24" s="157" t="s">
        <v>600</v>
      </c>
      <c r="H24" s="157"/>
      <c r="I24" s="158"/>
      <c r="J24" s="159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</row>
    <row r="25" spans="1:29" ht="15.6" x14ac:dyDescent="0.3">
      <c r="A25" s="151">
        <f t="shared" si="0"/>
        <v>23</v>
      </c>
      <c r="B25" s="152" t="s">
        <v>295</v>
      </c>
      <c r="C25" s="154" t="s">
        <v>65</v>
      </c>
      <c r="D25" s="154" t="str">
        <f t="shared" si="1"/>
        <v>023/LT/SAD/2025</v>
      </c>
      <c r="E25" s="155">
        <v>45658</v>
      </c>
      <c r="F25" s="156" t="s">
        <v>602</v>
      </c>
      <c r="G25" s="157" t="s">
        <v>600</v>
      </c>
      <c r="H25" s="157"/>
      <c r="I25" s="158"/>
      <c r="J25" s="159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</row>
    <row r="26" spans="1:29" ht="15.6" x14ac:dyDescent="0.3">
      <c r="A26" s="151">
        <f t="shared" si="0"/>
        <v>24</v>
      </c>
      <c r="B26" s="152" t="s">
        <v>66</v>
      </c>
      <c r="C26" s="154" t="s">
        <v>67</v>
      </c>
      <c r="D26" s="154" t="str">
        <f t="shared" si="1"/>
        <v>024/LT/SAD/2025</v>
      </c>
      <c r="E26" s="155">
        <v>45658</v>
      </c>
      <c r="F26" s="156" t="s">
        <v>603</v>
      </c>
      <c r="G26" s="157" t="s">
        <v>600</v>
      </c>
      <c r="H26" s="157"/>
      <c r="I26" s="158"/>
      <c r="J26" s="159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</row>
    <row r="27" spans="1:29" ht="15.6" x14ac:dyDescent="0.3">
      <c r="A27" s="151">
        <f t="shared" si="0"/>
        <v>25</v>
      </c>
      <c r="B27" s="152" t="s">
        <v>68</v>
      </c>
      <c r="C27" s="154" t="s">
        <v>69</v>
      </c>
      <c r="D27" s="154" t="str">
        <f t="shared" si="1"/>
        <v>025/LT/SAD/2025</v>
      </c>
      <c r="E27" s="155">
        <v>45658</v>
      </c>
      <c r="F27" s="156" t="s">
        <v>602</v>
      </c>
      <c r="G27" s="157" t="s">
        <v>600</v>
      </c>
      <c r="H27" s="157"/>
      <c r="I27" s="158"/>
      <c r="J27" s="159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</row>
    <row r="28" spans="1:29" ht="15.6" x14ac:dyDescent="0.3">
      <c r="A28" s="151">
        <f t="shared" si="0"/>
        <v>26</v>
      </c>
      <c r="B28" s="152" t="s">
        <v>70</v>
      </c>
      <c r="C28" s="154" t="s">
        <v>71</v>
      </c>
      <c r="D28" s="154" t="str">
        <f t="shared" si="1"/>
        <v>026/LT/SAD/2025</v>
      </c>
      <c r="E28" s="155">
        <v>45658</v>
      </c>
      <c r="F28" s="156" t="s">
        <v>606</v>
      </c>
      <c r="G28" s="157" t="s">
        <v>600</v>
      </c>
      <c r="H28" s="157"/>
      <c r="I28" s="158"/>
      <c r="J28" s="159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</row>
    <row r="29" spans="1:29" ht="15.6" x14ac:dyDescent="0.3">
      <c r="A29" s="151">
        <f t="shared" si="0"/>
        <v>27</v>
      </c>
      <c r="B29" s="152" t="s">
        <v>72</v>
      </c>
      <c r="C29" s="154" t="s">
        <v>73</v>
      </c>
      <c r="D29" s="154" t="str">
        <f t="shared" si="1"/>
        <v>027/LT/SAD/2025</v>
      </c>
      <c r="E29" s="155">
        <v>45658</v>
      </c>
      <c r="F29" s="156" t="s">
        <v>602</v>
      </c>
      <c r="G29" s="157" t="s">
        <v>600</v>
      </c>
      <c r="H29" s="157"/>
      <c r="I29" s="158"/>
      <c r="J29" s="159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</row>
    <row r="30" spans="1:29" ht="15.6" x14ac:dyDescent="0.3">
      <c r="A30" s="151">
        <f t="shared" si="0"/>
        <v>28</v>
      </c>
      <c r="B30" s="152" t="s">
        <v>74</v>
      </c>
      <c r="C30" s="154" t="s">
        <v>75</v>
      </c>
      <c r="D30" s="154" t="str">
        <f t="shared" si="1"/>
        <v>028/LT/SAD/2025</v>
      </c>
      <c r="E30" s="155">
        <v>45658</v>
      </c>
      <c r="F30" s="156" t="s">
        <v>603</v>
      </c>
      <c r="G30" s="157" t="s">
        <v>600</v>
      </c>
      <c r="H30" s="157"/>
      <c r="I30" s="158"/>
      <c r="J30" s="159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</row>
    <row r="31" spans="1:29" ht="15.6" x14ac:dyDescent="0.3">
      <c r="A31" s="151">
        <f t="shared" si="0"/>
        <v>29</v>
      </c>
      <c r="B31" s="152" t="s">
        <v>76</v>
      </c>
      <c r="C31" s="154" t="s">
        <v>77</v>
      </c>
      <c r="D31" s="154" t="str">
        <f t="shared" si="1"/>
        <v>029/LT/SAD/2025</v>
      </c>
      <c r="E31" s="155">
        <v>45658</v>
      </c>
      <c r="F31" s="156" t="s">
        <v>602</v>
      </c>
      <c r="G31" s="157" t="s">
        <v>600</v>
      </c>
      <c r="H31" s="157"/>
      <c r="I31" s="158"/>
      <c r="J31" s="159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</row>
    <row r="32" spans="1:29" ht="15.6" x14ac:dyDescent="0.3">
      <c r="A32" s="151">
        <f t="shared" si="0"/>
        <v>30</v>
      </c>
      <c r="B32" s="152" t="s">
        <v>78</v>
      </c>
      <c r="C32" s="154" t="s">
        <v>79</v>
      </c>
      <c r="D32" s="154" t="str">
        <f t="shared" si="1"/>
        <v>030/LT/SAD/2025</v>
      </c>
      <c r="E32" s="155">
        <v>45658</v>
      </c>
      <c r="F32" s="156" t="s">
        <v>602</v>
      </c>
      <c r="G32" s="157" t="s">
        <v>600</v>
      </c>
      <c r="H32" s="157"/>
      <c r="I32" s="158"/>
      <c r="J32" s="159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</row>
    <row r="33" spans="1:29" ht="18.75" customHeight="1" x14ac:dyDescent="0.3">
      <c r="A33" s="151">
        <f t="shared" si="0"/>
        <v>31</v>
      </c>
      <c r="B33" s="152" t="s">
        <v>80</v>
      </c>
      <c r="C33" s="154" t="s">
        <v>81</v>
      </c>
      <c r="D33" s="154" t="str">
        <f t="shared" si="1"/>
        <v>031/LT/SAD/2025</v>
      </c>
      <c r="E33" s="155">
        <v>45658</v>
      </c>
      <c r="F33" s="156" t="s">
        <v>602</v>
      </c>
      <c r="G33" s="157" t="s">
        <v>600</v>
      </c>
      <c r="H33" s="157"/>
      <c r="I33" s="158"/>
      <c r="J33" s="159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</row>
    <row r="34" spans="1:29" ht="15.6" x14ac:dyDescent="0.3">
      <c r="A34" s="151">
        <f t="shared" si="0"/>
        <v>32</v>
      </c>
      <c r="B34" s="152" t="s">
        <v>82</v>
      </c>
      <c r="C34" s="154" t="s">
        <v>83</v>
      </c>
      <c r="D34" s="154" t="str">
        <f t="shared" si="1"/>
        <v>032/LT/SAD/2025</v>
      </c>
      <c r="E34" s="155">
        <v>45658</v>
      </c>
      <c r="F34" s="156" t="s">
        <v>606</v>
      </c>
      <c r="G34" s="157" t="s">
        <v>600</v>
      </c>
      <c r="H34" s="157"/>
      <c r="I34" s="158"/>
      <c r="J34" s="159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spans="1:29" ht="15.6" x14ac:dyDescent="0.3">
      <c r="A35" s="151">
        <f t="shared" si="0"/>
        <v>33</v>
      </c>
      <c r="B35" s="152" t="s">
        <v>84</v>
      </c>
      <c r="C35" s="154" t="s">
        <v>85</v>
      </c>
      <c r="D35" s="154" t="str">
        <f t="shared" si="1"/>
        <v>033/LT/SAD/2025</v>
      </c>
      <c r="E35" s="155">
        <v>45658</v>
      </c>
      <c r="F35" s="156" t="s">
        <v>604</v>
      </c>
      <c r="G35" s="157" t="s">
        <v>600</v>
      </c>
      <c r="H35" s="157"/>
      <c r="I35" s="158"/>
      <c r="J35" s="159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spans="1:29" ht="15.6" x14ac:dyDescent="0.3">
      <c r="A36" s="151">
        <f t="shared" si="0"/>
        <v>34</v>
      </c>
      <c r="B36" s="152" t="s">
        <v>86</v>
      </c>
      <c r="C36" s="154" t="s">
        <v>87</v>
      </c>
      <c r="D36" s="154" t="str">
        <f t="shared" si="1"/>
        <v>034/LT/SAD/2025</v>
      </c>
      <c r="E36" s="155">
        <v>45658</v>
      </c>
      <c r="F36" s="156" t="s">
        <v>603</v>
      </c>
      <c r="G36" s="157" t="s">
        <v>600</v>
      </c>
      <c r="H36" s="157"/>
      <c r="I36" s="158"/>
      <c r="J36" s="159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spans="1:29" ht="15.6" x14ac:dyDescent="0.3">
      <c r="A37" s="151">
        <f t="shared" si="0"/>
        <v>35</v>
      </c>
      <c r="B37" s="152" t="s">
        <v>88</v>
      </c>
      <c r="C37" s="154" t="s">
        <v>89</v>
      </c>
      <c r="D37" s="154" t="str">
        <f t="shared" si="1"/>
        <v>035/LT/SAD/2025</v>
      </c>
      <c r="E37" s="155">
        <v>45658</v>
      </c>
      <c r="F37" s="156" t="s">
        <v>604</v>
      </c>
      <c r="G37" s="157" t="s">
        <v>600</v>
      </c>
      <c r="H37" s="157"/>
      <c r="I37" s="158"/>
      <c r="J37" s="159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</row>
    <row r="38" spans="1:29" ht="15.6" x14ac:dyDescent="0.3">
      <c r="A38" s="151">
        <f t="shared" si="0"/>
        <v>36</v>
      </c>
      <c r="B38" s="152" t="s">
        <v>90</v>
      </c>
      <c r="C38" s="154" t="s">
        <v>91</v>
      </c>
      <c r="D38" s="154" t="str">
        <f t="shared" si="1"/>
        <v>036/LT/SAD/2025</v>
      </c>
      <c r="E38" s="155">
        <v>45658</v>
      </c>
      <c r="F38" s="156" t="s">
        <v>604</v>
      </c>
      <c r="G38" s="157" t="s">
        <v>600</v>
      </c>
      <c r="H38" s="157"/>
      <c r="I38" s="158"/>
      <c r="J38" s="159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</row>
    <row r="39" spans="1:29" ht="15.6" x14ac:dyDescent="0.3">
      <c r="A39" s="151">
        <f t="shared" si="0"/>
        <v>37</v>
      </c>
      <c r="B39" s="152" t="s">
        <v>92</v>
      </c>
      <c r="C39" s="154" t="s">
        <v>93</v>
      </c>
      <c r="D39" s="154" t="str">
        <f t="shared" si="1"/>
        <v>037/LT/SAD/2025</v>
      </c>
      <c r="E39" s="155">
        <v>45658</v>
      </c>
      <c r="F39" s="156" t="s">
        <v>603</v>
      </c>
      <c r="G39" s="157" t="s">
        <v>600</v>
      </c>
      <c r="H39" s="157"/>
      <c r="I39" s="158"/>
      <c r="J39" s="159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</row>
    <row r="40" spans="1:29" ht="15.6" x14ac:dyDescent="0.3">
      <c r="A40" s="151">
        <f t="shared" si="0"/>
        <v>38</v>
      </c>
      <c r="B40" s="152" t="s">
        <v>94</v>
      </c>
      <c r="C40" s="154" t="s">
        <v>95</v>
      </c>
      <c r="D40" s="154" t="str">
        <f t="shared" si="1"/>
        <v>038/LT/SAD/2025</v>
      </c>
      <c r="E40" s="155">
        <v>45658</v>
      </c>
      <c r="F40" s="156" t="s">
        <v>604</v>
      </c>
      <c r="G40" s="157" t="s">
        <v>600</v>
      </c>
      <c r="H40" s="157"/>
      <c r="I40" s="158"/>
      <c r="J40" s="159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</row>
    <row r="41" spans="1:29" ht="15.6" x14ac:dyDescent="0.3">
      <c r="A41" s="151">
        <f t="shared" si="0"/>
        <v>39</v>
      </c>
      <c r="B41" s="165" t="s">
        <v>96</v>
      </c>
      <c r="C41" s="154" t="s">
        <v>97</v>
      </c>
      <c r="D41" s="154" t="str">
        <f t="shared" si="1"/>
        <v>039/LT/SAD/2025</v>
      </c>
      <c r="E41" s="155">
        <v>45658</v>
      </c>
      <c r="F41" s="156" t="s">
        <v>603</v>
      </c>
      <c r="G41" s="157" t="s">
        <v>25</v>
      </c>
      <c r="H41" s="157"/>
      <c r="I41" s="158"/>
      <c r="J41" s="159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</row>
    <row r="42" spans="1:29" ht="15.6" x14ac:dyDescent="0.3">
      <c r="A42" s="151">
        <f t="shared" si="0"/>
        <v>40</v>
      </c>
      <c r="B42" s="152" t="s">
        <v>98</v>
      </c>
      <c r="C42" s="154" t="s">
        <v>99</v>
      </c>
      <c r="D42" s="154" t="str">
        <f t="shared" si="1"/>
        <v>040/LT/SAD/2025</v>
      </c>
      <c r="E42" s="155">
        <v>45658</v>
      </c>
      <c r="F42" s="156" t="s">
        <v>602</v>
      </c>
      <c r="G42" s="157" t="s">
        <v>600</v>
      </c>
      <c r="H42" s="157"/>
      <c r="I42" s="158"/>
      <c r="J42" s="159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</row>
    <row r="43" spans="1:29" ht="15.6" x14ac:dyDescent="0.3">
      <c r="A43" s="151">
        <f t="shared" si="0"/>
        <v>41</v>
      </c>
      <c r="B43" s="152" t="s">
        <v>100</v>
      </c>
      <c r="C43" s="154" t="s">
        <v>101</v>
      </c>
      <c r="D43" s="154" t="str">
        <f t="shared" si="1"/>
        <v>041/LT/SAD/2025</v>
      </c>
      <c r="E43" s="155">
        <v>45658</v>
      </c>
      <c r="F43" s="156" t="s">
        <v>603</v>
      </c>
      <c r="G43" s="157" t="s">
        <v>600</v>
      </c>
      <c r="H43" s="157"/>
      <c r="I43" s="158"/>
      <c r="J43" s="159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</row>
    <row r="44" spans="1:29" ht="15.6" x14ac:dyDescent="0.3">
      <c r="A44" s="151">
        <f t="shared" si="0"/>
        <v>42</v>
      </c>
      <c r="B44" s="152" t="s">
        <v>102</v>
      </c>
      <c r="C44" s="154" t="s">
        <v>103</v>
      </c>
      <c r="D44" s="154" t="str">
        <f t="shared" si="1"/>
        <v>042/LT/SAD/2025</v>
      </c>
      <c r="E44" s="155">
        <v>45658</v>
      </c>
      <c r="F44" s="156" t="s">
        <v>602</v>
      </c>
      <c r="G44" s="157" t="s">
        <v>600</v>
      </c>
      <c r="H44" s="157"/>
      <c r="I44" s="158"/>
      <c r="J44" s="159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</row>
    <row r="45" spans="1:29" ht="15.6" x14ac:dyDescent="0.3">
      <c r="A45" s="151">
        <f t="shared" si="0"/>
        <v>43</v>
      </c>
      <c r="B45" s="152" t="s">
        <v>104</v>
      </c>
      <c r="C45" s="154" t="s">
        <v>105</v>
      </c>
      <c r="D45" s="154" t="str">
        <f t="shared" si="1"/>
        <v>043/LT/SAD/2025</v>
      </c>
      <c r="E45" s="155">
        <v>45658</v>
      </c>
      <c r="F45" s="156" t="s">
        <v>603</v>
      </c>
      <c r="G45" s="157" t="s">
        <v>600</v>
      </c>
      <c r="H45" s="157"/>
      <c r="I45" s="158"/>
      <c r="J45" s="159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</row>
    <row r="46" spans="1:29" ht="15.6" x14ac:dyDescent="0.3">
      <c r="A46" s="151">
        <f t="shared" si="0"/>
        <v>44</v>
      </c>
      <c r="B46" s="152" t="s">
        <v>106</v>
      </c>
      <c r="C46" s="154" t="s">
        <v>107</v>
      </c>
      <c r="D46" s="154" t="str">
        <f t="shared" si="1"/>
        <v>044/LT/SAD/2025</v>
      </c>
      <c r="E46" s="155">
        <v>45658</v>
      </c>
      <c r="F46" s="156" t="s">
        <v>605</v>
      </c>
      <c r="G46" s="157" t="s">
        <v>600</v>
      </c>
      <c r="H46" s="157"/>
      <c r="I46" s="158"/>
      <c r="J46" s="159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</row>
    <row r="47" spans="1:29" ht="15.6" x14ac:dyDescent="0.3">
      <c r="A47" s="151">
        <f t="shared" si="0"/>
        <v>45</v>
      </c>
      <c r="B47" s="152" t="s">
        <v>108</v>
      </c>
      <c r="C47" s="154" t="s">
        <v>109</v>
      </c>
      <c r="D47" s="154" t="str">
        <f t="shared" si="1"/>
        <v>045/LT/SAD/2025</v>
      </c>
      <c r="E47" s="155">
        <v>45658</v>
      </c>
      <c r="F47" s="156" t="s">
        <v>602</v>
      </c>
      <c r="G47" s="157" t="s">
        <v>600</v>
      </c>
      <c r="H47" s="157"/>
      <c r="I47" s="158"/>
      <c r="J47" s="159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</row>
    <row r="48" spans="1:29" ht="15.6" x14ac:dyDescent="0.3">
      <c r="A48" s="151">
        <f t="shared" si="0"/>
        <v>46</v>
      </c>
      <c r="B48" s="152" t="s">
        <v>110</v>
      </c>
      <c r="C48" s="154" t="s">
        <v>111</v>
      </c>
      <c r="D48" s="154" t="str">
        <f t="shared" si="1"/>
        <v>046/LT/SAD/2025</v>
      </c>
      <c r="E48" s="155">
        <v>45658</v>
      </c>
      <c r="F48" s="156" t="s">
        <v>602</v>
      </c>
      <c r="G48" s="157" t="s">
        <v>600</v>
      </c>
      <c r="H48" s="157"/>
      <c r="I48" s="158"/>
      <c r="J48" s="159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</row>
    <row r="49" spans="1:29" ht="15.6" x14ac:dyDescent="0.3">
      <c r="A49" s="151">
        <f t="shared" si="0"/>
        <v>47</v>
      </c>
      <c r="B49" s="152" t="s">
        <v>112</v>
      </c>
      <c r="C49" s="154" t="s">
        <v>113</v>
      </c>
      <c r="D49" s="154" t="str">
        <f t="shared" si="1"/>
        <v>047/LT/SAD/2025</v>
      </c>
      <c r="E49" s="155">
        <v>45658</v>
      </c>
      <c r="F49" s="156" t="s">
        <v>605</v>
      </c>
      <c r="G49" s="157" t="s">
        <v>600</v>
      </c>
      <c r="H49" s="157"/>
      <c r="I49" s="158"/>
      <c r="J49" s="159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</row>
    <row r="50" spans="1:29" ht="15.6" x14ac:dyDescent="0.3">
      <c r="A50" s="151">
        <f t="shared" si="0"/>
        <v>48</v>
      </c>
      <c r="B50" s="152" t="s">
        <v>114</v>
      </c>
      <c r="C50" s="154" t="s">
        <v>115</v>
      </c>
      <c r="D50" s="154" t="str">
        <f t="shared" si="1"/>
        <v>048/LT/SAD/2025</v>
      </c>
      <c r="E50" s="155">
        <v>45658</v>
      </c>
      <c r="F50" s="156" t="s">
        <v>603</v>
      </c>
      <c r="G50" s="157" t="s">
        <v>600</v>
      </c>
      <c r="H50" s="157"/>
      <c r="I50" s="158"/>
      <c r="J50" s="159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</row>
    <row r="51" spans="1:29" ht="15.6" x14ac:dyDescent="0.3">
      <c r="A51" s="151">
        <f t="shared" si="0"/>
        <v>49</v>
      </c>
      <c r="B51" s="152" t="s">
        <v>116</v>
      </c>
      <c r="C51" s="154" t="s">
        <v>117</v>
      </c>
      <c r="D51" s="154" t="str">
        <f t="shared" si="1"/>
        <v>049/LT/SAD/2025</v>
      </c>
      <c r="E51" s="155">
        <v>45658</v>
      </c>
      <c r="F51" s="156" t="s">
        <v>602</v>
      </c>
      <c r="G51" s="157" t="s">
        <v>600</v>
      </c>
      <c r="H51" s="157"/>
      <c r="I51" s="158"/>
      <c r="J51" s="159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</row>
    <row r="52" spans="1:29" ht="15.6" x14ac:dyDescent="0.3">
      <c r="A52" s="151">
        <f t="shared" si="0"/>
        <v>50</v>
      </c>
      <c r="B52" s="152" t="s">
        <v>118</v>
      </c>
      <c r="C52" s="154" t="s">
        <v>119</v>
      </c>
      <c r="D52" s="154" t="str">
        <f t="shared" si="1"/>
        <v>050/LT/SAD/2025</v>
      </c>
      <c r="E52" s="155">
        <v>45658</v>
      </c>
      <c r="F52" s="156" t="s">
        <v>603</v>
      </c>
      <c r="G52" s="157" t="s">
        <v>600</v>
      </c>
      <c r="H52" s="157"/>
      <c r="I52" s="158"/>
      <c r="J52" s="159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</row>
    <row r="53" spans="1:29" ht="15.6" x14ac:dyDescent="0.3">
      <c r="A53" s="151">
        <f t="shared" si="0"/>
        <v>51</v>
      </c>
      <c r="B53" s="152" t="s">
        <v>120</v>
      </c>
      <c r="C53" s="154" t="s">
        <v>121</v>
      </c>
      <c r="D53" s="154" t="str">
        <f t="shared" si="1"/>
        <v>051/LT/SAD/2025</v>
      </c>
      <c r="E53" s="155">
        <v>45658</v>
      </c>
      <c r="F53" s="156" t="s">
        <v>602</v>
      </c>
      <c r="G53" s="157" t="s">
        <v>600</v>
      </c>
      <c r="H53" s="157"/>
      <c r="I53" s="158"/>
      <c r="J53" s="159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</row>
    <row r="54" spans="1:29" ht="15.6" x14ac:dyDescent="0.3">
      <c r="A54" s="151">
        <f t="shared" si="0"/>
        <v>52</v>
      </c>
      <c r="B54" s="152" t="s">
        <v>122</v>
      </c>
      <c r="C54" s="154" t="s">
        <v>123</v>
      </c>
      <c r="D54" s="154" t="str">
        <f t="shared" si="1"/>
        <v>052/LT/SAD/2025</v>
      </c>
      <c r="E54" s="155">
        <v>45658</v>
      </c>
      <c r="F54" s="156" t="s">
        <v>606</v>
      </c>
      <c r="G54" s="157" t="s">
        <v>600</v>
      </c>
      <c r="H54" s="157"/>
      <c r="I54" s="158"/>
      <c r="J54" s="159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</row>
    <row r="55" spans="1:29" ht="15.6" x14ac:dyDescent="0.3">
      <c r="A55" s="151">
        <f t="shared" si="0"/>
        <v>53</v>
      </c>
      <c r="B55" s="152" t="s">
        <v>124</v>
      </c>
      <c r="C55" s="154" t="s">
        <v>125</v>
      </c>
      <c r="D55" s="154" t="str">
        <f t="shared" si="1"/>
        <v>053/LT/SAD/2025</v>
      </c>
      <c r="E55" s="155">
        <v>45658</v>
      </c>
      <c r="F55" s="156" t="s">
        <v>603</v>
      </c>
      <c r="G55" s="157" t="s">
        <v>600</v>
      </c>
      <c r="H55" s="157"/>
      <c r="I55" s="158"/>
      <c r="J55" s="159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</row>
    <row r="56" spans="1:29" ht="15.6" x14ac:dyDescent="0.3">
      <c r="A56" s="151">
        <f t="shared" si="0"/>
        <v>54</v>
      </c>
      <c r="B56" s="152" t="s">
        <v>126</v>
      </c>
      <c r="C56" s="154" t="s">
        <v>127</v>
      </c>
      <c r="D56" s="154" t="str">
        <f t="shared" si="1"/>
        <v>054/LT/SAD/2025</v>
      </c>
      <c r="E56" s="155">
        <v>45658</v>
      </c>
      <c r="F56" s="156" t="s">
        <v>602</v>
      </c>
      <c r="G56" s="157" t="s">
        <v>600</v>
      </c>
      <c r="H56" s="157"/>
      <c r="I56" s="158"/>
      <c r="J56" s="159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</row>
    <row r="57" spans="1:29" ht="15.6" x14ac:dyDescent="0.3">
      <c r="A57" s="151">
        <f t="shared" si="0"/>
        <v>55</v>
      </c>
      <c r="B57" s="152" t="s">
        <v>128</v>
      </c>
      <c r="C57" s="154" t="s">
        <v>129</v>
      </c>
      <c r="D57" s="154" t="str">
        <f t="shared" si="1"/>
        <v>055/LT/SAD/2025</v>
      </c>
      <c r="E57" s="155">
        <v>45658</v>
      </c>
      <c r="F57" s="156" t="s">
        <v>602</v>
      </c>
      <c r="G57" s="157" t="s">
        <v>600</v>
      </c>
      <c r="H57" s="157"/>
      <c r="I57" s="158"/>
      <c r="J57" s="159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</row>
    <row r="58" spans="1:29" ht="15.6" x14ac:dyDescent="0.3">
      <c r="A58" s="151">
        <f t="shared" si="0"/>
        <v>56</v>
      </c>
      <c r="B58" s="152" t="s">
        <v>130</v>
      </c>
      <c r="C58" s="154" t="s">
        <v>131</v>
      </c>
      <c r="D58" s="154" t="str">
        <f t="shared" si="1"/>
        <v>056/LT/SAD/2025</v>
      </c>
      <c r="E58" s="155">
        <v>45658</v>
      </c>
      <c r="F58" s="156" t="s">
        <v>603</v>
      </c>
      <c r="G58" s="157" t="s">
        <v>600</v>
      </c>
      <c r="H58" s="157"/>
      <c r="I58" s="158"/>
      <c r="J58" s="159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</row>
    <row r="59" spans="1:29" ht="15.6" x14ac:dyDescent="0.3">
      <c r="A59" s="151">
        <f t="shared" si="0"/>
        <v>57</v>
      </c>
      <c r="B59" s="152" t="s">
        <v>132</v>
      </c>
      <c r="C59" s="154" t="s">
        <v>133</v>
      </c>
      <c r="D59" s="154" t="str">
        <f t="shared" si="1"/>
        <v>057/LT/SAD/2025</v>
      </c>
      <c r="E59" s="155">
        <v>45658</v>
      </c>
      <c r="F59" s="156" t="s">
        <v>602</v>
      </c>
      <c r="G59" s="157" t="s">
        <v>600</v>
      </c>
      <c r="H59" s="157"/>
      <c r="I59" s="158"/>
      <c r="J59" s="159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</row>
    <row r="60" spans="1:29" ht="15.6" x14ac:dyDescent="0.3">
      <c r="A60" s="151">
        <f t="shared" si="0"/>
        <v>58</v>
      </c>
      <c r="B60" s="152" t="s">
        <v>134</v>
      </c>
      <c r="C60" s="154" t="s">
        <v>135</v>
      </c>
      <c r="D60" s="154" t="str">
        <f t="shared" si="1"/>
        <v>058/LT/SAD/2025</v>
      </c>
      <c r="E60" s="155">
        <v>45658</v>
      </c>
      <c r="F60" s="156" t="s">
        <v>602</v>
      </c>
      <c r="G60" s="157" t="s">
        <v>600</v>
      </c>
      <c r="H60" s="157"/>
      <c r="I60" s="158"/>
      <c r="J60" s="159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</row>
    <row r="61" spans="1:29" ht="15.6" x14ac:dyDescent="0.3">
      <c r="A61" s="151">
        <f t="shared" si="0"/>
        <v>59</v>
      </c>
      <c r="B61" s="152" t="s">
        <v>136</v>
      </c>
      <c r="C61" s="154" t="s">
        <v>137</v>
      </c>
      <c r="D61" s="154" t="str">
        <f t="shared" si="1"/>
        <v>059/LT/SAD/2025</v>
      </c>
      <c r="E61" s="155">
        <v>45658</v>
      </c>
      <c r="F61" s="156" t="s">
        <v>602</v>
      </c>
      <c r="G61" s="157" t="s">
        <v>600</v>
      </c>
      <c r="H61" s="157"/>
      <c r="I61" s="158"/>
      <c r="J61" s="159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</row>
    <row r="62" spans="1:29" ht="15.6" x14ac:dyDescent="0.3">
      <c r="A62" s="151">
        <f t="shared" si="0"/>
        <v>60</v>
      </c>
      <c r="B62" s="152" t="s">
        <v>138</v>
      </c>
      <c r="C62" s="154" t="s">
        <v>139</v>
      </c>
      <c r="D62" s="154" t="str">
        <f t="shared" si="1"/>
        <v>060/LT/SAD/2025</v>
      </c>
      <c r="E62" s="155">
        <v>45658</v>
      </c>
      <c r="F62" s="156" t="s">
        <v>603</v>
      </c>
      <c r="G62" s="157" t="s">
        <v>600</v>
      </c>
      <c r="H62" s="157"/>
      <c r="I62" s="158"/>
      <c r="J62" s="159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</row>
    <row r="63" spans="1:29" ht="15.6" x14ac:dyDescent="0.3">
      <c r="A63" s="151">
        <f t="shared" si="0"/>
        <v>61</v>
      </c>
      <c r="B63" s="152" t="s">
        <v>140</v>
      </c>
      <c r="C63" s="154" t="s">
        <v>141</v>
      </c>
      <c r="D63" s="154" t="str">
        <f t="shared" si="1"/>
        <v>061/LT/SAD/2025</v>
      </c>
      <c r="E63" s="155">
        <v>45658</v>
      </c>
      <c r="F63" s="156" t="s">
        <v>602</v>
      </c>
      <c r="G63" s="157" t="s">
        <v>600</v>
      </c>
      <c r="H63" s="157"/>
      <c r="I63" s="158"/>
      <c r="J63" s="159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</row>
    <row r="64" spans="1:29" ht="15.6" x14ac:dyDescent="0.3">
      <c r="A64" s="151">
        <f t="shared" si="0"/>
        <v>62</v>
      </c>
      <c r="B64" s="152" t="s">
        <v>142</v>
      </c>
      <c r="C64" s="154" t="s">
        <v>143</v>
      </c>
      <c r="D64" s="154" t="str">
        <f t="shared" si="1"/>
        <v>062/LT/SAD/2025</v>
      </c>
      <c r="E64" s="155">
        <v>45658</v>
      </c>
      <c r="F64" s="156" t="s">
        <v>602</v>
      </c>
      <c r="G64" s="157" t="s">
        <v>600</v>
      </c>
      <c r="H64" s="157"/>
      <c r="I64" s="158"/>
      <c r="J64" s="159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</row>
    <row r="65" spans="1:29" ht="15.6" x14ac:dyDescent="0.3">
      <c r="A65" s="151">
        <f t="shared" si="0"/>
        <v>63</v>
      </c>
      <c r="B65" s="152" t="s">
        <v>144</v>
      </c>
      <c r="C65" s="154" t="s">
        <v>145</v>
      </c>
      <c r="D65" s="154" t="str">
        <f t="shared" si="1"/>
        <v>063/LT/SAD/2025</v>
      </c>
      <c r="E65" s="155">
        <v>45658</v>
      </c>
      <c r="F65" s="156" t="s">
        <v>603</v>
      </c>
      <c r="G65" s="157" t="s">
        <v>600</v>
      </c>
      <c r="H65" s="157"/>
      <c r="I65" s="158"/>
      <c r="J65" s="159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</row>
    <row r="66" spans="1:29" ht="15.6" x14ac:dyDescent="0.3">
      <c r="A66" s="151">
        <f t="shared" si="0"/>
        <v>64</v>
      </c>
      <c r="B66" s="152" t="s">
        <v>146</v>
      </c>
      <c r="C66" s="154" t="s">
        <v>147</v>
      </c>
      <c r="D66" s="154" t="str">
        <f t="shared" si="1"/>
        <v>064/LT/SAD/2025</v>
      </c>
      <c r="E66" s="155">
        <v>45658</v>
      </c>
      <c r="F66" s="156" t="s">
        <v>603</v>
      </c>
      <c r="G66" s="157" t="s">
        <v>600</v>
      </c>
      <c r="H66" s="157"/>
      <c r="I66" s="158"/>
      <c r="J66" s="159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</row>
    <row r="67" spans="1:29" ht="15.6" x14ac:dyDescent="0.3">
      <c r="A67" s="151">
        <f t="shared" si="0"/>
        <v>65</v>
      </c>
      <c r="B67" s="152" t="s">
        <v>148</v>
      </c>
      <c r="C67" s="154" t="s">
        <v>149</v>
      </c>
      <c r="D67" s="154" t="str">
        <f t="shared" si="1"/>
        <v>065/LT/SAD/2025</v>
      </c>
      <c r="E67" s="155">
        <v>45658</v>
      </c>
      <c r="F67" s="156" t="s">
        <v>603</v>
      </c>
      <c r="G67" s="157" t="s">
        <v>600</v>
      </c>
      <c r="H67" s="157"/>
      <c r="I67" s="158"/>
      <c r="J67" s="159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</row>
    <row r="68" spans="1:29" ht="15.6" x14ac:dyDescent="0.3">
      <c r="A68" s="151">
        <f t="shared" si="0"/>
        <v>66</v>
      </c>
      <c r="B68" s="152" t="s">
        <v>150</v>
      </c>
      <c r="C68" s="154" t="s">
        <v>151</v>
      </c>
      <c r="D68" s="154" t="str">
        <f t="shared" si="1"/>
        <v>066/LT/SAD/2025</v>
      </c>
      <c r="E68" s="155">
        <v>45658</v>
      </c>
      <c r="F68" s="156" t="s">
        <v>602</v>
      </c>
      <c r="G68" s="157" t="s">
        <v>600</v>
      </c>
      <c r="H68" s="157"/>
      <c r="I68" s="158"/>
      <c r="J68" s="159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  <row r="69" spans="1:29" ht="15.6" x14ac:dyDescent="0.3">
      <c r="A69" s="151">
        <f t="shared" si="0"/>
        <v>67</v>
      </c>
      <c r="B69" s="152" t="s">
        <v>152</v>
      </c>
      <c r="C69" s="154" t="s">
        <v>153</v>
      </c>
      <c r="D69" s="154" t="str">
        <f t="shared" si="1"/>
        <v>067/LT/SAD/2025</v>
      </c>
      <c r="E69" s="155">
        <v>45658</v>
      </c>
      <c r="F69" s="156" t="s">
        <v>602</v>
      </c>
      <c r="G69" s="157" t="s">
        <v>600</v>
      </c>
      <c r="H69" s="157"/>
      <c r="I69" s="158"/>
      <c r="J69" s="159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</row>
    <row r="70" spans="1:29" ht="15.6" x14ac:dyDescent="0.3">
      <c r="A70" s="151">
        <f t="shared" si="0"/>
        <v>68</v>
      </c>
      <c r="B70" s="152" t="s">
        <v>154</v>
      </c>
      <c r="C70" s="154" t="s">
        <v>155</v>
      </c>
      <c r="D70" s="154" t="str">
        <f t="shared" si="1"/>
        <v>068/LT/SAD/2025</v>
      </c>
      <c r="E70" s="155">
        <v>45658</v>
      </c>
      <c r="F70" s="156" t="s">
        <v>603</v>
      </c>
      <c r="G70" s="157" t="s">
        <v>600</v>
      </c>
      <c r="H70" s="157"/>
      <c r="I70" s="158"/>
      <c r="J70" s="159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</row>
    <row r="71" spans="1:29" ht="15.6" x14ac:dyDescent="0.3">
      <c r="A71" s="151">
        <f t="shared" si="0"/>
        <v>69</v>
      </c>
      <c r="B71" s="152" t="s">
        <v>156</v>
      </c>
      <c r="C71" s="154" t="s">
        <v>157</v>
      </c>
      <c r="D71" s="154" t="str">
        <f t="shared" si="1"/>
        <v>069/LT/SAD/2025</v>
      </c>
      <c r="E71" s="155">
        <v>45658</v>
      </c>
      <c r="F71" s="156" t="s">
        <v>602</v>
      </c>
      <c r="G71" s="157" t="s">
        <v>600</v>
      </c>
      <c r="H71" s="157"/>
      <c r="I71" s="158"/>
      <c r="J71" s="159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</row>
    <row r="72" spans="1:29" ht="15.6" x14ac:dyDescent="0.3">
      <c r="A72" s="151">
        <f t="shared" si="0"/>
        <v>70</v>
      </c>
      <c r="B72" s="152" t="s">
        <v>158</v>
      </c>
      <c r="C72" s="154" t="s">
        <v>159</v>
      </c>
      <c r="D72" s="154" t="str">
        <f t="shared" si="1"/>
        <v>070/LT/SAD/2025</v>
      </c>
      <c r="E72" s="155">
        <v>45658</v>
      </c>
      <c r="F72" s="156" t="s">
        <v>602</v>
      </c>
      <c r="G72" s="157" t="s">
        <v>600</v>
      </c>
      <c r="H72" s="157"/>
      <c r="I72" s="158"/>
      <c r="J72" s="159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</row>
    <row r="73" spans="1:29" ht="15.6" x14ac:dyDescent="0.3">
      <c r="A73" s="151">
        <f t="shared" si="0"/>
        <v>71</v>
      </c>
      <c r="B73" s="152" t="s">
        <v>160</v>
      </c>
      <c r="C73" s="154" t="s">
        <v>161</v>
      </c>
      <c r="D73" s="154" t="str">
        <f t="shared" si="1"/>
        <v>071/LT/SAD/2025</v>
      </c>
      <c r="E73" s="155">
        <v>45658</v>
      </c>
      <c r="F73" s="156" t="s">
        <v>603</v>
      </c>
      <c r="G73" s="157" t="s">
        <v>600</v>
      </c>
      <c r="H73" s="157"/>
      <c r="I73" s="158"/>
      <c r="J73" s="159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</row>
    <row r="74" spans="1:29" ht="15.6" x14ac:dyDescent="0.3">
      <c r="A74" s="151">
        <f t="shared" si="0"/>
        <v>72</v>
      </c>
      <c r="B74" s="152" t="s">
        <v>162</v>
      </c>
      <c r="C74" s="154" t="s">
        <v>163</v>
      </c>
      <c r="D74" s="154" t="str">
        <f t="shared" si="1"/>
        <v>072/LT/SAD/2025</v>
      </c>
      <c r="E74" s="155">
        <v>45658</v>
      </c>
      <c r="F74" s="156" t="s">
        <v>602</v>
      </c>
      <c r="G74" s="157" t="s">
        <v>600</v>
      </c>
      <c r="H74" s="157"/>
      <c r="I74" s="158"/>
      <c r="J74" s="159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</row>
    <row r="75" spans="1:29" ht="15.6" x14ac:dyDescent="0.3">
      <c r="A75" s="151">
        <f t="shared" si="0"/>
        <v>73</v>
      </c>
      <c r="B75" s="152" t="s">
        <v>164</v>
      </c>
      <c r="C75" s="154" t="s">
        <v>165</v>
      </c>
      <c r="D75" s="154" t="str">
        <f t="shared" si="1"/>
        <v>073/LT/SAD/2025</v>
      </c>
      <c r="E75" s="155">
        <v>45658</v>
      </c>
      <c r="F75" s="156" t="s">
        <v>602</v>
      </c>
      <c r="G75" s="157" t="s">
        <v>600</v>
      </c>
      <c r="H75" s="157"/>
      <c r="I75" s="158"/>
      <c r="J75" s="159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</row>
    <row r="76" spans="1:29" ht="15.6" x14ac:dyDescent="0.3">
      <c r="A76" s="151">
        <f t="shared" si="0"/>
        <v>74</v>
      </c>
      <c r="B76" s="152" t="s">
        <v>166</v>
      </c>
      <c r="C76" s="154" t="s">
        <v>167</v>
      </c>
      <c r="D76" s="154" t="str">
        <f t="shared" si="1"/>
        <v>074/LT/SAD/2025</v>
      </c>
      <c r="E76" s="155">
        <v>45658</v>
      </c>
      <c r="F76" s="156" t="s">
        <v>602</v>
      </c>
      <c r="G76" s="157" t="s">
        <v>600</v>
      </c>
      <c r="H76" s="157"/>
      <c r="I76" s="158"/>
      <c r="J76" s="159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</row>
    <row r="77" spans="1:29" ht="15.6" x14ac:dyDescent="0.3">
      <c r="A77" s="151">
        <f t="shared" si="0"/>
        <v>75</v>
      </c>
      <c r="B77" s="152" t="s">
        <v>168</v>
      </c>
      <c r="C77" s="154" t="s">
        <v>169</v>
      </c>
      <c r="D77" s="154" t="str">
        <f t="shared" si="1"/>
        <v>075/LT/SAD/2025</v>
      </c>
      <c r="E77" s="155">
        <v>45658</v>
      </c>
      <c r="F77" s="156" t="s">
        <v>603</v>
      </c>
      <c r="G77" s="157" t="s">
        <v>600</v>
      </c>
      <c r="H77" s="157"/>
      <c r="I77" s="158"/>
      <c r="J77" s="159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</row>
    <row r="78" spans="1:29" ht="15.6" x14ac:dyDescent="0.3">
      <c r="A78" s="151">
        <f t="shared" si="0"/>
        <v>76</v>
      </c>
      <c r="B78" s="152" t="s">
        <v>170</v>
      </c>
      <c r="C78" s="154" t="s">
        <v>171</v>
      </c>
      <c r="D78" s="154" t="str">
        <f t="shared" si="1"/>
        <v>076/LT/SAD/2025</v>
      </c>
      <c r="E78" s="155">
        <v>45658</v>
      </c>
      <c r="F78" s="156" t="s">
        <v>602</v>
      </c>
      <c r="G78" s="157" t="s">
        <v>600</v>
      </c>
      <c r="H78" s="157"/>
      <c r="I78" s="158"/>
      <c r="J78" s="159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</row>
    <row r="79" spans="1:29" ht="15.6" x14ac:dyDescent="0.3">
      <c r="A79" s="151">
        <f t="shared" si="0"/>
        <v>77</v>
      </c>
      <c r="B79" s="152" t="s">
        <v>172</v>
      </c>
      <c r="C79" s="154" t="s">
        <v>173</v>
      </c>
      <c r="D79" s="154" t="str">
        <f t="shared" si="1"/>
        <v>077/LT/SAD/2025</v>
      </c>
      <c r="E79" s="155">
        <v>45658</v>
      </c>
      <c r="F79" s="156" t="s">
        <v>602</v>
      </c>
      <c r="G79" s="157" t="s">
        <v>600</v>
      </c>
      <c r="H79" s="157"/>
      <c r="I79" s="158"/>
      <c r="J79" s="159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</row>
    <row r="80" spans="1:29" ht="15.6" x14ac:dyDescent="0.3">
      <c r="A80" s="151">
        <f t="shared" si="0"/>
        <v>78</v>
      </c>
      <c r="B80" s="152" t="s">
        <v>174</v>
      </c>
      <c r="C80" s="154" t="s">
        <v>175</v>
      </c>
      <c r="D80" s="154" t="str">
        <f t="shared" si="1"/>
        <v>078/LT/SAD/2025</v>
      </c>
      <c r="E80" s="155">
        <v>45658</v>
      </c>
      <c r="F80" s="156" t="s">
        <v>603</v>
      </c>
      <c r="G80" s="157" t="s">
        <v>600</v>
      </c>
      <c r="H80" s="157"/>
      <c r="I80" s="158"/>
      <c r="J80" s="159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</row>
    <row r="81" spans="1:29" ht="15.6" x14ac:dyDescent="0.3">
      <c r="A81" s="151">
        <f t="shared" si="0"/>
        <v>79</v>
      </c>
      <c r="B81" s="152" t="s">
        <v>176</v>
      </c>
      <c r="C81" s="154" t="s">
        <v>177</v>
      </c>
      <c r="D81" s="154" t="str">
        <f t="shared" si="1"/>
        <v>079/LT/SAD/2025</v>
      </c>
      <c r="E81" s="155">
        <v>45658</v>
      </c>
      <c r="F81" s="156" t="s">
        <v>603</v>
      </c>
      <c r="G81" s="157" t="s">
        <v>600</v>
      </c>
      <c r="H81" s="157"/>
      <c r="I81" s="158"/>
      <c r="J81" s="159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</row>
    <row r="82" spans="1:29" ht="15.6" x14ac:dyDescent="0.3">
      <c r="A82" s="151">
        <f t="shared" si="0"/>
        <v>80</v>
      </c>
      <c r="B82" s="166" t="s">
        <v>122</v>
      </c>
      <c r="C82" s="153" t="s">
        <v>179</v>
      </c>
      <c r="D82" s="154" t="str">
        <f t="shared" si="1"/>
        <v>080/LT/SAD/2025</v>
      </c>
      <c r="E82" s="155">
        <v>45770</v>
      </c>
      <c r="F82" s="167" t="s">
        <v>178</v>
      </c>
      <c r="G82" s="157" t="s">
        <v>600</v>
      </c>
      <c r="H82" s="157" t="s">
        <v>382</v>
      </c>
      <c r="I82" s="158"/>
      <c r="J82" s="159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</row>
    <row r="83" spans="1:29" ht="15.6" x14ac:dyDescent="0.3">
      <c r="A83" s="151">
        <f t="shared" si="0"/>
        <v>81</v>
      </c>
      <c r="B83" s="166" t="s">
        <v>44</v>
      </c>
      <c r="C83" s="154" t="s">
        <v>180</v>
      </c>
      <c r="D83" s="154" t="str">
        <f t="shared" si="1"/>
        <v>081/LT/SAD/2025</v>
      </c>
      <c r="E83" s="155">
        <v>45763</v>
      </c>
      <c r="F83" s="167" t="s">
        <v>178</v>
      </c>
      <c r="G83" s="157" t="s">
        <v>600</v>
      </c>
      <c r="H83" s="157"/>
      <c r="I83" s="158"/>
      <c r="J83" s="159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</row>
    <row r="84" spans="1:29" ht="15.6" x14ac:dyDescent="0.3">
      <c r="A84" s="151">
        <f t="shared" si="0"/>
        <v>82</v>
      </c>
      <c r="B84" s="166" t="s">
        <v>181</v>
      </c>
      <c r="C84" s="154" t="s">
        <v>183</v>
      </c>
      <c r="D84" s="154" t="str">
        <f t="shared" si="1"/>
        <v>082/LT/SAD/2025</v>
      </c>
      <c r="E84" s="155">
        <v>45763</v>
      </c>
      <c r="F84" s="167" t="s">
        <v>182</v>
      </c>
      <c r="G84" s="157" t="s">
        <v>600</v>
      </c>
      <c r="H84" s="157"/>
      <c r="I84" s="158"/>
      <c r="J84" s="159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</row>
    <row r="85" spans="1:29" ht="15.6" x14ac:dyDescent="0.3">
      <c r="A85" s="151">
        <f t="shared" si="0"/>
        <v>83</v>
      </c>
      <c r="B85" s="166" t="s">
        <v>184</v>
      </c>
      <c r="C85" s="154" t="s">
        <v>185</v>
      </c>
      <c r="D85" s="154" t="str">
        <f t="shared" si="1"/>
        <v>083/LT/SAD/2025</v>
      </c>
      <c r="E85" s="155">
        <v>45763</v>
      </c>
      <c r="F85" s="167" t="s">
        <v>208</v>
      </c>
      <c r="G85" s="157" t="s">
        <v>600</v>
      </c>
      <c r="H85" s="157" t="s">
        <v>382</v>
      </c>
      <c r="I85" s="158"/>
      <c r="J85" s="159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</row>
    <row r="86" spans="1:29" ht="15.6" x14ac:dyDescent="0.3">
      <c r="A86" s="151">
        <f t="shared" si="0"/>
        <v>84</v>
      </c>
      <c r="B86" s="166" t="s">
        <v>295</v>
      </c>
      <c r="C86" s="154" t="s">
        <v>186</v>
      </c>
      <c r="D86" s="154" t="str">
        <f t="shared" si="1"/>
        <v>084/LT/SAD/2025</v>
      </c>
      <c r="E86" s="155">
        <v>45775</v>
      </c>
      <c r="F86" s="167" t="s">
        <v>607</v>
      </c>
      <c r="G86" s="157" t="s">
        <v>600</v>
      </c>
      <c r="H86" s="157" t="s">
        <v>600</v>
      </c>
      <c r="I86" s="158"/>
      <c r="J86" s="159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</row>
    <row r="87" spans="1:29" ht="15.6" x14ac:dyDescent="0.3">
      <c r="A87" s="151">
        <f t="shared" si="0"/>
        <v>85</v>
      </c>
      <c r="B87" s="166" t="s">
        <v>68</v>
      </c>
      <c r="C87" s="154" t="s">
        <v>187</v>
      </c>
      <c r="D87" s="154" t="str">
        <f t="shared" si="1"/>
        <v>085/LT/SAD/2025</v>
      </c>
      <c r="E87" s="155">
        <v>45782</v>
      </c>
      <c r="F87" s="156" t="s">
        <v>608</v>
      </c>
      <c r="G87" s="157" t="s">
        <v>600</v>
      </c>
      <c r="H87" s="157" t="s">
        <v>600</v>
      </c>
      <c r="I87" s="158"/>
      <c r="J87" s="161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</row>
    <row r="88" spans="1:29" ht="15.6" x14ac:dyDescent="0.3">
      <c r="A88" s="151">
        <f t="shared" si="0"/>
        <v>86</v>
      </c>
      <c r="B88" s="166" t="s">
        <v>188</v>
      </c>
      <c r="C88" s="154" t="s">
        <v>189</v>
      </c>
      <c r="D88" s="154" t="str">
        <f t="shared" si="1"/>
        <v>086/LT/SAD/2025</v>
      </c>
      <c r="E88" s="155">
        <v>45785</v>
      </c>
      <c r="F88" s="167"/>
      <c r="G88" s="157" t="s">
        <v>600</v>
      </c>
      <c r="H88" s="157"/>
      <c r="I88" s="158"/>
      <c r="J88" s="167" t="s">
        <v>193</v>
      </c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</row>
    <row r="89" spans="1:29" ht="27" x14ac:dyDescent="0.3">
      <c r="A89" s="151">
        <f t="shared" si="0"/>
        <v>87</v>
      </c>
      <c r="B89" s="165" t="s">
        <v>609</v>
      </c>
      <c r="C89" s="154" t="s">
        <v>192</v>
      </c>
      <c r="D89" s="154" t="str">
        <f t="shared" si="1"/>
        <v>087/LT/SAD/2025</v>
      </c>
      <c r="E89" s="155">
        <v>45785</v>
      </c>
      <c r="F89" s="156"/>
      <c r="G89" s="157" t="s">
        <v>600</v>
      </c>
      <c r="H89" s="157"/>
      <c r="I89" s="158"/>
      <c r="J89" s="156" t="s">
        <v>610</v>
      </c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</row>
    <row r="90" spans="1:29" ht="66.599999999999994" x14ac:dyDescent="0.3">
      <c r="A90" s="151">
        <f t="shared" si="0"/>
        <v>88</v>
      </c>
      <c r="B90" s="165" t="s">
        <v>609</v>
      </c>
      <c r="C90" s="154" t="s">
        <v>194</v>
      </c>
      <c r="D90" s="154" t="str">
        <f t="shared" si="1"/>
        <v>088/LT/SAD/2025</v>
      </c>
      <c r="E90" s="155">
        <v>45785</v>
      </c>
      <c r="F90" s="156"/>
      <c r="G90" s="157" t="s">
        <v>600</v>
      </c>
      <c r="H90" s="157"/>
      <c r="I90" s="158"/>
      <c r="J90" s="156" t="s">
        <v>191</v>
      </c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</row>
    <row r="91" spans="1:29" ht="15.6" x14ac:dyDescent="0.3">
      <c r="A91" s="151">
        <f t="shared" si="0"/>
        <v>89</v>
      </c>
      <c r="B91" s="165" t="s">
        <v>42</v>
      </c>
      <c r="C91" s="154" t="s">
        <v>195</v>
      </c>
      <c r="D91" s="154" t="str">
        <f t="shared" si="1"/>
        <v>089/LT/SAD/2025</v>
      </c>
      <c r="E91" s="155">
        <v>45796</v>
      </c>
      <c r="F91" s="167"/>
      <c r="G91" s="157" t="s">
        <v>600</v>
      </c>
      <c r="H91" s="157"/>
      <c r="I91" s="158"/>
      <c r="J91" s="167" t="s">
        <v>193</v>
      </c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</row>
    <row r="92" spans="1:29" ht="15.6" x14ac:dyDescent="0.3">
      <c r="A92" s="151">
        <f t="shared" si="0"/>
        <v>90</v>
      </c>
      <c r="B92" s="165" t="s">
        <v>164</v>
      </c>
      <c r="C92" s="154" t="s">
        <v>196</v>
      </c>
      <c r="D92" s="154" t="str">
        <f t="shared" si="1"/>
        <v>090/LT/SAD/2025</v>
      </c>
      <c r="E92" s="155">
        <v>45796</v>
      </c>
      <c r="F92" s="167"/>
      <c r="G92" s="157" t="s">
        <v>600</v>
      </c>
      <c r="H92" s="157"/>
      <c r="I92" s="158"/>
      <c r="J92" s="167" t="s">
        <v>193</v>
      </c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</row>
    <row r="93" spans="1:29" ht="15.6" x14ac:dyDescent="0.3">
      <c r="A93" s="151">
        <f t="shared" si="0"/>
        <v>91</v>
      </c>
      <c r="B93" s="165" t="s">
        <v>32</v>
      </c>
      <c r="C93" s="154" t="s">
        <v>198</v>
      </c>
      <c r="D93" s="154" t="str">
        <f t="shared" si="1"/>
        <v>091/LT/SAD/2025</v>
      </c>
      <c r="E93" s="155">
        <v>45796</v>
      </c>
      <c r="F93" s="167"/>
      <c r="G93" s="157" t="s">
        <v>600</v>
      </c>
      <c r="H93" s="157"/>
      <c r="I93" s="158"/>
      <c r="J93" s="167" t="s">
        <v>193</v>
      </c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</row>
    <row r="94" spans="1:29" ht="15.6" x14ac:dyDescent="0.3">
      <c r="A94" s="151">
        <f t="shared" si="0"/>
        <v>92</v>
      </c>
      <c r="B94" s="165" t="s">
        <v>162</v>
      </c>
      <c r="C94" s="154" t="s">
        <v>199</v>
      </c>
      <c r="D94" s="154" t="str">
        <f t="shared" si="1"/>
        <v>092/LT/SAD/2025</v>
      </c>
      <c r="E94" s="155">
        <v>45796</v>
      </c>
      <c r="F94" s="167"/>
      <c r="G94" s="157" t="s">
        <v>600</v>
      </c>
      <c r="H94" s="157"/>
      <c r="I94" s="158"/>
      <c r="J94" s="167" t="s">
        <v>197</v>
      </c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</row>
    <row r="95" spans="1:29" ht="15.6" x14ac:dyDescent="0.3">
      <c r="A95" s="151">
        <f t="shared" si="0"/>
        <v>93</v>
      </c>
      <c r="B95" s="165" t="s">
        <v>611</v>
      </c>
      <c r="C95" s="154" t="s">
        <v>201</v>
      </c>
      <c r="D95" s="154" t="str">
        <f t="shared" si="1"/>
        <v>093/LT/SAD/2025</v>
      </c>
      <c r="E95" s="155">
        <v>45806</v>
      </c>
      <c r="F95" s="167"/>
      <c r="G95" s="157" t="s">
        <v>600</v>
      </c>
      <c r="H95" s="157"/>
      <c r="I95" s="158"/>
      <c r="J95" s="167" t="s">
        <v>612</v>
      </c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</row>
    <row r="96" spans="1:29" ht="40.200000000000003" x14ac:dyDescent="0.3">
      <c r="A96" s="151">
        <f t="shared" si="0"/>
        <v>94</v>
      </c>
      <c r="B96" s="166" t="s">
        <v>188</v>
      </c>
      <c r="C96" s="154" t="s">
        <v>202</v>
      </c>
      <c r="D96" s="154" t="str">
        <f t="shared" si="1"/>
        <v>094/LT/SAD/2025</v>
      </c>
      <c r="E96" s="155">
        <v>45806</v>
      </c>
      <c r="F96" s="167"/>
      <c r="G96" s="157" t="s">
        <v>600</v>
      </c>
      <c r="H96" s="157"/>
      <c r="I96" s="158"/>
      <c r="J96" s="167" t="s">
        <v>200</v>
      </c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</row>
    <row r="97" spans="1:29" ht="15.6" x14ac:dyDescent="0.3">
      <c r="A97" s="151" t="str">
        <f t="shared" si="0"/>
        <v/>
      </c>
      <c r="B97" s="165"/>
      <c r="C97" s="168"/>
      <c r="D97" s="168"/>
      <c r="E97" s="155"/>
      <c r="F97" s="167"/>
      <c r="G97" s="157"/>
      <c r="H97" s="157"/>
      <c r="I97" s="158"/>
      <c r="J97" s="159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</row>
    <row r="98" spans="1:29" ht="15.6" x14ac:dyDescent="0.3">
      <c r="A98" s="151" t="str">
        <f t="shared" si="0"/>
        <v/>
      </c>
      <c r="B98" s="165"/>
      <c r="C98" s="168"/>
      <c r="D98" s="168"/>
      <c r="E98" s="155"/>
      <c r="F98" s="167"/>
      <c r="G98" s="157"/>
      <c r="H98" s="157"/>
      <c r="I98" s="158"/>
      <c r="J98" s="159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</row>
    <row r="99" spans="1:29" ht="15.6" x14ac:dyDescent="0.3">
      <c r="A99" s="151" t="str">
        <f t="shared" si="0"/>
        <v/>
      </c>
      <c r="B99" s="165"/>
      <c r="C99" s="168"/>
      <c r="D99" s="168"/>
      <c r="E99" s="155"/>
      <c r="F99" s="167"/>
      <c r="G99" s="157"/>
      <c r="H99" s="157"/>
      <c r="I99" s="158"/>
      <c r="J99" s="159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</row>
    <row r="100" spans="1:29" ht="15.6" x14ac:dyDescent="0.3">
      <c r="A100" s="151" t="str">
        <f t="shared" si="0"/>
        <v/>
      </c>
      <c r="B100" s="165"/>
      <c r="C100" s="168"/>
      <c r="D100" s="168"/>
      <c r="E100" s="155"/>
      <c r="F100" s="167"/>
      <c r="G100" s="157"/>
      <c r="H100" s="157"/>
      <c r="I100" s="158"/>
      <c r="J100" s="159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</row>
    <row r="101" spans="1:29" ht="15.6" x14ac:dyDescent="0.3">
      <c r="A101" s="151" t="str">
        <f t="shared" si="0"/>
        <v/>
      </c>
      <c r="B101" s="165"/>
      <c r="C101" s="168"/>
      <c r="D101" s="168"/>
      <c r="E101" s="155"/>
      <c r="F101" s="167"/>
      <c r="G101" s="157"/>
      <c r="H101" s="157"/>
      <c r="I101" s="158"/>
      <c r="J101" s="159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</row>
    <row r="102" spans="1:29" ht="15.6" x14ac:dyDescent="0.3">
      <c r="A102" s="151" t="str">
        <f t="shared" si="0"/>
        <v/>
      </c>
      <c r="B102" s="165"/>
      <c r="C102" s="168"/>
      <c r="D102" s="168"/>
      <c r="E102" s="155"/>
      <c r="F102" s="167"/>
      <c r="G102" s="157"/>
      <c r="H102" s="157"/>
      <c r="I102" s="158"/>
      <c r="J102" s="159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</row>
    <row r="103" spans="1:29" ht="13.2" x14ac:dyDescent="0.25">
      <c r="A103" s="151" t="str">
        <f t="shared" si="0"/>
        <v/>
      </c>
      <c r="B103" s="169"/>
      <c r="C103" s="168"/>
      <c r="D103" s="168"/>
      <c r="E103" s="170"/>
      <c r="F103" s="167"/>
      <c r="G103" s="157"/>
      <c r="H103" s="157"/>
      <c r="I103" s="158"/>
      <c r="J103" s="159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</row>
    <row r="104" spans="1:29" ht="13.2" x14ac:dyDescent="0.25">
      <c r="A104" s="151" t="str">
        <f t="shared" si="0"/>
        <v/>
      </c>
      <c r="B104" s="169"/>
      <c r="C104" s="168"/>
      <c r="D104" s="168"/>
      <c r="E104" s="170"/>
      <c r="F104" s="167"/>
      <c r="G104" s="157"/>
      <c r="H104" s="157"/>
      <c r="I104" s="158"/>
      <c r="J104" s="159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</row>
    <row r="105" spans="1:29" ht="13.2" x14ac:dyDescent="0.25">
      <c r="A105" s="151" t="str">
        <f t="shared" si="0"/>
        <v/>
      </c>
      <c r="B105" s="169"/>
      <c r="C105" s="168"/>
      <c r="D105" s="168"/>
      <c r="E105" s="170"/>
      <c r="F105" s="167"/>
      <c r="G105" s="157"/>
      <c r="H105" s="157"/>
      <c r="I105" s="158"/>
      <c r="J105" s="159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</row>
    <row r="106" spans="1:29" ht="13.2" x14ac:dyDescent="0.25">
      <c r="A106" s="151" t="str">
        <f t="shared" si="0"/>
        <v/>
      </c>
      <c r="B106" s="169"/>
      <c r="C106" s="168"/>
      <c r="D106" s="168"/>
      <c r="E106" s="170"/>
      <c r="F106" s="167"/>
      <c r="G106" s="157"/>
      <c r="H106" s="157"/>
      <c r="I106" s="158"/>
      <c r="J106" s="159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</row>
    <row r="107" spans="1:29" ht="13.2" x14ac:dyDescent="0.25">
      <c r="A107" s="151" t="str">
        <f t="shared" si="0"/>
        <v/>
      </c>
      <c r="B107" s="169"/>
      <c r="C107" s="168"/>
      <c r="D107" s="168"/>
      <c r="E107" s="170"/>
      <c r="F107" s="167"/>
      <c r="G107" s="157"/>
      <c r="H107" s="157"/>
      <c r="I107" s="158"/>
      <c r="J107" s="159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</row>
    <row r="108" spans="1:29" ht="13.2" x14ac:dyDescent="0.25">
      <c r="A108" s="151" t="str">
        <f t="shared" si="0"/>
        <v/>
      </c>
      <c r="B108" s="169"/>
      <c r="C108" s="168"/>
      <c r="D108" s="168"/>
      <c r="E108" s="170"/>
      <c r="F108" s="167"/>
      <c r="G108" s="157"/>
      <c r="H108" s="157"/>
      <c r="I108" s="158"/>
      <c r="J108" s="159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</row>
    <row r="109" spans="1:29" ht="13.2" x14ac:dyDescent="0.25">
      <c r="A109" s="151" t="str">
        <f t="shared" si="0"/>
        <v/>
      </c>
      <c r="B109" s="169"/>
      <c r="C109" s="168"/>
      <c r="D109" s="168"/>
      <c r="E109" s="170"/>
      <c r="F109" s="167"/>
      <c r="G109" s="157"/>
      <c r="H109" s="157"/>
      <c r="I109" s="158"/>
      <c r="J109" s="159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</row>
    <row r="110" spans="1:29" ht="13.2" x14ac:dyDescent="0.25">
      <c r="A110" s="151" t="str">
        <f t="shared" si="0"/>
        <v/>
      </c>
      <c r="B110" s="169"/>
      <c r="C110" s="168"/>
      <c r="D110" s="168"/>
      <c r="E110" s="170"/>
      <c r="F110" s="167"/>
      <c r="G110" s="157"/>
      <c r="H110" s="157"/>
      <c r="I110" s="158"/>
      <c r="J110" s="159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</row>
    <row r="111" spans="1:29" ht="13.2" x14ac:dyDescent="0.25">
      <c r="A111" s="151" t="str">
        <f t="shared" si="0"/>
        <v/>
      </c>
      <c r="B111" s="169"/>
      <c r="C111" s="168"/>
      <c r="D111" s="168"/>
      <c r="E111" s="170"/>
      <c r="F111" s="167"/>
      <c r="G111" s="157"/>
      <c r="H111" s="157"/>
      <c r="I111" s="158"/>
      <c r="J111" s="159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</row>
    <row r="112" spans="1:29" ht="13.2" x14ac:dyDescent="0.25">
      <c r="A112" s="151" t="str">
        <f t="shared" si="0"/>
        <v/>
      </c>
      <c r="B112" s="169"/>
      <c r="C112" s="168"/>
      <c r="D112" s="168"/>
      <c r="E112" s="170"/>
      <c r="F112" s="167"/>
      <c r="G112" s="157"/>
      <c r="H112" s="157"/>
      <c r="I112" s="158"/>
      <c r="J112" s="159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</row>
    <row r="113" spans="1:29" ht="13.2" x14ac:dyDescent="0.25">
      <c r="A113" s="151" t="str">
        <f t="shared" si="0"/>
        <v/>
      </c>
      <c r="B113" s="169"/>
      <c r="C113" s="168"/>
      <c r="D113" s="168"/>
      <c r="E113" s="170"/>
      <c r="F113" s="167"/>
      <c r="G113" s="157"/>
      <c r="H113" s="157"/>
      <c r="I113" s="158"/>
      <c r="J113" s="159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</row>
    <row r="114" spans="1:29" ht="13.2" x14ac:dyDescent="0.25">
      <c r="A114" s="151" t="str">
        <f t="shared" si="0"/>
        <v/>
      </c>
      <c r="B114" s="169"/>
      <c r="C114" s="168"/>
      <c r="D114" s="168"/>
      <c r="E114" s="170"/>
      <c r="F114" s="167"/>
      <c r="G114" s="157"/>
      <c r="H114" s="157"/>
      <c r="I114" s="158"/>
      <c r="J114" s="159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</row>
    <row r="115" spans="1:29" ht="13.2" x14ac:dyDescent="0.25">
      <c r="A115" s="151" t="str">
        <f t="shared" si="0"/>
        <v/>
      </c>
      <c r="B115" s="169"/>
      <c r="C115" s="168"/>
      <c r="D115" s="168"/>
      <c r="E115" s="170"/>
      <c r="F115" s="167"/>
      <c r="G115" s="157"/>
      <c r="H115" s="157"/>
      <c r="I115" s="158"/>
      <c r="J115" s="159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</row>
    <row r="116" spans="1:29" ht="13.2" x14ac:dyDescent="0.25">
      <c r="A116" s="151" t="str">
        <f t="shared" si="0"/>
        <v/>
      </c>
      <c r="B116" s="169"/>
      <c r="C116" s="168"/>
      <c r="D116" s="168"/>
      <c r="E116" s="170"/>
      <c r="F116" s="167"/>
      <c r="G116" s="157"/>
      <c r="H116" s="157"/>
      <c r="I116" s="158"/>
      <c r="J116" s="159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</row>
    <row r="117" spans="1:29" ht="13.2" x14ac:dyDescent="0.25">
      <c r="A117" s="151" t="str">
        <f t="shared" si="0"/>
        <v/>
      </c>
      <c r="B117" s="169"/>
      <c r="C117" s="168"/>
      <c r="D117" s="168"/>
      <c r="E117" s="170"/>
      <c r="F117" s="167"/>
      <c r="G117" s="157"/>
      <c r="H117" s="157"/>
      <c r="I117" s="158"/>
      <c r="J117" s="159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</row>
    <row r="118" spans="1:29" ht="13.2" x14ac:dyDescent="0.25">
      <c r="A118" s="151" t="str">
        <f t="shared" si="0"/>
        <v/>
      </c>
      <c r="B118" s="169"/>
      <c r="C118" s="168"/>
      <c r="D118" s="168"/>
      <c r="E118" s="170"/>
      <c r="F118" s="167"/>
      <c r="G118" s="157"/>
      <c r="H118" s="157"/>
      <c r="I118" s="158"/>
      <c r="J118" s="159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</row>
    <row r="119" spans="1:29" ht="13.2" x14ac:dyDescent="0.25">
      <c r="A119" s="151" t="str">
        <f t="shared" si="0"/>
        <v/>
      </c>
      <c r="B119" s="169"/>
      <c r="C119" s="168"/>
      <c r="D119" s="168"/>
      <c r="E119" s="170"/>
      <c r="F119" s="167"/>
      <c r="G119" s="157"/>
      <c r="H119" s="157"/>
      <c r="I119" s="158"/>
      <c r="J119" s="159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</row>
    <row r="120" spans="1:29" ht="13.2" x14ac:dyDescent="0.25">
      <c r="A120" s="151" t="str">
        <f t="shared" si="0"/>
        <v/>
      </c>
      <c r="B120" s="169"/>
      <c r="C120" s="168"/>
      <c r="D120" s="168"/>
      <c r="E120" s="170"/>
      <c r="F120" s="167"/>
      <c r="G120" s="157"/>
      <c r="H120" s="157"/>
      <c r="I120" s="158"/>
      <c r="J120" s="159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</row>
    <row r="121" spans="1:29" ht="13.2" x14ac:dyDescent="0.25">
      <c r="A121" s="151" t="str">
        <f t="shared" si="0"/>
        <v/>
      </c>
      <c r="B121" s="169"/>
      <c r="C121" s="168"/>
      <c r="D121" s="168"/>
      <c r="E121" s="170"/>
      <c r="F121" s="167"/>
      <c r="G121" s="157"/>
      <c r="H121" s="157"/>
      <c r="I121" s="158"/>
      <c r="J121" s="159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</row>
    <row r="122" spans="1:29" ht="13.2" x14ac:dyDescent="0.25">
      <c r="A122" s="151" t="str">
        <f t="shared" si="0"/>
        <v/>
      </c>
      <c r="B122" s="169"/>
      <c r="C122" s="168"/>
      <c r="D122" s="168"/>
      <c r="E122" s="170"/>
      <c r="F122" s="167"/>
      <c r="G122" s="157"/>
      <c r="H122" s="157"/>
      <c r="I122" s="158"/>
      <c r="J122" s="159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</row>
    <row r="123" spans="1:29" ht="13.2" x14ac:dyDescent="0.25">
      <c r="A123" s="151" t="str">
        <f t="shared" si="0"/>
        <v/>
      </c>
      <c r="B123" s="169"/>
      <c r="C123" s="168"/>
      <c r="D123" s="168"/>
      <c r="E123" s="170"/>
      <c r="F123" s="167"/>
      <c r="G123" s="157"/>
      <c r="H123" s="157"/>
      <c r="I123" s="158"/>
      <c r="J123" s="159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</row>
    <row r="124" spans="1:29" ht="13.2" x14ac:dyDescent="0.25">
      <c r="A124" s="151" t="str">
        <f t="shared" si="0"/>
        <v/>
      </c>
      <c r="B124" s="169"/>
      <c r="C124" s="168"/>
      <c r="D124" s="168"/>
      <c r="E124" s="170"/>
      <c r="F124" s="167"/>
      <c r="G124" s="157"/>
      <c r="H124" s="157"/>
      <c r="I124" s="158"/>
      <c r="J124" s="159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</row>
    <row r="125" spans="1:29" ht="13.2" x14ac:dyDescent="0.25">
      <c r="A125" s="151" t="str">
        <f t="shared" si="0"/>
        <v/>
      </c>
      <c r="B125" s="169"/>
      <c r="C125" s="168"/>
      <c r="D125" s="168"/>
      <c r="E125" s="170"/>
      <c r="F125" s="167"/>
      <c r="G125" s="157"/>
      <c r="H125" s="157"/>
      <c r="I125" s="158"/>
      <c r="J125" s="159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</row>
    <row r="126" spans="1:29" ht="13.2" x14ac:dyDescent="0.25">
      <c r="A126" s="151" t="str">
        <f t="shared" si="0"/>
        <v/>
      </c>
      <c r="B126" s="169"/>
      <c r="C126" s="168"/>
      <c r="D126" s="168"/>
      <c r="E126" s="170"/>
      <c r="F126" s="167"/>
      <c r="G126" s="157"/>
      <c r="H126" s="157"/>
      <c r="I126" s="158"/>
      <c r="J126" s="159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</row>
    <row r="127" spans="1:29" ht="13.2" x14ac:dyDescent="0.25">
      <c r="A127" s="151" t="str">
        <f t="shared" si="0"/>
        <v/>
      </c>
      <c r="B127" s="169"/>
      <c r="C127" s="168"/>
      <c r="D127" s="168"/>
      <c r="E127" s="170"/>
      <c r="F127" s="167"/>
      <c r="G127" s="157"/>
      <c r="H127" s="157"/>
      <c r="I127" s="158"/>
      <c r="J127" s="159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</row>
    <row r="128" spans="1:29" ht="13.2" x14ac:dyDescent="0.25">
      <c r="A128" s="151" t="str">
        <f t="shared" si="0"/>
        <v/>
      </c>
      <c r="B128" s="169"/>
      <c r="C128" s="168"/>
      <c r="D128" s="168"/>
      <c r="E128" s="170"/>
      <c r="F128" s="167"/>
      <c r="G128" s="157"/>
      <c r="H128" s="157"/>
      <c r="I128" s="158"/>
      <c r="J128" s="159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</row>
    <row r="129" spans="1:29" ht="13.2" x14ac:dyDescent="0.25">
      <c r="A129" s="151" t="str">
        <f t="shared" si="0"/>
        <v/>
      </c>
      <c r="B129" s="169"/>
      <c r="C129" s="168"/>
      <c r="D129" s="168"/>
      <c r="E129" s="170"/>
      <c r="F129" s="167"/>
      <c r="G129" s="157"/>
      <c r="H129" s="157"/>
      <c r="I129" s="158"/>
      <c r="J129" s="159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</row>
    <row r="130" spans="1:29" ht="13.2" x14ac:dyDescent="0.25">
      <c r="A130" s="151" t="str">
        <f t="shared" si="0"/>
        <v/>
      </c>
      <c r="B130" s="169"/>
      <c r="C130" s="168"/>
      <c r="D130" s="168"/>
      <c r="E130" s="170"/>
      <c r="F130" s="167"/>
      <c r="G130" s="157"/>
      <c r="H130" s="157"/>
      <c r="I130" s="158"/>
      <c r="J130" s="159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</row>
    <row r="131" spans="1:29" ht="13.2" x14ac:dyDescent="0.25">
      <c r="A131" s="151" t="str">
        <f t="shared" si="0"/>
        <v/>
      </c>
      <c r="B131" s="169"/>
      <c r="C131" s="168"/>
      <c r="D131" s="168"/>
      <c r="E131" s="170"/>
      <c r="F131" s="167"/>
      <c r="G131" s="157"/>
      <c r="H131" s="157"/>
      <c r="I131" s="158"/>
      <c r="J131" s="159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</row>
    <row r="132" spans="1:29" ht="13.2" x14ac:dyDescent="0.25">
      <c r="A132" s="151" t="str">
        <f t="shared" si="0"/>
        <v/>
      </c>
      <c r="B132" s="169"/>
      <c r="C132" s="168"/>
      <c r="D132" s="168"/>
      <c r="E132" s="170"/>
      <c r="F132" s="167"/>
      <c r="G132" s="157"/>
      <c r="H132" s="157"/>
      <c r="I132" s="158"/>
      <c r="J132" s="159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</row>
    <row r="133" spans="1:29" ht="13.2" x14ac:dyDescent="0.25">
      <c r="A133" s="151" t="str">
        <f t="shared" si="0"/>
        <v/>
      </c>
      <c r="B133" s="169"/>
      <c r="C133" s="168"/>
      <c r="D133" s="168"/>
      <c r="E133" s="170"/>
      <c r="F133" s="167"/>
      <c r="G133" s="157"/>
      <c r="H133" s="157"/>
      <c r="I133" s="158"/>
      <c r="J133" s="159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</row>
    <row r="134" spans="1:29" ht="13.2" x14ac:dyDescent="0.25">
      <c r="A134" s="151" t="str">
        <f t="shared" si="0"/>
        <v/>
      </c>
      <c r="B134" s="169"/>
      <c r="C134" s="168"/>
      <c r="D134" s="168"/>
      <c r="E134" s="170"/>
      <c r="F134" s="167"/>
      <c r="G134" s="157"/>
      <c r="H134" s="157"/>
      <c r="I134" s="158"/>
      <c r="J134" s="159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</row>
    <row r="135" spans="1:29" ht="13.2" x14ac:dyDescent="0.25">
      <c r="A135" s="151" t="str">
        <f t="shared" si="0"/>
        <v/>
      </c>
      <c r="B135" s="169"/>
      <c r="C135" s="168"/>
      <c r="D135" s="168"/>
      <c r="E135" s="170"/>
      <c r="F135" s="167"/>
      <c r="G135" s="157"/>
      <c r="H135" s="157"/>
      <c r="I135" s="158"/>
      <c r="J135" s="159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</row>
    <row r="136" spans="1:29" ht="13.2" x14ac:dyDescent="0.25">
      <c r="A136" s="151" t="str">
        <f t="shared" si="0"/>
        <v/>
      </c>
      <c r="B136" s="169"/>
      <c r="C136" s="168"/>
      <c r="D136" s="168"/>
      <c r="E136" s="170"/>
      <c r="F136" s="167"/>
      <c r="G136" s="157"/>
      <c r="H136" s="157"/>
      <c r="I136" s="158"/>
      <c r="J136" s="159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</row>
    <row r="137" spans="1:29" ht="13.2" x14ac:dyDescent="0.25">
      <c r="A137" s="151" t="str">
        <f t="shared" si="0"/>
        <v/>
      </c>
      <c r="B137" s="169"/>
      <c r="C137" s="168"/>
      <c r="D137" s="168"/>
      <c r="E137" s="170"/>
      <c r="F137" s="167"/>
      <c r="G137" s="157"/>
      <c r="H137" s="157"/>
      <c r="I137" s="158"/>
      <c r="J137" s="159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</row>
    <row r="138" spans="1:29" ht="13.2" x14ac:dyDescent="0.25">
      <c r="A138" s="151" t="str">
        <f t="shared" si="0"/>
        <v/>
      </c>
      <c r="B138" s="169"/>
      <c r="C138" s="168"/>
      <c r="D138" s="168"/>
      <c r="E138" s="170"/>
      <c r="F138" s="167"/>
      <c r="G138" s="157"/>
      <c r="H138" s="157"/>
      <c r="I138" s="158"/>
      <c r="J138" s="159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</row>
    <row r="139" spans="1:29" ht="13.2" x14ac:dyDescent="0.25">
      <c r="A139" s="151" t="str">
        <f t="shared" si="0"/>
        <v/>
      </c>
      <c r="B139" s="169"/>
      <c r="C139" s="168"/>
      <c r="D139" s="168"/>
      <c r="E139" s="170"/>
      <c r="F139" s="167"/>
      <c r="G139" s="157"/>
      <c r="H139" s="157"/>
      <c r="I139" s="158"/>
      <c r="J139" s="159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</row>
    <row r="140" spans="1:29" ht="13.2" x14ac:dyDescent="0.25">
      <c r="A140" s="151" t="str">
        <f t="shared" si="0"/>
        <v/>
      </c>
      <c r="B140" s="169"/>
      <c r="C140" s="168"/>
      <c r="D140" s="168"/>
      <c r="E140" s="170"/>
      <c r="F140" s="167"/>
      <c r="G140" s="157"/>
      <c r="H140" s="157"/>
      <c r="I140" s="158"/>
      <c r="J140" s="159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</row>
    <row r="141" spans="1:29" ht="13.2" x14ac:dyDescent="0.25">
      <c r="A141" s="151" t="str">
        <f t="shared" si="0"/>
        <v/>
      </c>
      <c r="B141" s="169"/>
      <c r="C141" s="168"/>
      <c r="D141" s="168"/>
      <c r="E141" s="170"/>
      <c r="F141" s="167"/>
      <c r="G141" s="157"/>
      <c r="H141" s="157"/>
      <c r="I141" s="158"/>
      <c r="J141" s="159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</row>
    <row r="142" spans="1:29" ht="13.2" x14ac:dyDescent="0.25">
      <c r="A142" s="151" t="str">
        <f t="shared" si="0"/>
        <v/>
      </c>
      <c r="B142" s="169"/>
      <c r="C142" s="168"/>
      <c r="D142" s="168"/>
      <c r="E142" s="170"/>
      <c r="F142" s="167"/>
      <c r="G142" s="157"/>
      <c r="H142" s="157"/>
      <c r="I142" s="158"/>
      <c r="J142" s="159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</row>
    <row r="143" spans="1:29" ht="13.2" x14ac:dyDescent="0.25">
      <c r="A143" s="151" t="str">
        <f t="shared" si="0"/>
        <v/>
      </c>
      <c r="B143" s="169"/>
      <c r="C143" s="168"/>
      <c r="D143" s="168"/>
      <c r="E143" s="170"/>
      <c r="F143" s="167"/>
      <c r="G143" s="157"/>
      <c r="H143" s="157"/>
      <c r="I143" s="158"/>
      <c r="J143" s="159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</row>
    <row r="144" spans="1:29" ht="13.2" x14ac:dyDescent="0.25">
      <c r="A144" s="151" t="str">
        <f t="shared" si="0"/>
        <v/>
      </c>
      <c r="B144" s="169"/>
      <c r="C144" s="168"/>
      <c r="D144" s="168"/>
      <c r="E144" s="170"/>
      <c r="F144" s="167"/>
      <c r="G144" s="157"/>
      <c r="H144" s="157"/>
      <c r="I144" s="158"/>
      <c r="J144" s="159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</row>
    <row r="145" spans="1:29" ht="13.2" x14ac:dyDescent="0.25">
      <c r="A145" s="151" t="str">
        <f t="shared" si="0"/>
        <v/>
      </c>
      <c r="B145" s="169"/>
      <c r="C145" s="168"/>
      <c r="D145" s="168"/>
      <c r="E145" s="170"/>
      <c r="F145" s="167"/>
      <c r="G145" s="157"/>
      <c r="H145" s="157"/>
      <c r="I145" s="158"/>
      <c r="J145" s="159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</row>
    <row r="146" spans="1:29" ht="13.2" x14ac:dyDescent="0.25">
      <c r="A146" s="151" t="str">
        <f t="shared" si="0"/>
        <v/>
      </c>
      <c r="B146" s="169"/>
      <c r="C146" s="168"/>
      <c r="D146" s="168"/>
      <c r="E146" s="170"/>
      <c r="F146" s="167"/>
      <c r="G146" s="157"/>
      <c r="H146" s="157"/>
      <c r="I146" s="158"/>
      <c r="J146" s="159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</row>
    <row r="147" spans="1:29" ht="13.2" x14ac:dyDescent="0.25">
      <c r="A147" s="151" t="str">
        <f t="shared" si="0"/>
        <v/>
      </c>
      <c r="B147" s="169"/>
      <c r="C147" s="168"/>
      <c r="D147" s="168"/>
      <c r="E147" s="170"/>
      <c r="F147" s="167"/>
      <c r="G147" s="157"/>
      <c r="H147" s="157"/>
      <c r="I147" s="158"/>
      <c r="J147" s="159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</row>
    <row r="148" spans="1:29" ht="13.2" x14ac:dyDescent="0.25">
      <c r="A148" s="151" t="str">
        <f t="shared" si="0"/>
        <v/>
      </c>
      <c r="B148" s="169"/>
      <c r="C148" s="168"/>
      <c r="D148" s="168"/>
      <c r="E148" s="170"/>
      <c r="F148" s="167"/>
      <c r="G148" s="157"/>
      <c r="H148" s="157"/>
      <c r="I148" s="158"/>
      <c r="J148" s="159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</row>
    <row r="149" spans="1:29" ht="13.2" x14ac:dyDescent="0.25">
      <c r="A149" s="151" t="str">
        <f t="shared" si="0"/>
        <v/>
      </c>
      <c r="B149" s="169"/>
      <c r="C149" s="168"/>
      <c r="D149" s="168"/>
      <c r="E149" s="170"/>
      <c r="F149" s="167"/>
      <c r="G149" s="157"/>
      <c r="H149" s="157"/>
      <c r="I149" s="158"/>
      <c r="J149" s="159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</row>
    <row r="150" spans="1:29" ht="13.2" x14ac:dyDescent="0.25">
      <c r="A150" s="151" t="str">
        <f t="shared" si="0"/>
        <v/>
      </c>
      <c r="B150" s="169"/>
      <c r="C150" s="168"/>
      <c r="D150" s="168"/>
      <c r="E150" s="170"/>
      <c r="F150" s="167"/>
      <c r="G150" s="157"/>
      <c r="H150" s="157"/>
      <c r="I150" s="158"/>
      <c r="J150" s="159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</row>
    <row r="151" spans="1:29" ht="13.2" x14ac:dyDescent="0.25">
      <c r="A151" s="151" t="str">
        <f t="shared" si="0"/>
        <v/>
      </c>
      <c r="B151" s="169"/>
      <c r="C151" s="168"/>
      <c r="D151" s="168"/>
      <c r="E151" s="170"/>
      <c r="F151" s="167"/>
      <c r="G151" s="157"/>
      <c r="H151" s="157"/>
      <c r="I151" s="158"/>
      <c r="J151" s="159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</row>
    <row r="152" spans="1:29" ht="13.2" x14ac:dyDescent="0.25">
      <c r="A152" s="151" t="str">
        <f t="shared" si="0"/>
        <v/>
      </c>
      <c r="B152" s="169"/>
      <c r="C152" s="168"/>
      <c r="D152" s="168"/>
      <c r="E152" s="170"/>
      <c r="F152" s="167"/>
      <c r="G152" s="157"/>
      <c r="H152" s="157"/>
      <c r="I152" s="158"/>
      <c r="J152" s="159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</row>
    <row r="153" spans="1:29" ht="13.2" x14ac:dyDescent="0.25">
      <c r="A153" s="151" t="str">
        <f t="shared" si="0"/>
        <v/>
      </c>
      <c r="B153" s="169"/>
      <c r="C153" s="168"/>
      <c r="D153" s="168"/>
      <c r="E153" s="170"/>
      <c r="F153" s="167"/>
      <c r="G153" s="157"/>
      <c r="H153" s="157"/>
      <c r="I153" s="158"/>
      <c r="J153" s="159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</row>
    <row r="154" spans="1:29" ht="13.2" x14ac:dyDescent="0.25">
      <c r="A154" s="151" t="str">
        <f t="shared" si="0"/>
        <v/>
      </c>
      <c r="B154" s="169"/>
      <c r="C154" s="168"/>
      <c r="D154" s="168"/>
      <c r="E154" s="170"/>
      <c r="F154" s="167"/>
      <c r="G154" s="157"/>
      <c r="H154" s="157"/>
      <c r="I154" s="158"/>
      <c r="J154" s="159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</row>
    <row r="155" spans="1:29" ht="13.2" x14ac:dyDescent="0.25">
      <c r="A155" s="151" t="str">
        <f t="shared" si="0"/>
        <v/>
      </c>
      <c r="B155" s="169"/>
      <c r="C155" s="168"/>
      <c r="D155" s="168"/>
      <c r="E155" s="170"/>
      <c r="F155" s="167"/>
      <c r="G155" s="157"/>
      <c r="H155" s="157"/>
      <c r="I155" s="158"/>
      <c r="J155" s="159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</row>
    <row r="156" spans="1:29" ht="13.2" x14ac:dyDescent="0.25">
      <c r="A156" s="151" t="str">
        <f t="shared" si="0"/>
        <v/>
      </c>
      <c r="B156" s="169"/>
      <c r="C156" s="168"/>
      <c r="D156" s="168"/>
      <c r="E156" s="170"/>
      <c r="F156" s="167"/>
      <c r="G156" s="157"/>
      <c r="H156" s="157"/>
      <c r="I156" s="158"/>
      <c r="J156" s="159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</row>
    <row r="157" spans="1:29" ht="13.2" x14ac:dyDescent="0.25">
      <c r="A157" s="151" t="str">
        <f t="shared" si="0"/>
        <v/>
      </c>
      <c r="B157" s="169"/>
      <c r="C157" s="168"/>
      <c r="D157" s="168"/>
      <c r="E157" s="170"/>
      <c r="F157" s="167"/>
      <c r="G157" s="157"/>
      <c r="H157" s="157"/>
      <c r="I157" s="158"/>
      <c r="J157" s="159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</row>
    <row r="158" spans="1:29" ht="13.2" x14ac:dyDescent="0.25">
      <c r="A158" s="151" t="str">
        <f t="shared" si="0"/>
        <v/>
      </c>
      <c r="B158" s="169"/>
      <c r="C158" s="168"/>
      <c r="D158" s="168"/>
      <c r="E158" s="170"/>
      <c r="F158" s="167"/>
      <c r="G158" s="157"/>
      <c r="H158" s="157"/>
      <c r="I158" s="158"/>
      <c r="J158" s="159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</row>
    <row r="159" spans="1:29" ht="13.2" x14ac:dyDescent="0.25">
      <c r="A159" s="151" t="str">
        <f t="shared" si="0"/>
        <v/>
      </c>
      <c r="B159" s="169"/>
      <c r="C159" s="168"/>
      <c r="D159" s="168"/>
      <c r="E159" s="170"/>
      <c r="F159" s="167"/>
      <c r="G159" s="157"/>
      <c r="H159" s="157"/>
      <c r="I159" s="158"/>
      <c r="J159" s="159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</row>
    <row r="160" spans="1:29" ht="13.2" x14ac:dyDescent="0.25">
      <c r="A160" s="151" t="str">
        <f t="shared" si="0"/>
        <v/>
      </c>
      <c r="B160" s="169"/>
      <c r="C160" s="168"/>
      <c r="D160" s="168"/>
      <c r="E160" s="170"/>
      <c r="F160" s="167"/>
      <c r="G160" s="157"/>
      <c r="H160" s="157"/>
      <c r="I160" s="158"/>
      <c r="J160" s="159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</row>
    <row r="161" spans="1:29" ht="13.2" x14ac:dyDescent="0.25">
      <c r="A161" s="151" t="str">
        <f t="shared" si="0"/>
        <v/>
      </c>
      <c r="B161" s="169"/>
      <c r="C161" s="168"/>
      <c r="D161" s="168"/>
      <c r="E161" s="170"/>
      <c r="F161" s="167"/>
      <c r="G161" s="157"/>
      <c r="H161" s="157"/>
      <c r="I161" s="158"/>
      <c r="J161" s="159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</row>
    <row r="162" spans="1:29" ht="13.2" x14ac:dyDescent="0.25">
      <c r="A162" s="151" t="str">
        <f t="shared" si="0"/>
        <v/>
      </c>
      <c r="B162" s="169"/>
      <c r="C162" s="168"/>
      <c r="D162" s="168"/>
      <c r="E162" s="170"/>
      <c r="F162" s="167"/>
      <c r="G162" s="157"/>
      <c r="H162" s="157"/>
      <c r="I162" s="158"/>
      <c r="J162" s="159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</row>
    <row r="163" spans="1:29" ht="13.2" x14ac:dyDescent="0.25">
      <c r="A163" s="151" t="str">
        <f t="shared" si="0"/>
        <v/>
      </c>
      <c r="B163" s="169"/>
      <c r="C163" s="168"/>
      <c r="D163" s="168"/>
      <c r="E163" s="170"/>
      <c r="F163" s="167"/>
      <c r="G163" s="157"/>
      <c r="H163" s="157"/>
      <c r="I163" s="158"/>
      <c r="J163" s="159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</row>
    <row r="164" spans="1:29" ht="13.2" x14ac:dyDescent="0.25">
      <c r="A164" s="151"/>
      <c r="B164" s="169"/>
      <c r="C164" s="168"/>
      <c r="D164" s="168"/>
      <c r="E164" s="170"/>
      <c r="F164" s="167"/>
      <c r="G164" s="157"/>
      <c r="H164" s="157"/>
      <c r="I164" s="158"/>
      <c r="J164" s="159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</row>
    <row r="165" spans="1:29" ht="13.2" x14ac:dyDescent="0.25">
      <c r="A165" s="151"/>
      <c r="B165" s="169"/>
      <c r="C165" s="168"/>
      <c r="D165" s="168"/>
      <c r="E165" s="170"/>
      <c r="F165" s="167"/>
      <c r="G165" s="157"/>
      <c r="H165" s="157"/>
      <c r="I165" s="158"/>
      <c r="J165" s="159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</row>
    <row r="166" spans="1:29" ht="13.2" x14ac:dyDescent="0.25">
      <c r="A166" s="151"/>
      <c r="B166" s="169"/>
      <c r="C166" s="168"/>
      <c r="D166" s="168"/>
      <c r="E166" s="170"/>
      <c r="F166" s="167"/>
      <c r="G166" s="157"/>
      <c r="H166" s="157"/>
      <c r="I166" s="158"/>
      <c r="J166" s="159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</row>
    <row r="167" spans="1:29" ht="13.2" x14ac:dyDescent="0.25">
      <c r="A167" s="151"/>
      <c r="B167" s="169"/>
      <c r="C167" s="168"/>
      <c r="D167" s="168"/>
      <c r="E167" s="170"/>
      <c r="F167" s="167"/>
      <c r="G167" s="157"/>
      <c r="H167" s="157"/>
      <c r="I167" s="158"/>
      <c r="J167" s="159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</row>
    <row r="168" spans="1:29" ht="13.2" x14ac:dyDescent="0.25">
      <c r="A168" s="151"/>
      <c r="B168" s="169"/>
      <c r="C168" s="168"/>
      <c r="D168" s="168"/>
      <c r="E168" s="170"/>
      <c r="F168" s="167"/>
      <c r="G168" s="157"/>
      <c r="H168" s="157"/>
      <c r="I168" s="158"/>
      <c r="J168" s="159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</row>
    <row r="169" spans="1:29" ht="13.2" x14ac:dyDescent="0.25">
      <c r="A169" s="151"/>
      <c r="B169" s="169"/>
      <c r="C169" s="168"/>
      <c r="D169" s="168"/>
      <c r="E169" s="170"/>
      <c r="F169" s="167"/>
      <c r="G169" s="157"/>
      <c r="H169" s="157"/>
      <c r="I169" s="158"/>
      <c r="J169" s="159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</row>
    <row r="170" spans="1:29" ht="13.2" x14ac:dyDescent="0.25">
      <c r="A170" s="151"/>
      <c r="B170" s="169"/>
      <c r="C170" s="168"/>
      <c r="D170" s="168"/>
      <c r="E170" s="170"/>
      <c r="F170" s="167"/>
      <c r="G170" s="157"/>
      <c r="H170" s="157"/>
      <c r="I170" s="158"/>
      <c r="J170" s="159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</row>
    <row r="171" spans="1:29" ht="13.2" x14ac:dyDescent="0.25">
      <c r="A171" s="151"/>
      <c r="B171" s="169"/>
      <c r="C171" s="168"/>
      <c r="D171" s="168"/>
      <c r="E171" s="170"/>
      <c r="F171" s="167"/>
      <c r="G171" s="157"/>
      <c r="H171" s="157"/>
      <c r="I171" s="158"/>
      <c r="J171" s="159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</row>
    <row r="172" spans="1:29" ht="13.2" x14ac:dyDescent="0.25">
      <c r="A172" s="151"/>
      <c r="B172" s="169"/>
      <c r="C172" s="168"/>
      <c r="D172" s="168"/>
      <c r="E172" s="170"/>
      <c r="F172" s="167"/>
      <c r="G172" s="157"/>
      <c r="H172" s="157"/>
      <c r="I172" s="158"/>
      <c r="J172" s="159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</row>
    <row r="173" spans="1:29" ht="13.2" x14ac:dyDescent="0.25">
      <c r="A173" s="151"/>
      <c r="B173" s="169"/>
      <c r="C173" s="168"/>
      <c r="D173" s="168"/>
      <c r="E173" s="170"/>
      <c r="F173" s="167"/>
      <c r="G173" s="157"/>
      <c r="H173" s="157"/>
      <c r="I173" s="158"/>
      <c r="J173" s="159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</row>
    <row r="174" spans="1:29" ht="13.2" x14ac:dyDescent="0.25">
      <c r="A174" s="151"/>
      <c r="B174" s="169"/>
      <c r="C174" s="168"/>
      <c r="D174" s="168"/>
      <c r="E174" s="170"/>
      <c r="F174" s="167"/>
      <c r="G174" s="157"/>
      <c r="H174" s="157"/>
      <c r="I174" s="158"/>
      <c r="J174" s="159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</row>
    <row r="175" spans="1:29" ht="13.2" x14ac:dyDescent="0.25">
      <c r="A175" s="151"/>
      <c r="B175" s="169"/>
      <c r="C175" s="168"/>
      <c r="D175" s="168"/>
      <c r="E175" s="170"/>
      <c r="F175" s="167"/>
      <c r="G175" s="157"/>
      <c r="H175" s="157"/>
      <c r="I175" s="158"/>
      <c r="J175" s="159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</row>
    <row r="176" spans="1:29" ht="13.2" x14ac:dyDescent="0.25">
      <c r="A176" s="151"/>
      <c r="B176" s="169"/>
      <c r="C176" s="168"/>
      <c r="D176" s="168"/>
      <c r="E176" s="170"/>
      <c r="F176" s="167"/>
      <c r="G176" s="157"/>
      <c r="H176" s="157"/>
      <c r="I176" s="158"/>
      <c r="J176" s="159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</row>
    <row r="177" spans="1:29" ht="13.2" x14ac:dyDescent="0.25">
      <c r="A177" s="151"/>
      <c r="B177" s="169"/>
      <c r="C177" s="168"/>
      <c r="D177" s="168"/>
      <c r="E177" s="170"/>
      <c r="F177" s="167"/>
      <c r="G177" s="157"/>
      <c r="H177" s="157"/>
      <c r="I177" s="158"/>
      <c r="J177" s="159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</row>
    <row r="178" spans="1:29" ht="13.2" x14ac:dyDescent="0.25">
      <c r="A178" s="151"/>
      <c r="B178" s="169"/>
      <c r="C178" s="168"/>
      <c r="D178" s="168"/>
      <c r="E178" s="170"/>
      <c r="F178" s="167"/>
      <c r="G178" s="157"/>
      <c r="H178" s="157"/>
      <c r="I178" s="158"/>
      <c r="J178" s="159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</row>
    <row r="179" spans="1:29" ht="13.2" x14ac:dyDescent="0.25">
      <c r="A179" s="151"/>
      <c r="B179" s="169"/>
      <c r="C179" s="168"/>
      <c r="D179" s="168"/>
      <c r="E179" s="170"/>
      <c r="F179" s="167"/>
      <c r="G179" s="157"/>
      <c r="H179" s="157"/>
      <c r="I179" s="158"/>
      <c r="J179" s="159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</row>
    <row r="180" spans="1:29" ht="13.2" x14ac:dyDescent="0.25">
      <c r="A180" s="151"/>
      <c r="B180" s="169"/>
      <c r="C180" s="168"/>
      <c r="D180" s="168"/>
      <c r="E180" s="170"/>
      <c r="F180" s="167"/>
      <c r="G180" s="157"/>
      <c r="H180" s="157"/>
      <c r="I180" s="158"/>
      <c r="J180" s="159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</row>
    <row r="181" spans="1:29" ht="13.2" x14ac:dyDescent="0.25">
      <c r="A181" s="151"/>
      <c r="B181" s="169"/>
      <c r="C181" s="168"/>
      <c r="D181" s="168"/>
      <c r="E181" s="170"/>
      <c r="F181" s="167"/>
      <c r="G181" s="157"/>
      <c r="H181" s="157"/>
      <c r="I181" s="158"/>
      <c r="J181" s="159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</row>
    <row r="182" spans="1:29" ht="13.2" x14ac:dyDescent="0.25">
      <c r="A182" s="151"/>
      <c r="B182" s="169"/>
      <c r="C182" s="168"/>
      <c r="D182" s="168"/>
      <c r="E182" s="170"/>
      <c r="F182" s="167"/>
      <c r="G182" s="157"/>
      <c r="H182" s="157"/>
      <c r="I182" s="158"/>
      <c r="J182" s="159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</row>
    <row r="183" spans="1:29" ht="13.2" x14ac:dyDescent="0.25">
      <c r="A183" s="151"/>
      <c r="B183" s="169"/>
      <c r="C183" s="168"/>
      <c r="D183" s="168"/>
      <c r="E183" s="170"/>
      <c r="F183" s="167"/>
      <c r="G183" s="157"/>
      <c r="H183" s="157"/>
      <c r="I183" s="158"/>
      <c r="J183" s="159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</row>
    <row r="184" spans="1:29" ht="13.2" x14ac:dyDescent="0.25">
      <c r="A184" s="151"/>
      <c r="B184" s="169"/>
      <c r="C184" s="168"/>
      <c r="D184" s="168"/>
      <c r="E184" s="170"/>
      <c r="F184" s="167"/>
      <c r="G184" s="157"/>
      <c r="H184" s="157"/>
      <c r="I184" s="158"/>
      <c r="J184" s="159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</row>
    <row r="185" spans="1:29" ht="13.2" x14ac:dyDescent="0.25">
      <c r="A185" s="151"/>
      <c r="B185" s="169"/>
      <c r="C185" s="168"/>
      <c r="D185" s="168"/>
      <c r="E185" s="170"/>
      <c r="F185" s="167"/>
      <c r="G185" s="157"/>
      <c r="H185" s="157"/>
      <c r="I185" s="158"/>
      <c r="J185" s="159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</row>
    <row r="186" spans="1:29" ht="13.2" x14ac:dyDescent="0.25">
      <c r="A186" s="151"/>
      <c r="B186" s="169"/>
      <c r="C186" s="168"/>
      <c r="D186" s="168"/>
      <c r="E186" s="170"/>
      <c r="F186" s="167"/>
      <c r="G186" s="157"/>
      <c r="H186" s="157"/>
      <c r="I186" s="158"/>
      <c r="J186" s="159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</row>
    <row r="187" spans="1:29" ht="13.2" x14ac:dyDescent="0.25">
      <c r="A187" s="151"/>
      <c r="B187" s="169"/>
      <c r="C187" s="168"/>
      <c r="D187" s="168"/>
      <c r="E187" s="170"/>
      <c r="F187" s="167"/>
      <c r="G187" s="157"/>
      <c r="H187" s="157"/>
      <c r="I187" s="158"/>
      <c r="J187" s="159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</row>
    <row r="188" spans="1:29" ht="13.2" x14ac:dyDescent="0.25">
      <c r="A188" s="151"/>
      <c r="B188" s="169"/>
      <c r="C188" s="168"/>
      <c r="D188" s="168"/>
      <c r="E188" s="170"/>
      <c r="F188" s="167"/>
      <c r="G188" s="157"/>
      <c r="H188" s="157"/>
      <c r="I188" s="158"/>
      <c r="J188" s="159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</row>
    <row r="189" spans="1:29" ht="13.2" x14ac:dyDescent="0.25">
      <c r="A189" s="151"/>
      <c r="B189" s="169"/>
      <c r="C189" s="168"/>
      <c r="D189" s="168"/>
      <c r="E189" s="170"/>
      <c r="F189" s="167"/>
      <c r="G189" s="157"/>
      <c r="H189" s="157"/>
      <c r="I189" s="158"/>
      <c r="J189" s="159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</row>
    <row r="190" spans="1:29" ht="13.2" x14ac:dyDescent="0.25">
      <c r="A190" s="151"/>
      <c r="B190" s="169"/>
      <c r="C190" s="168"/>
      <c r="D190" s="168"/>
      <c r="E190" s="170"/>
      <c r="F190" s="167"/>
      <c r="G190" s="157"/>
      <c r="H190" s="157"/>
      <c r="I190" s="158"/>
      <c r="J190" s="159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</row>
    <row r="191" spans="1:29" ht="13.2" x14ac:dyDescent="0.25">
      <c r="A191" s="151"/>
      <c r="B191" s="169"/>
      <c r="C191" s="168"/>
      <c r="D191" s="168"/>
      <c r="E191" s="170"/>
      <c r="F191" s="167"/>
      <c r="G191" s="157"/>
      <c r="H191" s="157"/>
      <c r="I191" s="158"/>
      <c r="J191" s="159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</row>
    <row r="192" spans="1:29" ht="13.2" x14ac:dyDescent="0.25">
      <c r="A192" s="151"/>
      <c r="B192" s="169"/>
      <c r="C192" s="168"/>
      <c r="D192" s="168"/>
      <c r="E192" s="170"/>
      <c r="F192" s="167"/>
      <c r="G192" s="157"/>
      <c r="H192" s="157"/>
      <c r="I192" s="158"/>
      <c r="J192" s="159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</row>
    <row r="193" spans="1:29" ht="13.2" x14ac:dyDescent="0.25">
      <c r="A193" s="151"/>
      <c r="B193" s="169"/>
      <c r="C193" s="168"/>
      <c r="D193" s="168"/>
      <c r="E193" s="170"/>
      <c r="F193" s="167"/>
      <c r="G193" s="157"/>
      <c r="H193" s="157"/>
      <c r="I193" s="158"/>
      <c r="J193" s="159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</row>
    <row r="194" spans="1:29" ht="13.2" x14ac:dyDescent="0.25">
      <c r="A194" s="151"/>
      <c r="B194" s="169"/>
      <c r="C194" s="168"/>
      <c r="D194" s="168"/>
      <c r="E194" s="170"/>
      <c r="F194" s="167"/>
      <c r="G194" s="157"/>
      <c r="H194" s="157"/>
      <c r="I194" s="158"/>
      <c r="J194" s="159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</row>
    <row r="195" spans="1:29" ht="13.2" x14ac:dyDescent="0.25">
      <c r="A195" s="151"/>
      <c r="B195" s="169"/>
      <c r="C195" s="168"/>
      <c r="D195" s="168"/>
      <c r="E195" s="170"/>
      <c r="F195" s="167"/>
      <c r="G195" s="157"/>
      <c r="H195" s="157"/>
      <c r="I195" s="158"/>
      <c r="J195" s="159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</row>
    <row r="196" spans="1:29" ht="13.2" x14ac:dyDescent="0.25">
      <c r="A196" s="151"/>
      <c r="B196" s="169"/>
      <c r="C196" s="168"/>
      <c r="D196" s="168"/>
      <c r="E196" s="170"/>
      <c r="F196" s="167"/>
      <c r="G196" s="157"/>
      <c r="H196" s="157"/>
      <c r="I196" s="158"/>
      <c r="J196" s="159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</row>
    <row r="197" spans="1:29" ht="13.2" x14ac:dyDescent="0.25">
      <c r="A197" s="151"/>
      <c r="B197" s="169"/>
      <c r="C197" s="168"/>
      <c r="D197" s="168"/>
      <c r="E197" s="170"/>
      <c r="F197" s="167"/>
      <c r="G197" s="157"/>
      <c r="H197" s="157"/>
      <c r="I197" s="158"/>
      <c r="J197" s="159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</row>
    <row r="198" spans="1:29" ht="13.2" x14ac:dyDescent="0.25">
      <c r="A198" s="151"/>
      <c r="B198" s="169"/>
      <c r="C198" s="168"/>
      <c r="D198" s="168"/>
      <c r="E198" s="170"/>
      <c r="F198" s="167"/>
      <c r="G198" s="157"/>
      <c r="H198" s="157"/>
      <c r="I198" s="158"/>
      <c r="J198" s="159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</row>
    <row r="199" spans="1:29" ht="13.2" x14ac:dyDescent="0.25">
      <c r="A199" s="151"/>
      <c r="B199" s="169"/>
      <c r="C199" s="168"/>
      <c r="D199" s="168"/>
      <c r="E199" s="170"/>
      <c r="F199" s="167"/>
      <c r="G199" s="157"/>
      <c r="H199" s="157"/>
      <c r="I199" s="158"/>
      <c r="J199" s="159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</row>
    <row r="200" spans="1:29" ht="13.2" x14ac:dyDescent="0.25">
      <c r="A200" s="151"/>
      <c r="B200" s="169"/>
      <c r="C200" s="168"/>
      <c r="D200" s="168"/>
      <c r="E200" s="170"/>
      <c r="F200" s="167"/>
      <c r="G200" s="157"/>
      <c r="H200" s="157"/>
      <c r="I200" s="158"/>
      <c r="J200" s="159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</row>
    <row r="201" spans="1:29" ht="13.2" x14ac:dyDescent="0.25">
      <c r="A201" s="151"/>
      <c r="B201" s="169"/>
      <c r="C201" s="168"/>
      <c r="D201" s="168"/>
      <c r="E201" s="170"/>
      <c r="F201" s="167"/>
      <c r="G201" s="157"/>
      <c r="H201" s="157"/>
      <c r="I201" s="158"/>
      <c r="J201" s="159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</row>
    <row r="202" spans="1:29" ht="13.2" x14ac:dyDescent="0.25">
      <c r="A202" s="151"/>
      <c r="B202" s="169"/>
      <c r="C202" s="168"/>
      <c r="D202" s="168"/>
      <c r="E202" s="170"/>
      <c r="F202" s="167"/>
      <c r="G202" s="157"/>
      <c r="H202" s="157"/>
      <c r="I202" s="158"/>
      <c r="J202" s="159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</row>
    <row r="203" spans="1:29" ht="13.2" x14ac:dyDescent="0.25">
      <c r="A203" s="151"/>
      <c r="B203" s="169"/>
      <c r="C203" s="168"/>
      <c r="D203" s="168"/>
      <c r="E203" s="170"/>
      <c r="F203" s="167"/>
      <c r="G203" s="157"/>
      <c r="H203" s="157"/>
      <c r="I203" s="158"/>
      <c r="J203" s="159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</row>
    <row r="204" spans="1:29" ht="13.2" x14ac:dyDescent="0.25">
      <c r="A204" s="151"/>
      <c r="B204" s="169"/>
      <c r="C204" s="168"/>
      <c r="D204" s="168"/>
      <c r="E204" s="170"/>
      <c r="F204" s="167"/>
      <c r="G204" s="157"/>
      <c r="H204" s="157"/>
      <c r="I204" s="158"/>
      <c r="J204" s="159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</row>
    <row r="205" spans="1:29" ht="13.2" x14ac:dyDescent="0.25">
      <c r="A205" s="151"/>
      <c r="B205" s="169"/>
      <c r="C205" s="168"/>
      <c r="D205" s="168"/>
      <c r="E205" s="170"/>
      <c r="F205" s="167"/>
      <c r="G205" s="157"/>
      <c r="H205" s="157"/>
      <c r="I205" s="158"/>
      <c r="J205" s="159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</row>
    <row r="206" spans="1:29" ht="13.2" x14ac:dyDescent="0.25">
      <c r="A206" s="151"/>
      <c r="B206" s="169"/>
      <c r="C206" s="168"/>
      <c r="D206" s="168"/>
      <c r="E206" s="170"/>
      <c r="F206" s="167"/>
      <c r="G206" s="157"/>
      <c r="H206" s="157"/>
      <c r="I206" s="158"/>
      <c r="J206" s="159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</row>
    <row r="207" spans="1:29" ht="13.2" x14ac:dyDescent="0.25">
      <c r="A207" s="151"/>
      <c r="B207" s="169"/>
      <c r="C207" s="168"/>
      <c r="D207" s="168"/>
      <c r="E207" s="170"/>
      <c r="F207" s="167"/>
      <c r="G207" s="157"/>
      <c r="H207" s="157"/>
      <c r="I207" s="158"/>
      <c r="J207" s="159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</row>
    <row r="208" spans="1:29" ht="13.2" x14ac:dyDescent="0.25">
      <c r="A208" s="151"/>
      <c r="B208" s="169"/>
      <c r="C208" s="168"/>
      <c r="D208" s="168"/>
      <c r="E208" s="170"/>
      <c r="F208" s="167"/>
      <c r="G208" s="157"/>
      <c r="H208" s="157"/>
      <c r="I208" s="158"/>
      <c r="J208" s="159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</row>
    <row r="209" spans="1:29" ht="13.2" x14ac:dyDescent="0.25">
      <c r="A209" s="151"/>
      <c r="B209" s="169"/>
      <c r="C209" s="168"/>
      <c r="D209" s="168"/>
      <c r="E209" s="170"/>
      <c r="F209" s="167"/>
      <c r="G209" s="157"/>
      <c r="H209" s="157"/>
      <c r="I209" s="158"/>
      <c r="J209" s="159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</row>
    <row r="210" spans="1:29" ht="13.2" x14ac:dyDescent="0.25">
      <c r="A210" s="151"/>
      <c r="B210" s="169"/>
      <c r="C210" s="168"/>
      <c r="D210" s="168"/>
      <c r="E210" s="170"/>
      <c r="F210" s="167"/>
      <c r="G210" s="157"/>
      <c r="H210" s="157"/>
      <c r="I210" s="158"/>
      <c r="J210" s="159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</row>
    <row r="211" spans="1:29" ht="13.2" x14ac:dyDescent="0.25">
      <c r="A211" s="151"/>
      <c r="B211" s="169"/>
      <c r="C211" s="168"/>
      <c r="D211" s="168"/>
      <c r="E211" s="170"/>
      <c r="F211" s="167"/>
      <c r="G211" s="157"/>
      <c r="H211" s="157"/>
      <c r="I211" s="158"/>
      <c r="J211" s="159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</row>
    <row r="212" spans="1:29" ht="13.2" x14ac:dyDescent="0.25">
      <c r="A212" s="151"/>
      <c r="B212" s="169"/>
      <c r="C212" s="168"/>
      <c r="D212" s="168"/>
      <c r="E212" s="170"/>
      <c r="F212" s="167"/>
      <c r="G212" s="157"/>
      <c r="H212" s="157"/>
      <c r="I212" s="158"/>
      <c r="J212" s="159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</row>
    <row r="213" spans="1:29" ht="13.2" x14ac:dyDescent="0.25">
      <c r="A213" s="151"/>
      <c r="B213" s="169"/>
      <c r="C213" s="168"/>
      <c r="D213" s="168"/>
      <c r="E213" s="170"/>
      <c r="F213" s="167"/>
      <c r="G213" s="157"/>
      <c r="H213" s="157"/>
      <c r="I213" s="158"/>
      <c r="J213" s="159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</row>
    <row r="214" spans="1:29" ht="13.2" x14ac:dyDescent="0.25">
      <c r="A214" s="151"/>
      <c r="B214" s="169"/>
      <c r="C214" s="168"/>
      <c r="D214" s="168"/>
      <c r="E214" s="170"/>
      <c r="F214" s="167"/>
      <c r="G214" s="157"/>
      <c r="H214" s="157"/>
      <c r="I214" s="158"/>
      <c r="J214" s="159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</row>
    <row r="215" spans="1:29" ht="13.2" x14ac:dyDescent="0.25">
      <c r="A215" s="151"/>
      <c r="B215" s="169"/>
      <c r="C215" s="168"/>
      <c r="D215" s="168"/>
      <c r="E215" s="170"/>
      <c r="F215" s="167"/>
      <c r="G215" s="157"/>
      <c r="H215" s="157"/>
      <c r="I215" s="158"/>
      <c r="J215" s="159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</row>
    <row r="216" spans="1:29" ht="13.2" x14ac:dyDescent="0.25">
      <c r="A216" s="151"/>
      <c r="B216" s="169"/>
      <c r="C216" s="168"/>
      <c r="D216" s="168"/>
      <c r="E216" s="170"/>
      <c r="F216" s="167"/>
      <c r="G216" s="157"/>
      <c r="H216" s="157"/>
      <c r="I216" s="158"/>
      <c r="J216" s="159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</row>
    <row r="217" spans="1:29" ht="13.2" x14ac:dyDescent="0.25">
      <c r="A217" s="151"/>
      <c r="B217" s="169"/>
      <c r="C217" s="168"/>
      <c r="D217" s="168"/>
      <c r="E217" s="170"/>
      <c r="F217" s="167"/>
      <c r="G217" s="157"/>
      <c r="H217" s="157"/>
      <c r="I217" s="158"/>
      <c r="J217" s="159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</row>
    <row r="218" spans="1:29" ht="13.2" x14ac:dyDescent="0.25">
      <c r="A218" s="151"/>
      <c r="B218" s="169"/>
      <c r="C218" s="168"/>
      <c r="D218" s="168"/>
      <c r="E218" s="170"/>
      <c r="F218" s="167"/>
      <c r="G218" s="157"/>
      <c r="H218" s="157"/>
      <c r="I218" s="158"/>
      <c r="J218" s="159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</row>
    <row r="219" spans="1:29" ht="13.2" x14ac:dyDescent="0.25">
      <c r="A219" s="151"/>
      <c r="B219" s="169"/>
      <c r="C219" s="168"/>
      <c r="D219" s="168"/>
      <c r="E219" s="170"/>
      <c r="F219" s="167"/>
      <c r="G219" s="157"/>
      <c r="H219" s="157"/>
      <c r="I219" s="158"/>
      <c r="J219" s="159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</row>
    <row r="220" spans="1:29" ht="13.2" x14ac:dyDescent="0.25">
      <c r="A220" s="151"/>
      <c r="B220" s="169"/>
      <c r="C220" s="168"/>
      <c r="D220" s="168"/>
      <c r="E220" s="170"/>
      <c r="F220" s="167"/>
      <c r="G220" s="157"/>
      <c r="H220" s="157"/>
      <c r="I220" s="158"/>
      <c r="J220" s="159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</row>
    <row r="221" spans="1:29" ht="13.2" x14ac:dyDescent="0.25">
      <c r="A221" s="151"/>
      <c r="B221" s="169"/>
      <c r="C221" s="168"/>
      <c r="D221" s="168"/>
      <c r="E221" s="170"/>
      <c r="F221" s="167"/>
      <c r="G221" s="157"/>
      <c r="H221" s="157"/>
      <c r="I221" s="158"/>
      <c r="J221" s="159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</row>
    <row r="222" spans="1:29" ht="13.2" x14ac:dyDescent="0.25">
      <c r="A222" s="151"/>
      <c r="B222" s="169"/>
      <c r="C222" s="168"/>
      <c r="D222" s="168"/>
      <c r="E222" s="170"/>
      <c r="F222" s="167"/>
      <c r="G222" s="157"/>
      <c r="H222" s="157"/>
      <c r="I222" s="158"/>
      <c r="J222" s="159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</row>
    <row r="223" spans="1:29" ht="13.2" x14ac:dyDescent="0.25">
      <c r="A223" s="151"/>
      <c r="B223" s="169"/>
      <c r="C223" s="168"/>
      <c r="D223" s="168"/>
      <c r="E223" s="170"/>
      <c r="F223" s="167"/>
      <c r="G223" s="157"/>
      <c r="H223" s="157"/>
      <c r="I223" s="158"/>
      <c r="J223" s="159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</row>
    <row r="224" spans="1:29" ht="13.2" x14ac:dyDescent="0.25">
      <c r="A224" s="151"/>
      <c r="B224" s="169"/>
      <c r="C224" s="168"/>
      <c r="D224" s="168"/>
      <c r="E224" s="170"/>
      <c r="F224" s="167"/>
      <c r="G224" s="157"/>
      <c r="H224" s="157"/>
      <c r="I224" s="158"/>
      <c r="J224" s="159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</row>
    <row r="225" spans="1:29" ht="13.2" x14ac:dyDescent="0.25">
      <c r="A225" s="151"/>
      <c r="B225" s="169"/>
      <c r="C225" s="168"/>
      <c r="D225" s="168"/>
      <c r="E225" s="170"/>
      <c r="F225" s="167"/>
      <c r="G225" s="157"/>
      <c r="H225" s="157"/>
      <c r="I225" s="158"/>
      <c r="J225" s="159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</row>
    <row r="226" spans="1:29" ht="13.2" x14ac:dyDescent="0.25">
      <c r="A226" s="151"/>
      <c r="B226" s="169"/>
      <c r="C226" s="168"/>
      <c r="D226" s="168"/>
      <c r="E226" s="170"/>
      <c r="F226" s="167"/>
      <c r="G226" s="157"/>
      <c r="H226" s="157"/>
      <c r="I226" s="158"/>
      <c r="J226" s="159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</row>
    <row r="227" spans="1:29" ht="13.2" x14ac:dyDescent="0.25">
      <c r="A227" s="151"/>
      <c r="B227" s="169"/>
      <c r="C227" s="168"/>
      <c r="D227" s="168"/>
      <c r="E227" s="170"/>
      <c r="F227" s="167"/>
      <c r="G227" s="157"/>
      <c r="H227" s="157"/>
      <c r="I227" s="158"/>
      <c r="J227" s="159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</row>
    <row r="228" spans="1:29" ht="13.2" x14ac:dyDescent="0.25">
      <c r="A228" s="151"/>
      <c r="B228" s="169"/>
      <c r="C228" s="168"/>
      <c r="D228" s="168"/>
      <c r="E228" s="170"/>
      <c r="F228" s="167"/>
      <c r="G228" s="157"/>
      <c r="H228" s="157"/>
      <c r="I228" s="158"/>
      <c r="J228" s="159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</row>
    <row r="229" spans="1:29" ht="13.2" x14ac:dyDescent="0.25">
      <c r="A229" s="171"/>
      <c r="B229" s="172"/>
      <c r="C229" s="160"/>
      <c r="D229" s="160"/>
      <c r="E229" s="173"/>
      <c r="F229" s="174"/>
      <c r="G229" s="175"/>
      <c r="H229" s="175"/>
      <c r="I229" s="158"/>
      <c r="J229" s="176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</row>
    <row r="230" spans="1:29" ht="13.2" x14ac:dyDescent="0.25">
      <c r="A230" s="171"/>
      <c r="B230" s="172"/>
      <c r="C230" s="160"/>
      <c r="D230" s="160"/>
      <c r="E230" s="173"/>
      <c r="F230" s="174"/>
      <c r="G230" s="175"/>
      <c r="H230" s="175"/>
      <c r="I230" s="158"/>
      <c r="J230" s="176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</row>
    <row r="231" spans="1:29" ht="13.2" x14ac:dyDescent="0.25">
      <c r="A231" s="171"/>
      <c r="B231" s="172"/>
      <c r="C231" s="160"/>
      <c r="D231" s="160"/>
      <c r="E231" s="173"/>
      <c r="F231" s="174"/>
      <c r="G231" s="175"/>
      <c r="H231" s="175"/>
      <c r="I231" s="158"/>
      <c r="J231" s="176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</row>
    <row r="232" spans="1:29" ht="13.2" x14ac:dyDescent="0.25">
      <c r="A232" s="171"/>
      <c r="B232" s="172"/>
      <c r="C232" s="160"/>
      <c r="D232" s="160"/>
      <c r="E232" s="173"/>
      <c r="F232" s="174"/>
      <c r="G232" s="175"/>
      <c r="H232" s="175"/>
      <c r="I232" s="158"/>
      <c r="J232" s="176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</row>
    <row r="233" spans="1:29" ht="13.2" x14ac:dyDescent="0.25">
      <c r="A233" s="171"/>
      <c r="B233" s="172"/>
      <c r="C233" s="160"/>
      <c r="D233" s="160"/>
      <c r="E233" s="173"/>
      <c r="F233" s="174"/>
      <c r="G233" s="175"/>
      <c r="H233" s="175"/>
      <c r="I233" s="158"/>
      <c r="J233" s="176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</row>
    <row r="234" spans="1:29" ht="13.2" x14ac:dyDescent="0.25">
      <c r="A234" s="171"/>
      <c r="B234" s="172"/>
      <c r="C234" s="160"/>
      <c r="D234" s="160"/>
      <c r="E234" s="173"/>
      <c r="F234" s="174"/>
      <c r="G234" s="175"/>
      <c r="H234" s="175"/>
      <c r="I234" s="158"/>
      <c r="J234" s="176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</row>
    <row r="235" spans="1:29" ht="13.2" x14ac:dyDescent="0.25">
      <c r="A235" s="171"/>
      <c r="B235" s="172"/>
      <c r="C235" s="160"/>
      <c r="D235" s="160"/>
      <c r="E235" s="173"/>
      <c r="F235" s="174"/>
      <c r="G235" s="175"/>
      <c r="H235" s="175"/>
      <c r="I235" s="158"/>
      <c r="J235" s="176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</row>
    <row r="236" spans="1:29" ht="13.2" x14ac:dyDescent="0.25">
      <c r="A236" s="171"/>
      <c r="B236" s="172"/>
      <c r="C236" s="160"/>
      <c r="D236" s="160"/>
      <c r="E236" s="173"/>
      <c r="F236" s="174"/>
      <c r="G236" s="175"/>
      <c r="H236" s="175"/>
      <c r="I236" s="158"/>
      <c r="J236" s="176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</row>
    <row r="237" spans="1:29" ht="13.2" x14ac:dyDescent="0.25">
      <c r="A237" s="171"/>
      <c r="B237" s="172"/>
      <c r="C237" s="160"/>
      <c r="D237" s="160"/>
      <c r="E237" s="173"/>
      <c r="F237" s="174"/>
      <c r="G237" s="175"/>
      <c r="H237" s="175"/>
      <c r="I237" s="158"/>
      <c r="J237" s="176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</row>
    <row r="238" spans="1:29" ht="13.2" x14ac:dyDescent="0.25">
      <c r="A238" s="171"/>
      <c r="B238" s="172"/>
      <c r="C238" s="160"/>
      <c r="D238" s="160"/>
      <c r="E238" s="173"/>
      <c r="F238" s="174"/>
      <c r="G238" s="175"/>
      <c r="H238" s="175"/>
      <c r="I238" s="158"/>
      <c r="J238" s="176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</row>
    <row r="239" spans="1:29" ht="13.2" x14ac:dyDescent="0.25">
      <c r="A239" s="171"/>
      <c r="B239" s="172"/>
      <c r="C239" s="160"/>
      <c r="D239" s="160"/>
      <c r="E239" s="173"/>
      <c r="F239" s="174"/>
      <c r="G239" s="175"/>
      <c r="H239" s="175"/>
      <c r="I239" s="158"/>
      <c r="J239" s="176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</row>
    <row r="240" spans="1:29" ht="13.2" x14ac:dyDescent="0.25">
      <c r="A240" s="171"/>
      <c r="B240" s="172"/>
      <c r="C240" s="160"/>
      <c r="D240" s="160"/>
      <c r="E240" s="173"/>
      <c r="F240" s="174"/>
      <c r="G240" s="175"/>
      <c r="H240" s="175"/>
      <c r="I240" s="158"/>
      <c r="J240" s="176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</row>
    <row r="241" spans="1:29" ht="13.2" x14ac:dyDescent="0.25">
      <c r="A241" s="171"/>
      <c r="B241" s="172"/>
      <c r="C241" s="160"/>
      <c r="D241" s="160"/>
      <c r="E241" s="173"/>
      <c r="F241" s="174"/>
      <c r="G241" s="175"/>
      <c r="H241" s="175"/>
      <c r="I241" s="158"/>
      <c r="J241" s="176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</row>
    <row r="242" spans="1:29" ht="13.2" x14ac:dyDescent="0.25">
      <c r="A242" s="171"/>
      <c r="B242" s="172"/>
      <c r="C242" s="160"/>
      <c r="D242" s="160"/>
      <c r="E242" s="173"/>
      <c r="F242" s="174"/>
      <c r="G242" s="175"/>
      <c r="H242" s="175"/>
      <c r="I242" s="158"/>
      <c r="J242" s="176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</row>
    <row r="243" spans="1:29" ht="13.2" x14ac:dyDescent="0.25">
      <c r="A243" s="171"/>
      <c r="B243" s="172"/>
      <c r="C243" s="160"/>
      <c r="D243" s="160"/>
      <c r="E243" s="173"/>
      <c r="F243" s="174"/>
      <c r="G243" s="175"/>
      <c r="H243" s="175"/>
      <c r="I243" s="158"/>
      <c r="J243" s="176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</row>
    <row r="244" spans="1:29" ht="13.2" x14ac:dyDescent="0.25">
      <c r="A244" s="171"/>
      <c r="B244" s="172"/>
      <c r="C244" s="160"/>
      <c r="D244" s="160"/>
      <c r="E244" s="173"/>
      <c r="F244" s="174"/>
      <c r="G244" s="175"/>
      <c r="H244" s="175"/>
      <c r="I244" s="158"/>
      <c r="J244" s="176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</row>
    <row r="245" spans="1:29" ht="13.2" x14ac:dyDescent="0.25">
      <c r="A245" s="171"/>
      <c r="B245" s="172"/>
      <c r="C245" s="160"/>
      <c r="D245" s="160"/>
      <c r="E245" s="173"/>
      <c r="F245" s="174"/>
      <c r="G245" s="175"/>
      <c r="H245" s="175"/>
      <c r="I245" s="158"/>
      <c r="J245" s="176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</row>
    <row r="246" spans="1:29" ht="13.2" x14ac:dyDescent="0.25">
      <c r="A246" s="171"/>
      <c r="B246" s="172"/>
      <c r="C246" s="160"/>
      <c r="D246" s="160"/>
      <c r="E246" s="173"/>
      <c r="F246" s="174"/>
      <c r="G246" s="175"/>
      <c r="H246" s="175"/>
      <c r="I246" s="158"/>
      <c r="J246" s="176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</row>
    <row r="247" spans="1:29" ht="13.2" x14ac:dyDescent="0.25">
      <c r="A247" s="171"/>
      <c r="B247" s="172"/>
      <c r="C247" s="160"/>
      <c r="D247" s="160"/>
      <c r="E247" s="173"/>
      <c r="F247" s="174"/>
      <c r="G247" s="175"/>
      <c r="H247" s="175"/>
      <c r="I247" s="158"/>
      <c r="J247" s="176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</row>
    <row r="248" spans="1:29" ht="13.2" x14ac:dyDescent="0.25">
      <c r="A248" s="171"/>
      <c r="B248" s="172"/>
      <c r="C248" s="160"/>
      <c r="D248" s="160"/>
      <c r="E248" s="173"/>
      <c r="F248" s="174"/>
      <c r="G248" s="175"/>
      <c r="H248" s="175"/>
      <c r="I248" s="158"/>
      <c r="J248" s="176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</row>
    <row r="249" spans="1:29" ht="13.2" x14ac:dyDescent="0.25">
      <c r="A249" s="171"/>
      <c r="B249" s="172"/>
      <c r="C249" s="160"/>
      <c r="D249" s="160"/>
      <c r="E249" s="173"/>
      <c r="F249" s="174"/>
      <c r="G249" s="175"/>
      <c r="H249" s="175"/>
      <c r="I249" s="158"/>
      <c r="J249" s="176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</row>
    <row r="250" spans="1:29" ht="13.2" x14ac:dyDescent="0.25">
      <c r="A250" s="171"/>
      <c r="B250" s="172"/>
      <c r="C250" s="160"/>
      <c r="D250" s="160"/>
      <c r="E250" s="173"/>
      <c r="F250" s="174"/>
      <c r="G250" s="175"/>
      <c r="H250" s="175"/>
      <c r="I250" s="158"/>
      <c r="J250" s="176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</row>
    <row r="251" spans="1:29" ht="13.2" x14ac:dyDescent="0.25">
      <c r="A251" s="171"/>
      <c r="B251" s="172"/>
      <c r="C251" s="160"/>
      <c r="D251" s="160"/>
      <c r="E251" s="173"/>
      <c r="F251" s="174"/>
      <c r="G251" s="175"/>
      <c r="H251" s="175"/>
      <c r="I251" s="158"/>
      <c r="J251" s="176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</row>
    <row r="252" spans="1:29" ht="13.2" x14ac:dyDescent="0.25">
      <c r="A252" s="171"/>
      <c r="B252" s="172"/>
      <c r="C252" s="160"/>
      <c r="D252" s="160"/>
      <c r="E252" s="173"/>
      <c r="F252" s="174"/>
      <c r="G252" s="175"/>
      <c r="H252" s="175"/>
      <c r="I252" s="158"/>
      <c r="J252" s="176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</row>
    <row r="253" spans="1:29" ht="13.2" x14ac:dyDescent="0.25">
      <c r="A253" s="171"/>
      <c r="B253" s="172"/>
      <c r="C253" s="160"/>
      <c r="D253" s="160"/>
      <c r="E253" s="173"/>
      <c r="F253" s="174"/>
      <c r="G253" s="175"/>
      <c r="H253" s="175"/>
      <c r="I253" s="158"/>
      <c r="J253" s="176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</row>
    <row r="254" spans="1:29" ht="13.2" x14ac:dyDescent="0.25">
      <c r="A254" s="171"/>
      <c r="B254" s="172"/>
      <c r="C254" s="160"/>
      <c r="D254" s="160"/>
      <c r="E254" s="173"/>
      <c r="F254" s="174"/>
      <c r="G254" s="175"/>
      <c r="H254" s="175"/>
      <c r="I254" s="158"/>
      <c r="J254" s="176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</row>
    <row r="255" spans="1:29" ht="13.2" x14ac:dyDescent="0.25">
      <c r="A255" s="171"/>
      <c r="B255" s="172"/>
      <c r="C255" s="160"/>
      <c r="D255" s="160"/>
      <c r="E255" s="173"/>
      <c r="F255" s="174"/>
      <c r="G255" s="175"/>
      <c r="H255" s="175"/>
      <c r="I255" s="158"/>
      <c r="J255" s="176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</row>
    <row r="256" spans="1:29" ht="13.2" x14ac:dyDescent="0.25">
      <c r="A256" s="171"/>
      <c r="B256" s="172"/>
      <c r="C256" s="160"/>
      <c r="D256" s="160"/>
      <c r="E256" s="173"/>
      <c r="F256" s="174"/>
      <c r="G256" s="175"/>
      <c r="H256" s="175"/>
      <c r="I256" s="158"/>
      <c r="J256" s="176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</row>
    <row r="257" spans="1:29" ht="13.2" x14ac:dyDescent="0.25">
      <c r="A257" s="171"/>
      <c r="B257" s="172"/>
      <c r="C257" s="160"/>
      <c r="D257" s="160"/>
      <c r="E257" s="173"/>
      <c r="F257" s="174"/>
      <c r="G257" s="175"/>
      <c r="H257" s="175"/>
      <c r="I257" s="158"/>
      <c r="J257" s="176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</row>
    <row r="258" spans="1:29" ht="13.2" x14ac:dyDescent="0.25">
      <c r="A258" s="171"/>
      <c r="B258" s="172"/>
      <c r="C258" s="160"/>
      <c r="D258" s="160"/>
      <c r="E258" s="173"/>
      <c r="F258" s="174"/>
      <c r="G258" s="175"/>
      <c r="H258" s="175"/>
      <c r="I258" s="158"/>
      <c r="J258" s="176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</row>
    <row r="259" spans="1:29" ht="13.2" x14ac:dyDescent="0.25">
      <c r="A259" s="171"/>
      <c r="B259" s="172"/>
      <c r="C259" s="160"/>
      <c r="D259" s="160"/>
      <c r="E259" s="173"/>
      <c r="F259" s="174"/>
      <c r="G259" s="175"/>
      <c r="H259" s="175"/>
      <c r="I259" s="158"/>
      <c r="J259" s="176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</row>
    <row r="260" spans="1:29" ht="13.2" x14ac:dyDescent="0.25">
      <c r="A260" s="171"/>
      <c r="B260" s="172"/>
      <c r="C260" s="160"/>
      <c r="D260" s="160"/>
      <c r="E260" s="173"/>
      <c r="F260" s="174"/>
      <c r="G260" s="175"/>
      <c r="H260" s="175"/>
      <c r="I260" s="158"/>
      <c r="J260" s="176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</row>
    <row r="261" spans="1:29" ht="13.2" x14ac:dyDescent="0.25">
      <c r="A261" s="171"/>
      <c r="B261" s="172"/>
      <c r="C261" s="160"/>
      <c r="D261" s="160"/>
      <c r="E261" s="173"/>
      <c r="F261" s="174"/>
      <c r="G261" s="175"/>
      <c r="H261" s="175"/>
      <c r="I261" s="158"/>
      <c r="J261" s="176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</row>
    <row r="262" spans="1:29" ht="13.2" x14ac:dyDescent="0.25">
      <c r="A262" s="171"/>
      <c r="B262" s="172"/>
      <c r="C262" s="160"/>
      <c r="D262" s="160"/>
      <c r="E262" s="173"/>
      <c r="F262" s="174"/>
      <c r="G262" s="175"/>
      <c r="H262" s="175"/>
      <c r="I262" s="158"/>
      <c r="J262" s="176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</row>
    <row r="263" spans="1:29" ht="13.2" x14ac:dyDescent="0.25">
      <c r="A263" s="171"/>
      <c r="B263" s="172"/>
      <c r="C263" s="160"/>
      <c r="D263" s="160"/>
      <c r="E263" s="173"/>
      <c r="F263" s="174"/>
      <c r="G263" s="175"/>
      <c r="H263" s="175"/>
      <c r="I263" s="158"/>
      <c r="J263" s="176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</row>
    <row r="264" spans="1:29" ht="13.2" x14ac:dyDescent="0.25">
      <c r="A264" s="171"/>
      <c r="B264" s="172"/>
      <c r="C264" s="160"/>
      <c r="D264" s="160"/>
      <c r="E264" s="173"/>
      <c r="F264" s="174"/>
      <c r="G264" s="175"/>
      <c r="H264" s="175"/>
      <c r="I264" s="158"/>
      <c r="J264" s="176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</row>
    <row r="265" spans="1:29" ht="13.2" x14ac:dyDescent="0.25">
      <c r="A265" s="171"/>
      <c r="B265" s="172"/>
      <c r="C265" s="160"/>
      <c r="D265" s="160"/>
      <c r="E265" s="173"/>
      <c r="F265" s="174"/>
      <c r="G265" s="175"/>
      <c r="H265" s="175"/>
      <c r="I265" s="158"/>
      <c r="J265" s="176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</row>
    <row r="266" spans="1:29" ht="13.2" x14ac:dyDescent="0.25">
      <c r="A266" s="171"/>
      <c r="B266" s="172"/>
      <c r="C266" s="160"/>
      <c r="D266" s="160"/>
      <c r="E266" s="173"/>
      <c r="F266" s="174"/>
      <c r="G266" s="175"/>
      <c r="H266" s="175"/>
      <c r="I266" s="158"/>
      <c r="J266" s="176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</row>
    <row r="267" spans="1:29" ht="13.2" x14ac:dyDescent="0.25">
      <c r="A267" s="171"/>
      <c r="B267" s="172"/>
      <c r="C267" s="160"/>
      <c r="D267" s="160"/>
      <c r="E267" s="173"/>
      <c r="F267" s="174"/>
      <c r="G267" s="175"/>
      <c r="H267" s="175"/>
      <c r="I267" s="158"/>
      <c r="J267" s="176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</row>
    <row r="268" spans="1:29" ht="13.2" x14ac:dyDescent="0.25">
      <c r="A268" s="171"/>
      <c r="B268" s="172"/>
      <c r="C268" s="160"/>
      <c r="D268" s="160"/>
      <c r="E268" s="173"/>
      <c r="F268" s="174"/>
      <c r="G268" s="175"/>
      <c r="H268" s="175"/>
      <c r="I268" s="158"/>
      <c r="J268" s="176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</row>
    <row r="269" spans="1:29" ht="13.2" x14ac:dyDescent="0.25">
      <c r="A269" s="171"/>
      <c r="B269" s="172"/>
      <c r="C269" s="160"/>
      <c r="D269" s="160"/>
      <c r="E269" s="173"/>
      <c r="F269" s="174"/>
      <c r="G269" s="175"/>
      <c r="H269" s="175"/>
      <c r="I269" s="158"/>
      <c r="J269" s="176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</row>
    <row r="270" spans="1:29" ht="13.2" x14ac:dyDescent="0.25">
      <c r="A270" s="171"/>
      <c r="B270" s="172"/>
      <c r="C270" s="160"/>
      <c r="D270" s="160"/>
      <c r="E270" s="173"/>
      <c r="F270" s="174"/>
      <c r="G270" s="175"/>
      <c r="H270" s="175"/>
      <c r="I270" s="158"/>
      <c r="J270" s="176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</row>
    <row r="271" spans="1:29" ht="13.2" x14ac:dyDescent="0.25">
      <c r="A271" s="171"/>
      <c r="B271" s="172"/>
      <c r="C271" s="160"/>
      <c r="D271" s="160"/>
      <c r="E271" s="173"/>
      <c r="F271" s="174"/>
      <c r="G271" s="175"/>
      <c r="H271" s="175"/>
      <c r="I271" s="158"/>
      <c r="J271" s="176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</row>
    <row r="272" spans="1:29" ht="13.2" x14ac:dyDescent="0.25">
      <c r="A272" s="171"/>
      <c r="B272" s="172"/>
      <c r="C272" s="160"/>
      <c r="D272" s="160"/>
      <c r="E272" s="173"/>
      <c r="F272" s="174"/>
      <c r="G272" s="175"/>
      <c r="H272" s="175"/>
      <c r="I272" s="158"/>
      <c r="J272" s="176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</row>
    <row r="273" spans="1:29" ht="13.2" x14ac:dyDescent="0.25">
      <c r="A273" s="171"/>
      <c r="B273" s="172"/>
      <c r="C273" s="160"/>
      <c r="D273" s="160"/>
      <c r="E273" s="173"/>
      <c r="F273" s="174"/>
      <c r="G273" s="175"/>
      <c r="H273" s="175"/>
      <c r="I273" s="158"/>
      <c r="J273" s="176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</row>
    <row r="274" spans="1:29" ht="13.2" x14ac:dyDescent="0.25">
      <c r="A274" s="171"/>
      <c r="B274" s="172"/>
      <c r="C274" s="160"/>
      <c r="D274" s="160"/>
      <c r="E274" s="173"/>
      <c r="F274" s="174"/>
      <c r="G274" s="175"/>
      <c r="H274" s="175"/>
      <c r="I274" s="158"/>
      <c r="J274" s="176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</row>
    <row r="275" spans="1:29" ht="13.2" x14ac:dyDescent="0.25">
      <c r="A275" s="171"/>
      <c r="B275" s="172"/>
      <c r="C275" s="160"/>
      <c r="D275" s="160"/>
      <c r="E275" s="173"/>
      <c r="F275" s="174"/>
      <c r="G275" s="175"/>
      <c r="H275" s="175"/>
      <c r="I275" s="158"/>
      <c r="J275" s="176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</row>
    <row r="276" spans="1:29" ht="13.2" x14ac:dyDescent="0.25">
      <c r="A276" s="171"/>
      <c r="B276" s="172"/>
      <c r="C276" s="160"/>
      <c r="D276" s="160"/>
      <c r="E276" s="173"/>
      <c r="F276" s="174"/>
      <c r="G276" s="175"/>
      <c r="H276" s="175"/>
      <c r="I276" s="158"/>
      <c r="J276" s="176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</row>
    <row r="277" spans="1:29" ht="13.2" x14ac:dyDescent="0.25">
      <c r="A277" s="171"/>
      <c r="B277" s="172"/>
      <c r="C277" s="160"/>
      <c r="D277" s="160"/>
      <c r="E277" s="173"/>
      <c r="F277" s="174"/>
      <c r="G277" s="175"/>
      <c r="H277" s="175"/>
      <c r="I277" s="158"/>
      <c r="J277" s="176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</row>
    <row r="278" spans="1:29" ht="13.2" x14ac:dyDescent="0.25">
      <c r="A278" s="171"/>
      <c r="B278" s="172"/>
      <c r="C278" s="160"/>
      <c r="D278" s="160"/>
      <c r="E278" s="173"/>
      <c r="F278" s="174"/>
      <c r="G278" s="175"/>
      <c r="H278" s="175"/>
      <c r="I278" s="158"/>
      <c r="J278" s="176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</row>
    <row r="279" spans="1:29" ht="13.2" x14ac:dyDescent="0.25">
      <c r="A279" s="171"/>
      <c r="B279" s="172"/>
      <c r="C279" s="160"/>
      <c r="D279" s="160"/>
      <c r="E279" s="173"/>
      <c r="F279" s="174"/>
      <c r="G279" s="175"/>
      <c r="H279" s="175"/>
      <c r="I279" s="158"/>
      <c r="J279" s="176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</row>
    <row r="280" spans="1:29" ht="13.2" x14ac:dyDescent="0.25">
      <c r="A280" s="171"/>
      <c r="B280" s="172"/>
      <c r="C280" s="160"/>
      <c r="D280" s="160"/>
      <c r="E280" s="173"/>
      <c r="F280" s="174"/>
      <c r="G280" s="175"/>
      <c r="H280" s="175"/>
      <c r="I280" s="158"/>
      <c r="J280" s="176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</row>
    <row r="281" spans="1:29" ht="13.2" x14ac:dyDescent="0.25">
      <c r="A281" s="171"/>
      <c r="B281" s="172"/>
      <c r="C281" s="160"/>
      <c r="D281" s="160"/>
      <c r="E281" s="173"/>
      <c r="F281" s="174"/>
      <c r="G281" s="175"/>
      <c r="H281" s="175"/>
      <c r="I281" s="158"/>
      <c r="J281" s="176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</row>
    <row r="282" spans="1:29" ht="13.2" x14ac:dyDescent="0.25">
      <c r="A282" s="171"/>
      <c r="B282" s="172"/>
      <c r="C282" s="160"/>
      <c r="D282" s="160"/>
      <c r="E282" s="173"/>
      <c r="F282" s="174"/>
      <c r="G282" s="175"/>
      <c r="H282" s="175"/>
      <c r="I282" s="158"/>
      <c r="J282" s="176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</row>
    <row r="283" spans="1:29" ht="13.2" x14ac:dyDescent="0.25">
      <c r="A283" s="171"/>
      <c r="B283" s="172"/>
      <c r="C283" s="160"/>
      <c r="D283" s="160"/>
      <c r="E283" s="173"/>
      <c r="F283" s="174"/>
      <c r="G283" s="175"/>
      <c r="H283" s="175"/>
      <c r="I283" s="158"/>
      <c r="J283" s="176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</row>
    <row r="284" spans="1:29" ht="13.2" x14ac:dyDescent="0.25">
      <c r="A284" s="171"/>
      <c r="B284" s="172"/>
      <c r="C284" s="160"/>
      <c r="D284" s="160"/>
      <c r="E284" s="173"/>
      <c r="F284" s="174"/>
      <c r="G284" s="175"/>
      <c r="H284" s="175"/>
      <c r="I284" s="158"/>
      <c r="J284" s="176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</row>
    <row r="285" spans="1:29" ht="13.2" x14ac:dyDescent="0.25">
      <c r="A285" s="171"/>
      <c r="B285" s="172"/>
      <c r="C285" s="160"/>
      <c r="D285" s="160"/>
      <c r="E285" s="173"/>
      <c r="F285" s="174"/>
      <c r="G285" s="175"/>
      <c r="H285" s="175"/>
      <c r="I285" s="158"/>
      <c r="J285" s="176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</row>
    <row r="286" spans="1:29" ht="13.2" x14ac:dyDescent="0.25">
      <c r="A286" s="171"/>
      <c r="B286" s="172"/>
      <c r="C286" s="160"/>
      <c r="D286" s="160"/>
      <c r="E286" s="173"/>
      <c r="F286" s="174"/>
      <c r="G286" s="175"/>
      <c r="H286" s="175"/>
      <c r="I286" s="158"/>
      <c r="J286" s="176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</row>
    <row r="287" spans="1:29" ht="13.2" x14ac:dyDescent="0.25">
      <c r="A287" s="171"/>
      <c r="B287" s="172"/>
      <c r="C287" s="160"/>
      <c r="D287" s="160"/>
      <c r="E287" s="173"/>
      <c r="F287" s="174"/>
      <c r="G287" s="175"/>
      <c r="H287" s="175"/>
      <c r="I287" s="158"/>
      <c r="J287" s="176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</row>
    <row r="288" spans="1:29" ht="13.2" x14ac:dyDescent="0.25">
      <c r="A288" s="171"/>
      <c r="B288" s="172"/>
      <c r="C288" s="160"/>
      <c r="D288" s="160"/>
      <c r="E288" s="173"/>
      <c r="F288" s="174"/>
      <c r="G288" s="175"/>
      <c r="H288" s="175"/>
      <c r="I288" s="158"/>
      <c r="J288" s="176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</row>
    <row r="289" spans="1:29" ht="13.2" x14ac:dyDescent="0.25">
      <c r="A289" s="171"/>
      <c r="B289" s="172"/>
      <c r="C289" s="160"/>
      <c r="D289" s="160"/>
      <c r="E289" s="173"/>
      <c r="F289" s="174"/>
      <c r="G289" s="175"/>
      <c r="H289" s="175"/>
      <c r="I289" s="158"/>
      <c r="J289" s="176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</row>
    <row r="290" spans="1:29" ht="13.2" x14ac:dyDescent="0.25">
      <c r="A290" s="171"/>
      <c r="B290" s="172"/>
      <c r="C290" s="160"/>
      <c r="D290" s="160"/>
      <c r="E290" s="173"/>
      <c r="F290" s="174"/>
      <c r="G290" s="175"/>
      <c r="H290" s="175"/>
      <c r="I290" s="158"/>
      <c r="J290" s="176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</row>
    <row r="291" spans="1:29" ht="13.2" x14ac:dyDescent="0.25">
      <c r="A291" s="171"/>
      <c r="B291" s="172"/>
      <c r="C291" s="160"/>
      <c r="D291" s="160"/>
      <c r="E291" s="173"/>
      <c r="F291" s="174"/>
      <c r="G291" s="175"/>
      <c r="H291" s="175"/>
      <c r="I291" s="158"/>
      <c r="J291" s="176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</row>
    <row r="292" spans="1:29" ht="13.2" x14ac:dyDescent="0.25">
      <c r="A292" s="171"/>
      <c r="B292" s="172"/>
      <c r="C292" s="160"/>
      <c r="D292" s="160"/>
      <c r="E292" s="173"/>
      <c r="F292" s="174"/>
      <c r="G292" s="175"/>
      <c r="H292" s="175"/>
      <c r="I292" s="158"/>
      <c r="J292" s="176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</row>
    <row r="293" spans="1:29" ht="13.2" x14ac:dyDescent="0.25">
      <c r="A293" s="171"/>
      <c r="B293" s="172"/>
      <c r="C293" s="160"/>
      <c r="D293" s="160"/>
      <c r="E293" s="173"/>
      <c r="F293" s="174"/>
      <c r="G293" s="175"/>
      <c r="H293" s="175"/>
      <c r="I293" s="158"/>
      <c r="J293" s="176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</row>
    <row r="294" spans="1:29" ht="13.2" x14ac:dyDescent="0.25">
      <c r="A294" s="171"/>
      <c r="B294" s="172"/>
      <c r="C294" s="160"/>
      <c r="D294" s="160"/>
      <c r="E294" s="173"/>
      <c r="F294" s="174"/>
      <c r="G294" s="175"/>
      <c r="H294" s="175"/>
      <c r="I294" s="158"/>
      <c r="J294" s="176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</row>
    <row r="295" spans="1:29" ht="13.2" x14ac:dyDescent="0.25">
      <c r="A295" s="171"/>
      <c r="B295" s="172"/>
      <c r="C295" s="160"/>
      <c r="D295" s="160"/>
      <c r="E295" s="173"/>
      <c r="F295" s="174"/>
      <c r="G295" s="175"/>
      <c r="H295" s="175"/>
      <c r="I295" s="158"/>
      <c r="J295" s="176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</row>
    <row r="296" spans="1:29" ht="13.2" x14ac:dyDescent="0.25">
      <c r="A296" s="171"/>
      <c r="B296" s="172"/>
      <c r="C296" s="160"/>
      <c r="D296" s="160"/>
      <c r="E296" s="173"/>
      <c r="F296" s="174"/>
      <c r="G296" s="175"/>
      <c r="H296" s="175"/>
      <c r="I296" s="158"/>
      <c r="J296" s="176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</row>
    <row r="297" spans="1:29" ht="13.2" x14ac:dyDescent="0.25">
      <c r="A297" s="171"/>
      <c r="B297" s="172"/>
      <c r="C297" s="160"/>
      <c r="D297" s="160"/>
      <c r="E297" s="173"/>
      <c r="F297" s="174"/>
      <c r="G297" s="175"/>
      <c r="H297" s="175"/>
      <c r="I297" s="158"/>
      <c r="J297" s="176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</row>
    <row r="298" spans="1:29" ht="13.2" x14ac:dyDescent="0.25">
      <c r="A298" s="171"/>
      <c r="B298" s="172"/>
      <c r="C298" s="160"/>
      <c r="D298" s="160"/>
      <c r="E298" s="173"/>
      <c r="F298" s="174"/>
      <c r="G298" s="175"/>
      <c r="H298" s="175"/>
      <c r="I298" s="158"/>
      <c r="J298" s="176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</row>
    <row r="299" spans="1:29" ht="13.2" x14ac:dyDescent="0.25">
      <c r="A299" s="171"/>
      <c r="B299" s="172"/>
      <c r="C299" s="160"/>
      <c r="D299" s="160"/>
      <c r="E299" s="173"/>
      <c r="F299" s="174"/>
      <c r="G299" s="175"/>
      <c r="H299" s="175"/>
      <c r="I299" s="158"/>
      <c r="J299" s="176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</row>
    <row r="300" spans="1:29" ht="13.2" x14ac:dyDescent="0.25">
      <c r="A300" s="171"/>
      <c r="B300" s="172"/>
      <c r="C300" s="160"/>
      <c r="D300" s="160"/>
      <c r="E300" s="173"/>
      <c r="F300" s="174"/>
      <c r="G300" s="175"/>
      <c r="H300" s="175"/>
      <c r="I300" s="158"/>
      <c r="J300" s="176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</row>
    <row r="301" spans="1:29" ht="13.2" x14ac:dyDescent="0.25">
      <c r="A301" s="171"/>
      <c r="B301" s="172"/>
      <c r="C301" s="160"/>
      <c r="D301" s="160"/>
      <c r="E301" s="173"/>
      <c r="F301" s="174"/>
      <c r="G301" s="175"/>
      <c r="H301" s="175"/>
      <c r="I301" s="158"/>
      <c r="J301" s="176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</row>
    <row r="302" spans="1:29" ht="13.2" x14ac:dyDescent="0.25">
      <c r="A302" s="171"/>
      <c r="B302" s="172"/>
      <c r="C302" s="160"/>
      <c r="D302" s="160"/>
      <c r="E302" s="173"/>
      <c r="F302" s="174"/>
      <c r="G302" s="175"/>
      <c r="H302" s="175"/>
      <c r="I302" s="158"/>
      <c r="J302" s="176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</row>
    <row r="303" spans="1:29" ht="13.2" x14ac:dyDescent="0.25">
      <c r="A303" s="171"/>
      <c r="B303" s="172"/>
      <c r="C303" s="160"/>
      <c r="D303" s="160"/>
      <c r="E303" s="173"/>
      <c r="F303" s="174"/>
      <c r="G303" s="175"/>
      <c r="H303" s="175"/>
      <c r="I303" s="158"/>
      <c r="J303" s="176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</row>
    <row r="304" spans="1:29" ht="13.2" x14ac:dyDescent="0.25">
      <c r="A304" s="171"/>
      <c r="B304" s="172"/>
      <c r="C304" s="160"/>
      <c r="D304" s="160"/>
      <c r="E304" s="173"/>
      <c r="F304" s="174"/>
      <c r="G304" s="175"/>
      <c r="H304" s="175"/>
      <c r="I304" s="158"/>
      <c r="J304" s="176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</row>
    <row r="305" spans="1:29" ht="13.2" x14ac:dyDescent="0.25">
      <c r="A305" s="171"/>
      <c r="B305" s="172"/>
      <c r="C305" s="160"/>
      <c r="D305" s="160"/>
      <c r="E305" s="173"/>
      <c r="F305" s="174"/>
      <c r="G305" s="175"/>
      <c r="H305" s="175"/>
      <c r="I305" s="158"/>
      <c r="J305" s="176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</row>
    <row r="306" spans="1:29" ht="13.2" x14ac:dyDescent="0.25">
      <c r="A306" s="171"/>
      <c r="B306" s="172"/>
      <c r="C306" s="160"/>
      <c r="D306" s="160"/>
      <c r="E306" s="173"/>
      <c r="F306" s="174"/>
      <c r="G306" s="175"/>
      <c r="H306" s="175"/>
      <c r="I306" s="158"/>
      <c r="J306" s="176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</row>
    <row r="307" spans="1:29" ht="13.2" x14ac:dyDescent="0.25">
      <c r="A307" s="171"/>
      <c r="B307" s="172"/>
      <c r="C307" s="160"/>
      <c r="D307" s="160"/>
      <c r="E307" s="173"/>
      <c r="F307" s="174"/>
      <c r="G307" s="175"/>
      <c r="H307" s="175"/>
      <c r="I307" s="158"/>
      <c r="J307" s="176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</row>
    <row r="308" spans="1:29" ht="13.2" x14ac:dyDescent="0.25">
      <c r="A308" s="171"/>
      <c r="B308" s="172"/>
      <c r="C308" s="160"/>
      <c r="D308" s="160"/>
      <c r="E308" s="173"/>
      <c r="F308" s="174"/>
      <c r="G308" s="175"/>
      <c r="H308" s="175"/>
      <c r="I308" s="158"/>
      <c r="J308" s="176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</row>
    <row r="309" spans="1:29" ht="13.2" x14ac:dyDescent="0.25">
      <c r="A309" s="171"/>
      <c r="B309" s="172"/>
      <c r="C309" s="160"/>
      <c r="D309" s="160"/>
      <c r="E309" s="173"/>
      <c r="F309" s="174"/>
      <c r="G309" s="175"/>
      <c r="H309" s="175"/>
      <c r="I309" s="158"/>
      <c r="J309" s="176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</row>
    <row r="310" spans="1:29" ht="13.2" x14ac:dyDescent="0.25">
      <c r="A310" s="171"/>
      <c r="B310" s="172"/>
      <c r="C310" s="160"/>
      <c r="D310" s="160"/>
      <c r="E310" s="173"/>
      <c r="F310" s="174"/>
      <c r="G310" s="175"/>
      <c r="H310" s="175"/>
      <c r="I310" s="158"/>
      <c r="J310" s="176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</row>
    <row r="311" spans="1:29" ht="13.2" x14ac:dyDescent="0.25">
      <c r="A311" s="171"/>
      <c r="B311" s="172"/>
      <c r="C311" s="160"/>
      <c r="D311" s="160"/>
      <c r="E311" s="173"/>
      <c r="F311" s="174"/>
      <c r="G311" s="175"/>
      <c r="H311" s="175"/>
      <c r="I311" s="158"/>
      <c r="J311" s="176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</row>
    <row r="312" spans="1:29" ht="13.2" x14ac:dyDescent="0.25">
      <c r="A312" s="171"/>
      <c r="B312" s="172"/>
      <c r="C312" s="160"/>
      <c r="D312" s="160"/>
      <c r="E312" s="173"/>
      <c r="F312" s="174"/>
      <c r="G312" s="175"/>
      <c r="H312" s="175"/>
      <c r="I312" s="158"/>
      <c r="J312" s="176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</row>
    <row r="313" spans="1:29" ht="13.2" x14ac:dyDescent="0.25">
      <c r="A313" s="171"/>
      <c r="B313" s="172"/>
      <c r="C313" s="160"/>
      <c r="D313" s="160"/>
      <c r="E313" s="173"/>
      <c r="F313" s="174"/>
      <c r="G313" s="175"/>
      <c r="H313" s="175"/>
      <c r="I313" s="158"/>
      <c r="J313" s="176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</row>
    <row r="314" spans="1:29" ht="13.2" x14ac:dyDescent="0.25">
      <c r="A314" s="171"/>
      <c r="B314" s="172"/>
      <c r="C314" s="160"/>
      <c r="D314" s="160"/>
      <c r="E314" s="173"/>
      <c r="F314" s="174"/>
      <c r="G314" s="175"/>
      <c r="H314" s="175"/>
      <c r="I314" s="158"/>
      <c r="J314" s="176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</row>
    <row r="315" spans="1:29" ht="13.2" x14ac:dyDescent="0.25">
      <c r="A315" s="171"/>
      <c r="B315" s="172"/>
      <c r="C315" s="160"/>
      <c r="D315" s="160"/>
      <c r="E315" s="173"/>
      <c r="F315" s="174"/>
      <c r="G315" s="175"/>
      <c r="H315" s="175"/>
      <c r="I315" s="158"/>
      <c r="J315" s="176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</row>
    <row r="316" spans="1:29" ht="13.2" x14ac:dyDescent="0.25">
      <c r="A316" s="171"/>
      <c r="B316" s="172"/>
      <c r="C316" s="160"/>
      <c r="D316" s="160"/>
      <c r="E316" s="173"/>
      <c r="F316" s="174"/>
      <c r="G316" s="175"/>
      <c r="H316" s="175"/>
      <c r="I316" s="158"/>
      <c r="J316" s="176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</row>
    <row r="317" spans="1:29" ht="13.2" x14ac:dyDescent="0.25">
      <c r="A317" s="171"/>
      <c r="B317" s="172"/>
      <c r="C317" s="160"/>
      <c r="D317" s="160"/>
      <c r="E317" s="173"/>
      <c r="F317" s="174"/>
      <c r="G317" s="175"/>
      <c r="H317" s="175"/>
      <c r="I317" s="158"/>
      <c r="J317" s="176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</row>
    <row r="318" spans="1:29" ht="13.2" x14ac:dyDescent="0.25">
      <c r="A318" s="171"/>
      <c r="B318" s="172"/>
      <c r="C318" s="160"/>
      <c r="D318" s="160"/>
      <c r="E318" s="173"/>
      <c r="F318" s="174"/>
      <c r="G318" s="175"/>
      <c r="H318" s="175"/>
      <c r="I318" s="158"/>
      <c r="J318" s="176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</row>
    <row r="319" spans="1:29" ht="13.2" x14ac:dyDescent="0.25">
      <c r="A319" s="171"/>
      <c r="B319" s="172"/>
      <c r="C319" s="160"/>
      <c r="D319" s="160"/>
      <c r="E319" s="173"/>
      <c r="F319" s="174"/>
      <c r="G319" s="175"/>
      <c r="H319" s="175"/>
      <c r="I319" s="158"/>
      <c r="J319" s="176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</row>
    <row r="320" spans="1:29" ht="13.2" x14ac:dyDescent="0.25">
      <c r="A320" s="171"/>
      <c r="B320" s="172"/>
      <c r="C320" s="160"/>
      <c r="D320" s="160"/>
      <c r="E320" s="173"/>
      <c r="F320" s="174"/>
      <c r="G320" s="175"/>
      <c r="H320" s="175"/>
      <c r="I320" s="158"/>
      <c r="J320" s="176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</row>
    <row r="321" spans="1:29" ht="13.2" x14ac:dyDescent="0.25">
      <c r="A321" s="171"/>
      <c r="B321" s="172"/>
      <c r="C321" s="160"/>
      <c r="D321" s="160"/>
      <c r="E321" s="173"/>
      <c r="F321" s="174"/>
      <c r="G321" s="175"/>
      <c r="H321" s="175"/>
      <c r="I321" s="158"/>
      <c r="J321" s="176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</row>
    <row r="322" spans="1:29" ht="13.2" x14ac:dyDescent="0.25">
      <c r="A322" s="171"/>
      <c r="B322" s="172"/>
      <c r="C322" s="160"/>
      <c r="D322" s="160"/>
      <c r="E322" s="173"/>
      <c r="F322" s="174"/>
      <c r="G322" s="175"/>
      <c r="H322" s="175"/>
      <c r="I322" s="171"/>
      <c r="J322" s="176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</row>
    <row r="323" spans="1:29" ht="13.2" x14ac:dyDescent="0.25">
      <c r="A323" s="171"/>
      <c r="B323" s="172"/>
      <c r="C323" s="160"/>
      <c r="D323" s="160"/>
      <c r="E323" s="173"/>
      <c r="F323" s="174"/>
      <c r="G323" s="175"/>
      <c r="H323" s="175"/>
      <c r="I323" s="171"/>
      <c r="J323" s="176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</row>
    <row r="324" spans="1:29" ht="13.2" x14ac:dyDescent="0.25">
      <c r="A324" s="171"/>
      <c r="B324" s="172"/>
      <c r="C324" s="160"/>
      <c r="D324" s="160"/>
      <c r="E324" s="173"/>
      <c r="F324" s="174"/>
      <c r="G324" s="175"/>
      <c r="H324" s="175"/>
      <c r="I324" s="171"/>
      <c r="J324" s="176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</row>
    <row r="325" spans="1:29" ht="13.2" x14ac:dyDescent="0.25">
      <c r="A325" s="171"/>
      <c r="B325" s="172"/>
      <c r="C325" s="160"/>
      <c r="D325" s="160"/>
      <c r="E325" s="173"/>
      <c r="F325" s="174"/>
      <c r="G325" s="175"/>
      <c r="H325" s="175"/>
      <c r="I325" s="171"/>
      <c r="J325" s="176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</row>
    <row r="326" spans="1:29" ht="13.2" x14ac:dyDescent="0.25">
      <c r="A326" s="171"/>
      <c r="B326" s="172"/>
      <c r="C326" s="160"/>
      <c r="D326" s="160"/>
      <c r="E326" s="173"/>
      <c r="F326" s="174"/>
      <c r="G326" s="175"/>
      <c r="H326" s="175"/>
      <c r="I326" s="171"/>
      <c r="J326" s="176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</row>
    <row r="327" spans="1:29" ht="13.2" x14ac:dyDescent="0.25">
      <c r="A327" s="171"/>
      <c r="B327" s="172"/>
      <c r="C327" s="160"/>
      <c r="D327" s="160"/>
      <c r="E327" s="173"/>
      <c r="F327" s="174"/>
      <c r="G327" s="175"/>
      <c r="H327" s="175"/>
      <c r="I327" s="171"/>
      <c r="J327" s="176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</row>
    <row r="328" spans="1:29" ht="13.2" x14ac:dyDescent="0.25">
      <c r="A328" s="171"/>
      <c r="B328" s="172"/>
      <c r="C328" s="160"/>
      <c r="D328" s="160"/>
      <c r="E328" s="173"/>
      <c r="F328" s="174"/>
      <c r="G328" s="175"/>
      <c r="H328" s="175"/>
      <c r="I328" s="171"/>
      <c r="J328" s="176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</row>
    <row r="329" spans="1:29" ht="13.2" x14ac:dyDescent="0.25">
      <c r="A329" s="171"/>
      <c r="B329" s="172"/>
      <c r="C329" s="160"/>
      <c r="D329" s="160"/>
      <c r="E329" s="173"/>
      <c r="F329" s="174"/>
      <c r="G329" s="175"/>
      <c r="H329" s="175"/>
      <c r="I329" s="171"/>
      <c r="J329" s="176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</row>
    <row r="330" spans="1:29" ht="13.2" x14ac:dyDescent="0.25">
      <c r="A330" s="171"/>
      <c r="B330" s="172"/>
      <c r="C330" s="160"/>
      <c r="D330" s="160"/>
      <c r="E330" s="173"/>
      <c r="F330" s="174"/>
      <c r="G330" s="175"/>
      <c r="H330" s="175"/>
      <c r="I330" s="171"/>
      <c r="J330" s="176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</row>
    <row r="331" spans="1:29" ht="13.2" x14ac:dyDescent="0.25">
      <c r="A331" s="171"/>
      <c r="B331" s="172"/>
      <c r="C331" s="160"/>
      <c r="D331" s="160"/>
      <c r="E331" s="173"/>
      <c r="F331" s="174"/>
      <c r="G331" s="175"/>
      <c r="H331" s="175"/>
      <c r="I331" s="171"/>
      <c r="J331" s="176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</row>
    <row r="332" spans="1:29" ht="13.2" x14ac:dyDescent="0.25">
      <c r="A332" s="171"/>
      <c r="B332" s="172"/>
      <c r="C332" s="160"/>
      <c r="D332" s="160"/>
      <c r="E332" s="173"/>
      <c r="F332" s="174"/>
      <c r="G332" s="175"/>
      <c r="H332" s="175"/>
      <c r="I332" s="171"/>
      <c r="J332" s="176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</row>
    <row r="333" spans="1:29" ht="13.2" x14ac:dyDescent="0.25">
      <c r="A333" s="171"/>
      <c r="B333" s="172"/>
      <c r="C333" s="160"/>
      <c r="D333" s="160"/>
      <c r="E333" s="173"/>
      <c r="F333" s="174"/>
      <c r="G333" s="175"/>
      <c r="H333" s="175"/>
      <c r="I333" s="171"/>
      <c r="J333" s="176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</row>
    <row r="334" spans="1:29" ht="13.2" x14ac:dyDescent="0.25">
      <c r="A334" s="171"/>
      <c r="B334" s="172"/>
      <c r="C334" s="160"/>
      <c r="D334" s="160"/>
      <c r="E334" s="173"/>
      <c r="F334" s="174"/>
      <c r="G334" s="175"/>
      <c r="H334" s="175"/>
      <c r="I334" s="171"/>
      <c r="J334" s="176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</row>
    <row r="335" spans="1:29" ht="13.2" x14ac:dyDescent="0.25">
      <c r="A335" s="171"/>
      <c r="B335" s="172"/>
      <c r="C335" s="160"/>
      <c r="D335" s="160"/>
      <c r="E335" s="173"/>
      <c r="F335" s="174"/>
      <c r="G335" s="175"/>
      <c r="H335" s="175"/>
      <c r="I335" s="171"/>
      <c r="J335" s="176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</row>
    <row r="336" spans="1:29" ht="13.2" x14ac:dyDescent="0.25">
      <c r="A336" s="171"/>
      <c r="B336" s="172"/>
      <c r="C336" s="160"/>
      <c r="D336" s="160"/>
      <c r="E336" s="173"/>
      <c r="F336" s="174"/>
      <c r="G336" s="175"/>
      <c r="H336" s="175"/>
      <c r="I336" s="171"/>
      <c r="J336" s="176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</row>
    <row r="337" spans="1:29" ht="13.2" x14ac:dyDescent="0.25">
      <c r="A337" s="171"/>
      <c r="B337" s="172"/>
      <c r="C337" s="160"/>
      <c r="D337" s="160"/>
      <c r="E337" s="173"/>
      <c r="F337" s="174"/>
      <c r="G337" s="175"/>
      <c r="H337" s="175"/>
      <c r="I337" s="171"/>
      <c r="J337" s="176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</row>
    <row r="338" spans="1:29" ht="13.2" x14ac:dyDescent="0.25">
      <c r="A338" s="171"/>
      <c r="B338" s="172"/>
      <c r="C338" s="160"/>
      <c r="D338" s="160"/>
      <c r="E338" s="173"/>
      <c r="F338" s="174"/>
      <c r="G338" s="175"/>
      <c r="H338" s="175"/>
      <c r="I338" s="171"/>
      <c r="J338" s="176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</row>
    <row r="339" spans="1:29" ht="13.2" x14ac:dyDescent="0.25">
      <c r="A339" s="171"/>
      <c r="B339" s="172"/>
      <c r="C339" s="160"/>
      <c r="D339" s="160"/>
      <c r="E339" s="173"/>
      <c r="F339" s="174"/>
      <c r="G339" s="175"/>
      <c r="H339" s="175"/>
      <c r="I339" s="171"/>
      <c r="J339" s="176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</row>
    <row r="340" spans="1:29" ht="13.2" x14ac:dyDescent="0.25">
      <c r="A340" s="171"/>
      <c r="B340" s="172"/>
      <c r="C340" s="160"/>
      <c r="D340" s="160"/>
      <c r="E340" s="173"/>
      <c r="F340" s="174"/>
      <c r="G340" s="175"/>
      <c r="H340" s="175"/>
      <c r="I340" s="171"/>
      <c r="J340" s="176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</row>
    <row r="341" spans="1:29" ht="13.2" x14ac:dyDescent="0.25">
      <c r="A341" s="171"/>
      <c r="B341" s="172"/>
      <c r="C341" s="160"/>
      <c r="D341" s="160"/>
      <c r="E341" s="173"/>
      <c r="F341" s="174"/>
      <c r="G341" s="175"/>
      <c r="H341" s="175"/>
      <c r="I341" s="171"/>
      <c r="J341" s="176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</row>
    <row r="342" spans="1:29" ht="13.2" x14ac:dyDescent="0.25">
      <c r="A342" s="171"/>
      <c r="B342" s="172"/>
      <c r="C342" s="160"/>
      <c r="D342" s="160"/>
      <c r="E342" s="173"/>
      <c r="F342" s="174"/>
      <c r="G342" s="175"/>
      <c r="H342" s="175"/>
      <c r="I342" s="171"/>
      <c r="J342" s="176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</row>
    <row r="343" spans="1:29" ht="13.2" x14ac:dyDescent="0.25">
      <c r="A343" s="171"/>
      <c r="B343" s="172"/>
      <c r="C343" s="160"/>
      <c r="D343" s="160"/>
      <c r="E343" s="173"/>
      <c r="F343" s="174"/>
      <c r="G343" s="175"/>
      <c r="H343" s="175"/>
      <c r="I343" s="171"/>
      <c r="J343" s="176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</row>
    <row r="344" spans="1:29" ht="13.2" x14ac:dyDescent="0.25">
      <c r="A344" s="171"/>
      <c r="B344" s="172"/>
      <c r="C344" s="160"/>
      <c r="D344" s="160"/>
      <c r="E344" s="173"/>
      <c r="F344" s="174"/>
      <c r="G344" s="175"/>
      <c r="H344" s="175"/>
      <c r="I344" s="171"/>
      <c r="J344" s="176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</row>
    <row r="345" spans="1:29" ht="13.2" x14ac:dyDescent="0.25">
      <c r="A345" s="171"/>
      <c r="B345" s="172"/>
      <c r="C345" s="160"/>
      <c r="D345" s="160"/>
      <c r="E345" s="173"/>
      <c r="F345" s="174"/>
      <c r="G345" s="175"/>
      <c r="H345" s="175"/>
      <c r="I345" s="171"/>
      <c r="J345" s="176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</row>
    <row r="346" spans="1:29" ht="13.2" x14ac:dyDescent="0.25">
      <c r="A346" s="171"/>
      <c r="B346" s="172"/>
      <c r="C346" s="160"/>
      <c r="D346" s="160"/>
      <c r="E346" s="173"/>
      <c r="F346" s="174"/>
      <c r="G346" s="175"/>
      <c r="H346" s="175"/>
      <c r="I346" s="171"/>
      <c r="J346" s="176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</row>
    <row r="347" spans="1:29" ht="13.2" x14ac:dyDescent="0.25">
      <c r="A347" s="171"/>
      <c r="B347" s="172"/>
      <c r="C347" s="160"/>
      <c r="D347" s="160"/>
      <c r="E347" s="173"/>
      <c r="F347" s="174"/>
      <c r="G347" s="175"/>
      <c r="H347" s="175"/>
      <c r="I347" s="171"/>
      <c r="J347" s="176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</row>
    <row r="348" spans="1:29" ht="13.2" x14ac:dyDescent="0.25">
      <c r="A348" s="171"/>
      <c r="B348" s="172"/>
      <c r="C348" s="160"/>
      <c r="D348" s="160"/>
      <c r="E348" s="173"/>
      <c r="F348" s="174"/>
      <c r="G348" s="175"/>
      <c r="H348" s="175"/>
      <c r="I348" s="171"/>
      <c r="J348" s="176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</row>
    <row r="349" spans="1:29" ht="13.2" x14ac:dyDescent="0.25">
      <c r="A349" s="171"/>
      <c r="B349" s="172"/>
      <c r="C349" s="160"/>
      <c r="D349" s="160"/>
      <c r="E349" s="173"/>
      <c r="F349" s="174"/>
      <c r="G349" s="175"/>
      <c r="H349" s="175"/>
      <c r="I349" s="171"/>
      <c r="J349" s="176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</row>
    <row r="350" spans="1:29" ht="13.2" x14ac:dyDescent="0.25">
      <c r="A350" s="171"/>
      <c r="B350" s="172"/>
      <c r="C350" s="160"/>
      <c r="D350" s="160"/>
      <c r="E350" s="173"/>
      <c r="F350" s="174"/>
      <c r="G350" s="175"/>
      <c r="H350" s="175"/>
      <c r="I350" s="171"/>
      <c r="J350" s="176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</row>
    <row r="351" spans="1:29" ht="13.2" x14ac:dyDescent="0.25">
      <c r="A351" s="171"/>
      <c r="B351" s="172"/>
      <c r="C351" s="160"/>
      <c r="D351" s="160"/>
      <c r="E351" s="173"/>
      <c r="F351" s="174"/>
      <c r="G351" s="175"/>
      <c r="H351" s="175"/>
      <c r="I351" s="171"/>
      <c r="J351" s="176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</row>
    <row r="352" spans="1:29" ht="13.2" x14ac:dyDescent="0.25">
      <c r="A352" s="171"/>
      <c r="B352" s="172"/>
      <c r="C352" s="160"/>
      <c r="D352" s="160"/>
      <c r="E352" s="173"/>
      <c r="F352" s="174"/>
      <c r="G352" s="175"/>
      <c r="H352" s="175"/>
      <c r="I352" s="171"/>
      <c r="J352" s="176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</row>
    <row r="353" spans="1:29" ht="13.2" x14ac:dyDescent="0.25">
      <c r="A353" s="171"/>
      <c r="B353" s="172"/>
      <c r="C353" s="160"/>
      <c r="D353" s="160"/>
      <c r="E353" s="173"/>
      <c r="F353" s="174"/>
      <c r="G353" s="175"/>
      <c r="H353" s="175"/>
      <c r="I353" s="171"/>
      <c r="J353" s="176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</row>
    <row r="354" spans="1:29" ht="13.2" x14ac:dyDescent="0.25">
      <c r="A354" s="171"/>
      <c r="B354" s="172"/>
      <c r="C354" s="160"/>
      <c r="D354" s="160"/>
      <c r="E354" s="173"/>
      <c r="F354" s="174"/>
      <c r="G354" s="175"/>
      <c r="H354" s="175"/>
      <c r="I354" s="171"/>
      <c r="J354" s="176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</row>
    <row r="355" spans="1:29" ht="13.2" x14ac:dyDescent="0.25">
      <c r="A355" s="171"/>
      <c r="B355" s="172"/>
      <c r="C355" s="160"/>
      <c r="D355" s="160"/>
      <c r="E355" s="173"/>
      <c r="F355" s="174"/>
      <c r="G355" s="175"/>
      <c r="H355" s="175"/>
      <c r="I355" s="171"/>
      <c r="J355" s="176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</row>
    <row r="356" spans="1:29" ht="13.2" x14ac:dyDescent="0.25">
      <c r="A356" s="171"/>
      <c r="B356" s="172"/>
      <c r="C356" s="160"/>
      <c r="D356" s="160"/>
      <c r="E356" s="173"/>
      <c r="F356" s="174"/>
      <c r="G356" s="175"/>
      <c r="H356" s="175"/>
      <c r="I356" s="171"/>
      <c r="J356" s="176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</row>
    <row r="357" spans="1:29" ht="13.2" x14ac:dyDescent="0.25">
      <c r="A357" s="171"/>
      <c r="B357" s="172"/>
      <c r="C357" s="160"/>
      <c r="D357" s="160"/>
      <c r="E357" s="173"/>
      <c r="F357" s="174"/>
      <c r="G357" s="175"/>
      <c r="H357" s="175"/>
      <c r="I357" s="171"/>
      <c r="J357" s="176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</row>
    <row r="358" spans="1:29" ht="13.2" x14ac:dyDescent="0.25">
      <c r="A358" s="171"/>
      <c r="B358" s="172"/>
      <c r="C358" s="160"/>
      <c r="D358" s="160"/>
      <c r="E358" s="173"/>
      <c r="F358" s="174"/>
      <c r="G358" s="175"/>
      <c r="H358" s="175"/>
      <c r="I358" s="171"/>
      <c r="J358" s="176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</row>
    <row r="359" spans="1:29" ht="13.2" x14ac:dyDescent="0.25">
      <c r="A359" s="171"/>
      <c r="B359" s="172"/>
      <c r="C359" s="160"/>
      <c r="D359" s="160"/>
      <c r="E359" s="173"/>
      <c r="F359" s="174"/>
      <c r="G359" s="175"/>
      <c r="H359" s="175"/>
      <c r="I359" s="171"/>
      <c r="J359" s="176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</row>
    <row r="360" spans="1:29" ht="13.2" x14ac:dyDescent="0.25">
      <c r="A360" s="171"/>
      <c r="B360" s="172"/>
      <c r="C360" s="160"/>
      <c r="D360" s="160"/>
      <c r="E360" s="173"/>
      <c r="F360" s="174"/>
      <c r="G360" s="175"/>
      <c r="H360" s="175"/>
      <c r="I360" s="171"/>
      <c r="J360" s="176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</row>
    <row r="361" spans="1:29" ht="13.2" x14ac:dyDescent="0.25">
      <c r="A361" s="171"/>
      <c r="B361" s="172"/>
      <c r="C361" s="160"/>
      <c r="D361" s="160"/>
      <c r="E361" s="173"/>
      <c r="F361" s="174"/>
      <c r="G361" s="175"/>
      <c r="H361" s="175"/>
      <c r="I361" s="171"/>
      <c r="J361" s="176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</row>
    <row r="362" spans="1:29" ht="13.2" x14ac:dyDescent="0.25">
      <c r="A362" s="171"/>
      <c r="B362" s="172"/>
      <c r="C362" s="160"/>
      <c r="D362" s="160"/>
      <c r="E362" s="173"/>
      <c r="F362" s="174"/>
      <c r="G362" s="175"/>
      <c r="H362" s="175"/>
      <c r="I362" s="171"/>
      <c r="J362" s="176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</row>
    <row r="363" spans="1:29" ht="13.2" x14ac:dyDescent="0.25">
      <c r="A363" s="171"/>
      <c r="B363" s="172"/>
      <c r="C363" s="160"/>
      <c r="D363" s="160"/>
      <c r="E363" s="173"/>
      <c r="F363" s="174"/>
      <c r="G363" s="175"/>
      <c r="H363" s="175"/>
      <c r="I363" s="171"/>
      <c r="J363" s="176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</row>
    <row r="364" spans="1:29" ht="13.2" x14ac:dyDescent="0.25">
      <c r="A364" s="171"/>
      <c r="B364" s="172"/>
      <c r="C364" s="160"/>
      <c r="D364" s="160"/>
      <c r="E364" s="173"/>
      <c r="F364" s="174"/>
      <c r="G364" s="175"/>
      <c r="H364" s="175"/>
      <c r="I364" s="171"/>
      <c r="J364" s="176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</row>
    <row r="365" spans="1:29" ht="13.2" x14ac:dyDescent="0.25">
      <c r="A365" s="171"/>
      <c r="B365" s="172"/>
      <c r="C365" s="160"/>
      <c r="D365" s="160"/>
      <c r="E365" s="173"/>
      <c r="F365" s="174"/>
      <c r="G365" s="175"/>
      <c r="H365" s="175"/>
      <c r="I365" s="171"/>
      <c r="J365" s="176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</row>
    <row r="366" spans="1:29" ht="13.2" x14ac:dyDescent="0.25">
      <c r="A366" s="171"/>
      <c r="B366" s="172"/>
      <c r="C366" s="160"/>
      <c r="D366" s="160"/>
      <c r="E366" s="173"/>
      <c r="F366" s="174"/>
      <c r="G366" s="175"/>
      <c r="H366" s="175"/>
      <c r="I366" s="171"/>
      <c r="J366" s="176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</row>
    <row r="367" spans="1:29" ht="13.2" x14ac:dyDescent="0.25">
      <c r="A367" s="171"/>
      <c r="B367" s="172"/>
      <c r="C367" s="160"/>
      <c r="D367" s="160"/>
      <c r="E367" s="173"/>
      <c r="F367" s="174"/>
      <c r="G367" s="175"/>
      <c r="H367" s="175"/>
      <c r="I367" s="171"/>
      <c r="J367" s="176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</row>
    <row r="368" spans="1:29" ht="13.2" x14ac:dyDescent="0.25">
      <c r="A368" s="171"/>
      <c r="B368" s="172"/>
      <c r="C368" s="160"/>
      <c r="D368" s="160"/>
      <c r="E368" s="173"/>
      <c r="F368" s="174"/>
      <c r="G368" s="175"/>
      <c r="H368" s="175"/>
      <c r="I368" s="171"/>
      <c r="J368" s="176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</row>
    <row r="369" spans="1:29" ht="13.2" x14ac:dyDescent="0.25">
      <c r="A369" s="171"/>
      <c r="B369" s="172"/>
      <c r="C369" s="160"/>
      <c r="D369" s="160"/>
      <c r="E369" s="173"/>
      <c r="F369" s="174"/>
      <c r="G369" s="175"/>
      <c r="H369" s="175"/>
      <c r="I369" s="171"/>
      <c r="J369" s="176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</row>
    <row r="370" spans="1:29" ht="13.2" x14ac:dyDescent="0.25">
      <c r="A370" s="171"/>
      <c r="B370" s="172"/>
      <c r="C370" s="160"/>
      <c r="D370" s="160"/>
      <c r="E370" s="173"/>
      <c r="F370" s="174"/>
      <c r="G370" s="175"/>
      <c r="H370" s="175"/>
      <c r="I370" s="171"/>
      <c r="J370" s="176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</row>
    <row r="371" spans="1:29" ht="13.2" x14ac:dyDescent="0.25">
      <c r="A371" s="171"/>
      <c r="B371" s="172"/>
      <c r="C371" s="160"/>
      <c r="D371" s="160"/>
      <c r="E371" s="173"/>
      <c r="F371" s="174"/>
      <c r="G371" s="175"/>
      <c r="H371" s="175"/>
      <c r="I371" s="171"/>
      <c r="J371" s="176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</row>
    <row r="372" spans="1:29" ht="13.2" x14ac:dyDescent="0.25">
      <c r="A372" s="171"/>
      <c r="B372" s="172"/>
      <c r="C372" s="160"/>
      <c r="D372" s="160"/>
      <c r="E372" s="173"/>
      <c r="F372" s="174"/>
      <c r="G372" s="175"/>
      <c r="H372" s="175"/>
      <c r="I372" s="171"/>
      <c r="J372" s="176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</row>
    <row r="373" spans="1:29" ht="13.2" x14ac:dyDescent="0.25">
      <c r="A373" s="171"/>
      <c r="B373" s="172"/>
      <c r="C373" s="160"/>
      <c r="D373" s="160"/>
      <c r="E373" s="173"/>
      <c r="F373" s="174"/>
      <c r="G373" s="175"/>
      <c r="H373" s="175"/>
      <c r="I373" s="171"/>
      <c r="J373" s="176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</row>
    <row r="374" spans="1:29" ht="13.2" x14ac:dyDescent="0.25">
      <c r="A374" s="171"/>
      <c r="B374" s="172"/>
      <c r="C374" s="160"/>
      <c r="D374" s="160"/>
      <c r="E374" s="173"/>
      <c r="F374" s="174"/>
      <c r="G374" s="175"/>
      <c r="H374" s="175"/>
      <c r="I374" s="171"/>
      <c r="J374" s="176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</row>
    <row r="375" spans="1:29" ht="13.2" x14ac:dyDescent="0.25">
      <c r="A375" s="171"/>
      <c r="B375" s="172"/>
      <c r="C375" s="160"/>
      <c r="D375" s="160"/>
      <c r="E375" s="173"/>
      <c r="F375" s="174"/>
      <c r="G375" s="175"/>
      <c r="H375" s="175"/>
      <c r="I375" s="171"/>
      <c r="J375" s="176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</row>
    <row r="376" spans="1:29" ht="13.2" x14ac:dyDescent="0.25">
      <c r="A376" s="171"/>
      <c r="B376" s="172"/>
      <c r="C376" s="160"/>
      <c r="D376" s="160"/>
      <c r="E376" s="173"/>
      <c r="F376" s="174"/>
      <c r="G376" s="175"/>
      <c r="H376" s="175"/>
      <c r="I376" s="171"/>
      <c r="J376" s="176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</row>
    <row r="377" spans="1:29" ht="13.2" x14ac:dyDescent="0.25">
      <c r="A377" s="171"/>
      <c r="B377" s="172"/>
      <c r="C377" s="160"/>
      <c r="D377" s="160"/>
      <c r="E377" s="173"/>
      <c r="F377" s="174"/>
      <c r="G377" s="175"/>
      <c r="H377" s="175"/>
      <c r="I377" s="171"/>
      <c r="J377" s="176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</row>
    <row r="378" spans="1:29" ht="13.2" x14ac:dyDescent="0.25">
      <c r="A378" s="171"/>
      <c r="B378" s="172"/>
      <c r="C378" s="160"/>
      <c r="D378" s="160"/>
      <c r="E378" s="173"/>
      <c r="F378" s="174"/>
      <c r="G378" s="175"/>
      <c r="H378" s="175"/>
      <c r="I378" s="171"/>
      <c r="J378" s="176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</row>
    <row r="379" spans="1:29" ht="13.2" x14ac:dyDescent="0.25">
      <c r="A379" s="171"/>
      <c r="B379" s="172"/>
      <c r="C379" s="160"/>
      <c r="D379" s="160"/>
      <c r="E379" s="173"/>
      <c r="F379" s="174"/>
      <c r="G379" s="175"/>
      <c r="H379" s="175"/>
      <c r="I379" s="171"/>
      <c r="J379" s="176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</row>
    <row r="380" spans="1:29" ht="13.2" x14ac:dyDescent="0.25">
      <c r="A380" s="171"/>
      <c r="B380" s="172"/>
      <c r="C380" s="160"/>
      <c r="D380" s="160"/>
      <c r="E380" s="173"/>
      <c r="F380" s="174"/>
      <c r="G380" s="175"/>
      <c r="H380" s="175"/>
      <c r="I380" s="171"/>
      <c r="J380" s="176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</row>
    <row r="381" spans="1:29" ht="13.2" x14ac:dyDescent="0.25">
      <c r="A381" s="171"/>
      <c r="B381" s="172"/>
      <c r="C381" s="160"/>
      <c r="D381" s="160"/>
      <c r="E381" s="173"/>
      <c r="F381" s="174"/>
      <c r="G381" s="175"/>
      <c r="H381" s="175"/>
      <c r="I381" s="171"/>
      <c r="J381" s="176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</row>
    <row r="382" spans="1:29" ht="13.2" x14ac:dyDescent="0.25">
      <c r="A382" s="171"/>
      <c r="B382" s="172"/>
      <c r="C382" s="160"/>
      <c r="D382" s="160"/>
      <c r="E382" s="173"/>
      <c r="F382" s="174"/>
      <c r="G382" s="175"/>
      <c r="H382" s="175"/>
      <c r="I382" s="171"/>
      <c r="J382" s="176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</row>
    <row r="383" spans="1:29" ht="13.2" x14ac:dyDescent="0.25">
      <c r="A383" s="171"/>
      <c r="B383" s="172"/>
      <c r="C383" s="160"/>
      <c r="D383" s="160"/>
      <c r="E383" s="173"/>
      <c r="F383" s="174"/>
      <c r="G383" s="175"/>
      <c r="H383" s="175"/>
      <c r="I383" s="171"/>
      <c r="J383" s="176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</row>
    <row r="384" spans="1:29" ht="13.2" x14ac:dyDescent="0.25">
      <c r="A384" s="171"/>
      <c r="B384" s="172"/>
      <c r="C384" s="160"/>
      <c r="D384" s="160"/>
      <c r="E384" s="173"/>
      <c r="F384" s="174"/>
      <c r="G384" s="175"/>
      <c r="H384" s="175"/>
      <c r="I384" s="171"/>
      <c r="J384" s="176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</row>
    <row r="385" spans="1:29" ht="13.2" x14ac:dyDescent="0.25">
      <c r="A385" s="171"/>
      <c r="B385" s="172"/>
      <c r="C385" s="160"/>
      <c r="D385" s="160"/>
      <c r="E385" s="173"/>
      <c r="F385" s="174"/>
      <c r="G385" s="175"/>
      <c r="H385" s="175"/>
      <c r="I385" s="171"/>
      <c r="J385" s="176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</row>
    <row r="386" spans="1:29" ht="13.2" x14ac:dyDescent="0.25">
      <c r="A386" s="171"/>
      <c r="B386" s="172"/>
      <c r="C386" s="160"/>
      <c r="D386" s="160"/>
      <c r="E386" s="173"/>
      <c r="F386" s="174"/>
      <c r="G386" s="175"/>
      <c r="H386" s="175"/>
      <c r="I386" s="171"/>
      <c r="J386" s="176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</row>
    <row r="387" spans="1:29" ht="13.2" x14ac:dyDescent="0.25">
      <c r="A387" s="171"/>
      <c r="B387" s="172"/>
      <c r="C387" s="160"/>
      <c r="D387" s="160"/>
      <c r="E387" s="173"/>
      <c r="F387" s="174"/>
      <c r="G387" s="175"/>
      <c r="H387" s="175"/>
      <c r="I387" s="171"/>
      <c r="J387" s="176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</row>
    <row r="388" spans="1:29" ht="13.2" x14ac:dyDescent="0.25">
      <c r="A388" s="171"/>
      <c r="B388" s="172"/>
      <c r="C388" s="160"/>
      <c r="D388" s="160"/>
      <c r="E388" s="173"/>
      <c r="F388" s="174"/>
      <c r="G388" s="175"/>
      <c r="H388" s="175"/>
      <c r="I388" s="171"/>
      <c r="J388" s="176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</row>
    <row r="389" spans="1:29" ht="13.2" x14ac:dyDescent="0.25">
      <c r="A389" s="171"/>
      <c r="B389" s="172"/>
      <c r="C389" s="160"/>
      <c r="D389" s="160"/>
      <c r="E389" s="173"/>
      <c r="F389" s="174"/>
      <c r="G389" s="175"/>
      <c r="H389" s="175"/>
      <c r="I389" s="171"/>
      <c r="J389" s="176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</row>
    <row r="390" spans="1:29" ht="13.2" x14ac:dyDescent="0.25">
      <c r="A390" s="171"/>
      <c r="B390" s="172"/>
      <c r="C390" s="160"/>
      <c r="D390" s="160"/>
      <c r="E390" s="173"/>
      <c r="F390" s="174"/>
      <c r="G390" s="175"/>
      <c r="H390" s="175"/>
      <c r="I390" s="171"/>
      <c r="J390" s="176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</row>
    <row r="391" spans="1:29" ht="13.2" x14ac:dyDescent="0.25">
      <c r="A391" s="171"/>
      <c r="B391" s="172"/>
      <c r="C391" s="160"/>
      <c r="D391" s="160"/>
      <c r="E391" s="173"/>
      <c r="F391" s="174"/>
      <c r="G391" s="175"/>
      <c r="H391" s="175"/>
      <c r="I391" s="171"/>
      <c r="J391" s="176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</row>
    <row r="392" spans="1:29" ht="13.2" x14ac:dyDescent="0.25">
      <c r="A392" s="171"/>
      <c r="B392" s="172"/>
      <c r="C392" s="160"/>
      <c r="D392" s="160"/>
      <c r="E392" s="173"/>
      <c r="F392" s="174"/>
      <c r="G392" s="175"/>
      <c r="H392" s="175"/>
      <c r="I392" s="171"/>
      <c r="J392" s="176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</row>
    <row r="393" spans="1:29" ht="13.2" x14ac:dyDescent="0.25">
      <c r="A393" s="171"/>
      <c r="B393" s="172"/>
      <c r="C393" s="160"/>
      <c r="D393" s="160"/>
      <c r="E393" s="173"/>
      <c r="F393" s="174"/>
      <c r="G393" s="175"/>
      <c r="H393" s="175"/>
      <c r="I393" s="171"/>
      <c r="J393" s="176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</row>
    <row r="394" spans="1:29" ht="13.2" x14ac:dyDescent="0.25">
      <c r="A394" s="171"/>
      <c r="B394" s="172"/>
      <c r="C394" s="160"/>
      <c r="D394" s="160"/>
      <c r="E394" s="173"/>
      <c r="F394" s="174"/>
      <c r="G394" s="175"/>
      <c r="H394" s="175"/>
      <c r="I394" s="171"/>
      <c r="J394" s="176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</row>
    <row r="395" spans="1:29" ht="13.2" x14ac:dyDescent="0.25">
      <c r="A395" s="171"/>
      <c r="B395" s="172"/>
      <c r="C395" s="160"/>
      <c r="D395" s="160"/>
      <c r="E395" s="173"/>
      <c r="F395" s="174"/>
      <c r="G395" s="175"/>
      <c r="H395" s="175"/>
      <c r="I395" s="171"/>
      <c r="J395" s="176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</row>
    <row r="396" spans="1:29" ht="13.2" x14ac:dyDescent="0.25">
      <c r="A396" s="171"/>
      <c r="B396" s="172"/>
      <c r="C396" s="160"/>
      <c r="D396" s="160"/>
      <c r="E396" s="173"/>
      <c r="F396" s="174"/>
      <c r="G396" s="175"/>
      <c r="H396" s="175"/>
      <c r="I396" s="171"/>
      <c r="J396" s="176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</row>
    <row r="397" spans="1:29" ht="13.2" x14ac:dyDescent="0.25">
      <c r="A397" s="171"/>
      <c r="B397" s="172"/>
      <c r="C397" s="160"/>
      <c r="D397" s="160"/>
      <c r="E397" s="173"/>
      <c r="F397" s="174"/>
      <c r="G397" s="175"/>
      <c r="H397" s="175"/>
      <c r="I397" s="171"/>
      <c r="J397" s="176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</row>
    <row r="398" spans="1:29" ht="13.2" x14ac:dyDescent="0.25">
      <c r="A398" s="171"/>
      <c r="B398" s="172"/>
      <c r="C398" s="160"/>
      <c r="D398" s="160"/>
      <c r="E398" s="173"/>
      <c r="F398" s="174"/>
      <c r="G398" s="175"/>
      <c r="H398" s="175"/>
      <c r="I398" s="171"/>
      <c r="J398" s="176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</row>
    <row r="399" spans="1:29" ht="13.2" x14ac:dyDescent="0.25">
      <c r="A399" s="171"/>
      <c r="B399" s="172"/>
      <c r="C399" s="160"/>
      <c r="D399" s="160"/>
      <c r="E399" s="173"/>
      <c r="F399" s="174"/>
      <c r="G399" s="175"/>
      <c r="H399" s="175"/>
      <c r="I399" s="171"/>
      <c r="J399" s="176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</row>
    <row r="400" spans="1:29" ht="13.2" x14ac:dyDescent="0.25">
      <c r="A400" s="171"/>
      <c r="B400" s="172"/>
      <c r="C400" s="160"/>
      <c r="D400" s="160"/>
      <c r="E400" s="173"/>
      <c r="F400" s="174"/>
      <c r="G400" s="175"/>
      <c r="H400" s="175"/>
      <c r="I400" s="171"/>
      <c r="J400" s="176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</row>
    <row r="401" spans="1:29" ht="13.2" x14ac:dyDescent="0.25">
      <c r="A401" s="171"/>
      <c r="B401" s="172"/>
      <c r="C401" s="160"/>
      <c r="D401" s="160"/>
      <c r="E401" s="173"/>
      <c r="F401" s="174"/>
      <c r="G401" s="175"/>
      <c r="H401" s="175"/>
      <c r="I401" s="171"/>
      <c r="J401" s="176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</row>
    <row r="402" spans="1:29" ht="13.2" x14ac:dyDescent="0.25">
      <c r="A402" s="171"/>
      <c r="B402" s="172"/>
      <c r="C402" s="160"/>
      <c r="D402" s="160"/>
      <c r="E402" s="173"/>
      <c r="F402" s="174"/>
      <c r="G402" s="175"/>
      <c r="H402" s="175"/>
      <c r="I402" s="171"/>
      <c r="J402" s="176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</row>
    <row r="403" spans="1:29" ht="13.2" x14ac:dyDescent="0.25">
      <c r="A403" s="171"/>
      <c r="B403" s="172"/>
      <c r="C403" s="160"/>
      <c r="D403" s="160"/>
      <c r="E403" s="173"/>
      <c r="F403" s="174"/>
      <c r="G403" s="175"/>
      <c r="H403" s="175"/>
      <c r="I403" s="171"/>
      <c r="J403" s="176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</row>
    <row r="404" spans="1:29" ht="13.2" x14ac:dyDescent="0.25">
      <c r="A404" s="171"/>
      <c r="B404" s="172"/>
      <c r="C404" s="160"/>
      <c r="D404" s="160"/>
      <c r="E404" s="173"/>
      <c r="F404" s="174"/>
      <c r="G404" s="175"/>
      <c r="H404" s="175"/>
      <c r="I404" s="171"/>
      <c r="J404" s="176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</row>
    <row r="405" spans="1:29" ht="13.2" x14ac:dyDescent="0.25">
      <c r="A405" s="171"/>
      <c r="B405" s="172"/>
      <c r="C405" s="160"/>
      <c r="D405" s="160"/>
      <c r="E405" s="173"/>
      <c r="F405" s="174"/>
      <c r="G405" s="175"/>
      <c r="H405" s="175"/>
      <c r="I405" s="171"/>
      <c r="J405" s="176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</row>
    <row r="406" spans="1:29" ht="13.2" x14ac:dyDescent="0.25">
      <c r="A406" s="171"/>
      <c r="B406" s="172"/>
      <c r="C406" s="160"/>
      <c r="D406" s="160"/>
      <c r="E406" s="173"/>
      <c r="F406" s="174"/>
      <c r="G406" s="175"/>
      <c r="H406" s="175"/>
      <c r="I406" s="171"/>
      <c r="J406" s="176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</row>
    <row r="407" spans="1:29" ht="13.2" x14ac:dyDescent="0.25">
      <c r="A407" s="171"/>
      <c r="B407" s="172"/>
      <c r="C407" s="160"/>
      <c r="D407" s="160"/>
      <c r="E407" s="173"/>
      <c r="F407" s="174"/>
      <c r="G407" s="175"/>
      <c r="H407" s="175"/>
      <c r="I407" s="171"/>
      <c r="J407" s="176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</row>
    <row r="408" spans="1:29" ht="13.2" x14ac:dyDescent="0.25">
      <c r="A408" s="171"/>
      <c r="B408" s="172"/>
      <c r="C408" s="160"/>
      <c r="D408" s="160"/>
      <c r="E408" s="173"/>
      <c r="F408" s="174"/>
      <c r="G408" s="175"/>
      <c r="H408" s="175"/>
      <c r="I408" s="171"/>
      <c r="J408" s="176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</row>
    <row r="409" spans="1:29" ht="13.2" x14ac:dyDescent="0.25">
      <c r="A409" s="171"/>
      <c r="B409" s="172"/>
      <c r="C409" s="160"/>
      <c r="D409" s="160"/>
      <c r="E409" s="173"/>
      <c r="F409" s="174"/>
      <c r="G409" s="175"/>
      <c r="H409" s="175"/>
      <c r="I409" s="171"/>
      <c r="J409" s="176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</row>
    <row r="410" spans="1:29" ht="13.2" x14ac:dyDescent="0.25">
      <c r="A410" s="171"/>
      <c r="B410" s="172"/>
      <c r="C410" s="160"/>
      <c r="D410" s="160"/>
      <c r="E410" s="173"/>
      <c r="F410" s="174"/>
      <c r="G410" s="175"/>
      <c r="H410" s="175"/>
      <c r="I410" s="171"/>
      <c r="J410" s="176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</row>
    <row r="411" spans="1:29" ht="13.2" x14ac:dyDescent="0.25">
      <c r="A411" s="171"/>
      <c r="B411" s="172"/>
      <c r="C411" s="160"/>
      <c r="D411" s="160"/>
      <c r="E411" s="173"/>
      <c r="F411" s="174"/>
      <c r="G411" s="175"/>
      <c r="H411" s="175"/>
      <c r="I411" s="171"/>
      <c r="J411" s="176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</row>
    <row r="412" spans="1:29" ht="13.2" x14ac:dyDescent="0.25">
      <c r="A412" s="171"/>
      <c r="B412" s="172"/>
      <c r="C412" s="160"/>
      <c r="D412" s="160"/>
      <c r="E412" s="173"/>
      <c r="F412" s="174"/>
      <c r="G412" s="175"/>
      <c r="H412" s="175"/>
      <c r="I412" s="171"/>
      <c r="J412" s="176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</row>
    <row r="413" spans="1:29" ht="13.2" x14ac:dyDescent="0.25">
      <c r="A413" s="171"/>
      <c r="B413" s="172"/>
      <c r="C413" s="160"/>
      <c r="D413" s="160"/>
      <c r="E413" s="173"/>
      <c r="F413" s="174"/>
      <c r="G413" s="175"/>
      <c r="H413" s="175"/>
      <c r="I413" s="171"/>
      <c r="J413" s="176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</row>
    <row r="414" spans="1:29" ht="13.2" x14ac:dyDescent="0.25">
      <c r="A414" s="171"/>
      <c r="B414" s="172"/>
      <c r="C414" s="160"/>
      <c r="D414" s="160"/>
      <c r="E414" s="173"/>
      <c r="F414" s="174"/>
      <c r="G414" s="175"/>
      <c r="H414" s="175"/>
      <c r="I414" s="171"/>
      <c r="J414" s="176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</row>
    <row r="415" spans="1:29" ht="13.2" x14ac:dyDescent="0.25">
      <c r="A415" s="171"/>
      <c r="B415" s="172"/>
      <c r="C415" s="160"/>
      <c r="D415" s="160"/>
      <c r="E415" s="173"/>
      <c r="F415" s="174"/>
      <c r="G415" s="175"/>
      <c r="H415" s="175"/>
      <c r="I415" s="171"/>
      <c r="J415" s="176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</row>
    <row r="416" spans="1:29" ht="13.2" x14ac:dyDescent="0.25">
      <c r="A416" s="171"/>
      <c r="B416" s="172"/>
      <c r="C416" s="160"/>
      <c r="D416" s="160"/>
      <c r="E416" s="173"/>
      <c r="F416" s="174"/>
      <c r="G416" s="175"/>
      <c r="H416" s="175"/>
      <c r="I416" s="171"/>
      <c r="J416" s="176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</row>
    <row r="417" spans="1:29" ht="13.2" x14ac:dyDescent="0.25">
      <c r="A417" s="171"/>
      <c r="B417" s="172"/>
      <c r="C417" s="160"/>
      <c r="D417" s="160"/>
      <c r="E417" s="173"/>
      <c r="F417" s="174"/>
      <c r="G417" s="175"/>
      <c r="H417" s="175"/>
      <c r="I417" s="171"/>
      <c r="J417" s="176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</row>
    <row r="418" spans="1:29" ht="13.2" x14ac:dyDescent="0.25">
      <c r="A418" s="171"/>
      <c r="B418" s="172"/>
      <c r="C418" s="160"/>
      <c r="D418" s="160"/>
      <c r="E418" s="173"/>
      <c r="F418" s="174"/>
      <c r="G418" s="175"/>
      <c r="H418" s="175"/>
      <c r="I418" s="171"/>
      <c r="J418" s="176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</row>
    <row r="419" spans="1:29" ht="13.2" x14ac:dyDescent="0.25">
      <c r="A419" s="171"/>
      <c r="B419" s="172"/>
      <c r="C419" s="160"/>
      <c r="D419" s="160"/>
      <c r="E419" s="173"/>
      <c r="F419" s="174"/>
      <c r="G419" s="175"/>
      <c r="H419" s="175"/>
      <c r="I419" s="171"/>
      <c r="J419" s="176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</row>
    <row r="420" spans="1:29" ht="13.2" x14ac:dyDescent="0.25">
      <c r="A420" s="171"/>
      <c r="B420" s="172"/>
      <c r="C420" s="160"/>
      <c r="D420" s="160"/>
      <c r="E420" s="173"/>
      <c r="F420" s="174"/>
      <c r="G420" s="175"/>
      <c r="H420" s="175"/>
      <c r="I420" s="171"/>
      <c r="J420" s="176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</row>
    <row r="421" spans="1:29" ht="13.2" x14ac:dyDescent="0.25">
      <c r="A421" s="171"/>
      <c r="B421" s="172"/>
      <c r="C421" s="160"/>
      <c r="D421" s="160"/>
      <c r="E421" s="173"/>
      <c r="F421" s="174"/>
      <c r="G421" s="175"/>
      <c r="H421" s="175"/>
      <c r="I421" s="171"/>
      <c r="J421" s="176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</row>
    <row r="422" spans="1:29" ht="13.2" x14ac:dyDescent="0.25">
      <c r="A422" s="171"/>
      <c r="B422" s="172"/>
      <c r="C422" s="160"/>
      <c r="D422" s="160"/>
      <c r="E422" s="173"/>
      <c r="F422" s="174"/>
      <c r="G422" s="175"/>
      <c r="H422" s="175"/>
      <c r="I422" s="171"/>
      <c r="J422" s="176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</row>
    <row r="423" spans="1:29" ht="13.2" x14ac:dyDescent="0.25">
      <c r="A423" s="171"/>
      <c r="B423" s="172"/>
      <c r="C423" s="160"/>
      <c r="D423" s="160"/>
      <c r="E423" s="173"/>
      <c r="F423" s="174"/>
      <c r="G423" s="175"/>
      <c r="H423" s="175"/>
      <c r="I423" s="171"/>
      <c r="J423" s="176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</row>
    <row r="424" spans="1:29" ht="13.2" x14ac:dyDescent="0.25">
      <c r="A424" s="171"/>
      <c r="B424" s="172"/>
      <c r="C424" s="160"/>
      <c r="D424" s="160"/>
      <c r="E424" s="173"/>
      <c r="F424" s="174"/>
      <c r="G424" s="175"/>
      <c r="H424" s="175"/>
      <c r="I424" s="171"/>
      <c r="J424" s="176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</row>
    <row r="425" spans="1:29" ht="13.2" x14ac:dyDescent="0.25">
      <c r="A425" s="171"/>
      <c r="B425" s="172"/>
      <c r="C425" s="160"/>
      <c r="D425" s="160"/>
      <c r="E425" s="173"/>
      <c r="F425" s="174"/>
      <c r="G425" s="175"/>
      <c r="H425" s="175"/>
      <c r="I425" s="171"/>
      <c r="J425" s="176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</row>
    <row r="426" spans="1:29" ht="13.2" x14ac:dyDescent="0.25">
      <c r="A426" s="171"/>
      <c r="B426" s="172"/>
      <c r="C426" s="160"/>
      <c r="D426" s="160"/>
      <c r="E426" s="173"/>
      <c r="F426" s="174"/>
      <c r="G426" s="175"/>
      <c r="H426" s="175"/>
      <c r="I426" s="171"/>
      <c r="J426" s="176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</row>
    <row r="427" spans="1:29" ht="13.2" x14ac:dyDescent="0.25">
      <c r="A427" s="171"/>
      <c r="B427" s="172"/>
      <c r="C427" s="160"/>
      <c r="D427" s="160"/>
      <c r="E427" s="173"/>
      <c r="F427" s="174"/>
      <c r="G427" s="175"/>
      <c r="H427" s="175"/>
      <c r="I427" s="171"/>
      <c r="J427" s="176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</row>
    <row r="428" spans="1:29" ht="13.2" x14ac:dyDescent="0.25">
      <c r="A428" s="171"/>
      <c r="B428" s="172"/>
      <c r="C428" s="160"/>
      <c r="D428" s="160"/>
      <c r="E428" s="173"/>
      <c r="F428" s="174"/>
      <c r="G428" s="175"/>
      <c r="H428" s="175"/>
      <c r="I428" s="171"/>
      <c r="J428" s="176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</row>
    <row r="429" spans="1:29" ht="13.2" x14ac:dyDescent="0.25">
      <c r="A429" s="171"/>
      <c r="B429" s="172"/>
      <c r="C429" s="160"/>
      <c r="D429" s="160"/>
      <c r="E429" s="173"/>
      <c r="F429" s="174"/>
      <c r="G429" s="175"/>
      <c r="H429" s="175"/>
      <c r="I429" s="171"/>
      <c r="J429" s="176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</row>
    <row r="430" spans="1:29" ht="13.2" x14ac:dyDescent="0.25">
      <c r="A430" s="171"/>
      <c r="B430" s="172"/>
      <c r="C430" s="160"/>
      <c r="D430" s="160"/>
      <c r="E430" s="173"/>
      <c r="F430" s="174"/>
      <c r="G430" s="175"/>
      <c r="H430" s="175"/>
      <c r="I430" s="171"/>
      <c r="J430" s="176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</row>
    <row r="431" spans="1:29" ht="13.2" x14ac:dyDescent="0.25">
      <c r="A431" s="171"/>
      <c r="B431" s="172"/>
      <c r="C431" s="160"/>
      <c r="D431" s="160"/>
      <c r="E431" s="173"/>
      <c r="F431" s="174"/>
      <c r="G431" s="175"/>
      <c r="H431" s="175"/>
      <c r="I431" s="171"/>
      <c r="J431" s="176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</row>
    <row r="432" spans="1:29" ht="13.2" x14ac:dyDescent="0.25">
      <c r="A432" s="171"/>
      <c r="B432" s="172"/>
      <c r="C432" s="160"/>
      <c r="D432" s="160"/>
      <c r="E432" s="173"/>
      <c r="F432" s="174"/>
      <c r="G432" s="175"/>
      <c r="H432" s="175"/>
      <c r="I432" s="171"/>
      <c r="J432" s="176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</row>
    <row r="433" spans="1:29" ht="13.2" x14ac:dyDescent="0.25">
      <c r="A433" s="171"/>
      <c r="B433" s="172"/>
      <c r="C433" s="160"/>
      <c r="D433" s="160"/>
      <c r="E433" s="173"/>
      <c r="F433" s="174"/>
      <c r="G433" s="175"/>
      <c r="H433" s="175"/>
      <c r="I433" s="171"/>
      <c r="J433" s="176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</row>
    <row r="434" spans="1:29" ht="13.2" x14ac:dyDescent="0.25">
      <c r="A434" s="171"/>
      <c r="B434" s="172"/>
      <c r="C434" s="160"/>
      <c r="D434" s="160"/>
      <c r="E434" s="173"/>
      <c r="F434" s="174"/>
      <c r="G434" s="175"/>
      <c r="H434" s="175"/>
      <c r="I434" s="171"/>
      <c r="J434" s="176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</row>
    <row r="435" spans="1:29" ht="13.2" x14ac:dyDescent="0.25">
      <c r="A435" s="171"/>
      <c r="B435" s="172"/>
      <c r="C435" s="160"/>
      <c r="D435" s="160"/>
      <c r="E435" s="173"/>
      <c r="F435" s="174"/>
      <c r="G435" s="175"/>
      <c r="H435" s="175"/>
      <c r="I435" s="171"/>
      <c r="J435" s="176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</row>
    <row r="436" spans="1:29" ht="13.2" x14ac:dyDescent="0.25">
      <c r="A436" s="171"/>
      <c r="B436" s="172"/>
      <c r="C436" s="160"/>
      <c r="D436" s="160"/>
      <c r="E436" s="173"/>
      <c r="F436" s="174"/>
      <c r="G436" s="175"/>
      <c r="H436" s="175"/>
      <c r="I436" s="171"/>
      <c r="J436" s="176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</row>
    <row r="437" spans="1:29" ht="13.2" x14ac:dyDescent="0.25">
      <c r="A437" s="171"/>
      <c r="B437" s="172"/>
      <c r="C437" s="160"/>
      <c r="D437" s="160"/>
      <c r="E437" s="173"/>
      <c r="F437" s="174"/>
      <c r="G437" s="175"/>
      <c r="H437" s="175"/>
      <c r="I437" s="171"/>
      <c r="J437" s="176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</row>
    <row r="438" spans="1:29" ht="13.2" x14ac:dyDescent="0.25">
      <c r="A438" s="171"/>
      <c r="B438" s="172"/>
      <c r="C438" s="160"/>
      <c r="D438" s="160"/>
      <c r="E438" s="173"/>
      <c r="F438" s="174"/>
      <c r="G438" s="175"/>
      <c r="H438" s="175"/>
      <c r="I438" s="171"/>
      <c r="J438" s="176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</row>
    <row r="439" spans="1:29" ht="13.2" x14ac:dyDescent="0.25">
      <c r="A439" s="171"/>
      <c r="B439" s="172"/>
      <c r="C439" s="160"/>
      <c r="D439" s="160"/>
      <c r="E439" s="173"/>
      <c r="F439" s="174"/>
      <c r="G439" s="175"/>
      <c r="H439" s="175"/>
      <c r="I439" s="171"/>
      <c r="J439" s="176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</row>
    <row r="440" spans="1:29" ht="13.2" x14ac:dyDescent="0.25">
      <c r="A440" s="171"/>
      <c r="B440" s="172"/>
      <c r="C440" s="160"/>
      <c r="D440" s="160"/>
      <c r="E440" s="173"/>
      <c r="F440" s="174"/>
      <c r="G440" s="175"/>
      <c r="H440" s="175"/>
      <c r="I440" s="171"/>
      <c r="J440" s="176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</row>
    <row r="441" spans="1:29" ht="13.2" x14ac:dyDescent="0.25">
      <c r="A441" s="171"/>
      <c r="B441" s="172"/>
      <c r="C441" s="160"/>
      <c r="D441" s="160"/>
      <c r="E441" s="173"/>
      <c r="F441" s="174"/>
      <c r="G441" s="175"/>
      <c r="H441" s="175"/>
      <c r="I441" s="171"/>
      <c r="J441" s="176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</row>
    <row r="442" spans="1:29" ht="13.2" x14ac:dyDescent="0.25">
      <c r="A442" s="171"/>
      <c r="B442" s="172"/>
      <c r="C442" s="160"/>
      <c r="D442" s="160"/>
      <c r="E442" s="173"/>
      <c r="F442" s="174"/>
      <c r="G442" s="175"/>
      <c r="H442" s="175"/>
      <c r="I442" s="171"/>
      <c r="J442" s="176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</row>
    <row r="443" spans="1:29" ht="13.2" x14ac:dyDescent="0.25">
      <c r="A443" s="171"/>
      <c r="B443" s="172"/>
      <c r="C443" s="160"/>
      <c r="D443" s="160"/>
      <c r="E443" s="173"/>
      <c r="F443" s="174"/>
      <c r="G443" s="175"/>
      <c r="H443" s="175"/>
      <c r="I443" s="171"/>
      <c r="J443" s="176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</row>
    <row r="444" spans="1:29" ht="13.2" x14ac:dyDescent="0.25">
      <c r="A444" s="171"/>
      <c r="B444" s="172"/>
      <c r="C444" s="160"/>
      <c r="D444" s="160"/>
      <c r="E444" s="173"/>
      <c r="F444" s="174"/>
      <c r="G444" s="175"/>
      <c r="H444" s="175"/>
      <c r="I444" s="171"/>
      <c r="J444" s="176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</row>
    <row r="445" spans="1:29" ht="13.2" x14ac:dyDescent="0.25">
      <c r="A445" s="171"/>
      <c r="B445" s="172"/>
      <c r="C445" s="160"/>
      <c r="D445" s="160"/>
      <c r="E445" s="173"/>
      <c r="F445" s="174"/>
      <c r="G445" s="175"/>
      <c r="H445" s="175"/>
      <c r="I445" s="171"/>
      <c r="J445" s="176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</row>
    <row r="446" spans="1:29" ht="13.2" x14ac:dyDescent="0.25">
      <c r="A446" s="171"/>
      <c r="B446" s="172"/>
      <c r="C446" s="160"/>
      <c r="D446" s="160"/>
      <c r="E446" s="173"/>
      <c r="F446" s="174"/>
      <c r="G446" s="175"/>
      <c r="H446" s="175"/>
      <c r="I446" s="171"/>
      <c r="J446" s="176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</row>
    <row r="447" spans="1:29" ht="13.2" x14ac:dyDescent="0.25">
      <c r="A447" s="171"/>
      <c r="B447" s="172"/>
      <c r="C447" s="160"/>
      <c r="D447" s="160"/>
      <c r="E447" s="173"/>
      <c r="F447" s="174"/>
      <c r="G447" s="175"/>
      <c r="H447" s="175"/>
      <c r="I447" s="171"/>
      <c r="J447" s="176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</row>
    <row r="448" spans="1:29" ht="13.2" x14ac:dyDescent="0.25">
      <c r="A448" s="171"/>
      <c r="B448" s="172"/>
      <c r="C448" s="160"/>
      <c r="D448" s="160"/>
      <c r="E448" s="173"/>
      <c r="F448" s="174"/>
      <c r="G448" s="175"/>
      <c r="H448" s="175"/>
      <c r="I448" s="171"/>
      <c r="J448" s="176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</row>
    <row r="449" spans="1:29" ht="13.2" x14ac:dyDescent="0.25">
      <c r="A449" s="171"/>
      <c r="B449" s="172"/>
      <c r="C449" s="160"/>
      <c r="D449" s="160"/>
      <c r="E449" s="173"/>
      <c r="F449" s="174"/>
      <c r="G449" s="175"/>
      <c r="H449" s="175"/>
      <c r="I449" s="171"/>
      <c r="J449" s="176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</row>
    <row r="450" spans="1:29" ht="13.2" x14ac:dyDescent="0.25">
      <c r="A450" s="171"/>
      <c r="B450" s="172"/>
      <c r="C450" s="160"/>
      <c r="D450" s="160"/>
      <c r="E450" s="173"/>
      <c r="F450" s="174"/>
      <c r="G450" s="175"/>
      <c r="H450" s="175"/>
      <c r="I450" s="171"/>
      <c r="J450" s="176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</row>
    <row r="451" spans="1:29" ht="13.2" x14ac:dyDescent="0.25">
      <c r="A451" s="171"/>
      <c r="B451" s="172"/>
      <c r="C451" s="160"/>
      <c r="D451" s="160"/>
      <c r="E451" s="173"/>
      <c r="F451" s="174"/>
      <c r="G451" s="175"/>
      <c r="H451" s="175"/>
      <c r="I451" s="171"/>
      <c r="J451" s="176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</row>
    <row r="452" spans="1:29" ht="13.2" x14ac:dyDescent="0.25">
      <c r="A452" s="171"/>
      <c r="B452" s="172"/>
      <c r="C452" s="160"/>
      <c r="D452" s="160"/>
      <c r="E452" s="173"/>
      <c r="F452" s="174"/>
      <c r="G452" s="175"/>
      <c r="H452" s="175"/>
      <c r="I452" s="171"/>
      <c r="J452" s="176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</row>
    <row r="453" spans="1:29" ht="13.2" x14ac:dyDescent="0.25">
      <c r="A453" s="171"/>
      <c r="B453" s="172"/>
      <c r="C453" s="160"/>
      <c r="D453" s="160"/>
      <c r="E453" s="173"/>
      <c r="F453" s="174"/>
      <c r="G453" s="175"/>
      <c r="H453" s="175"/>
      <c r="I453" s="171"/>
      <c r="J453" s="176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</row>
    <row r="454" spans="1:29" ht="13.2" x14ac:dyDescent="0.25">
      <c r="A454" s="171"/>
      <c r="B454" s="172"/>
      <c r="C454" s="160"/>
      <c r="D454" s="160"/>
      <c r="E454" s="173"/>
      <c r="F454" s="174"/>
      <c r="G454" s="175"/>
      <c r="H454" s="175"/>
      <c r="I454" s="171"/>
      <c r="J454" s="176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</row>
    <row r="455" spans="1:29" ht="13.2" x14ac:dyDescent="0.25">
      <c r="A455" s="171"/>
      <c r="B455" s="172"/>
      <c r="C455" s="160"/>
      <c r="D455" s="160"/>
      <c r="E455" s="173"/>
      <c r="F455" s="174"/>
      <c r="G455" s="175"/>
      <c r="H455" s="175"/>
      <c r="I455" s="171"/>
      <c r="J455" s="176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</row>
    <row r="456" spans="1:29" ht="13.2" x14ac:dyDescent="0.25">
      <c r="A456" s="171"/>
      <c r="B456" s="172"/>
      <c r="C456" s="160"/>
      <c r="D456" s="160"/>
      <c r="E456" s="173"/>
      <c r="F456" s="174"/>
      <c r="G456" s="175"/>
      <c r="H456" s="175"/>
      <c r="I456" s="171"/>
      <c r="J456" s="176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</row>
    <row r="457" spans="1:29" ht="13.2" x14ac:dyDescent="0.25">
      <c r="A457" s="171"/>
      <c r="B457" s="172"/>
      <c r="C457" s="160"/>
      <c r="D457" s="160"/>
      <c r="E457" s="173"/>
      <c r="F457" s="174"/>
      <c r="G457" s="175"/>
      <c r="H457" s="175"/>
      <c r="I457" s="171"/>
      <c r="J457" s="176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</row>
    <row r="458" spans="1:29" ht="13.2" x14ac:dyDescent="0.25">
      <c r="A458" s="171"/>
      <c r="B458" s="172"/>
      <c r="C458" s="160"/>
      <c r="D458" s="160"/>
      <c r="E458" s="173"/>
      <c r="F458" s="174"/>
      <c r="G458" s="175"/>
      <c r="H458" s="175"/>
      <c r="I458" s="171"/>
      <c r="J458" s="176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</row>
    <row r="459" spans="1:29" ht="13.2" x14ac:dyDescent="0.25">
      <c r="A459" s="171"/>
      <c r="B459" s="172"/>
      <c r="C459" s="160"/>
      <c r="D459" s="160"/>
      <c r="E459" s="173"/>
      <c r="F459" s="174"/>
      <c r="G459" s="175"/>
      <c r="H459" s="175"/>
      <c r="I459" s="171"/>
      <c r="J459" s="176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</row>
    <row r="460" spans="1:29" ht="13.2" x14ac:dyDescent="0.25">
      <c r="A460" s="171"/>
      <c r="B460" s="172"/>
      <c r="C460" s="160"/>
      <c r="D460" s="160"/>
      <c r="E460" s="173"/>
      <c r="F460" s="174"/>
      <c r="G460" s="175"/>
      <c r="H460" s="175"/>
      <c r="I460" s="171"/>
      <c r="J460" s="176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</row>
    <row r="461" spans="1:29" ht="13.2" x14ac:dyDescent="0.25">
      <c r="A461" s="171"/>
      <c r="B461" s="172"/>
      <c r="C461" s="160"/>
      <c r="D461" s="160"/>
      <c r="E461" s="173"/>
      <c r="F461" s="174"/>
      <c r="G461" s="175"/>
      <c r="H461" s="175"/>
      <c r="I461" s="171"/>
      <c r="J461" s="176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</row>
    <row r="462" spans="1:29" ht="13.2" x14ac:dyDescent="0.25">
      <c r="A462" s="171"/>
      <c r="B462" s="172"/>
      <c r="C462" s="160"/>
      <c r="D462" s="160"/>
      <c r="E462" s="173"/>
      <c r="F462" s="174"/>
      <c r="G462" s="175"/>
      <c r="H462" s="175"/>
      <c r="I462" s="171"/>
      <c r="J462" s="176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</row>
    <row r="463" spans="1:29" ht="13.2" x14ac:dyDescent="0.25">
      <c r="A463" s="171"/>
      <c r="B463" s="172"/>
      <c r="C463" s="160"/>
      <c r="D463" s="160"/>
      <c r="E463" s="173"/>
      <c r="F463" s="174"/>
      <c r="G463" s="175"/>
      <c r="H463" s="175"/>
      <c r="I463" s="171"/>
      <c r="J463" s="176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</row>
    <row r="464" spans="1:29" ht="13.2" x14ac:dyDescent="0.25">
      <c r="A464" s="171"/>
      <c r="B464" s="172"/>
      <c r="C464" s="160"/>
      <c r="D464" s="160"/>
      <c r="E464" s="173"/>
      <c r="F464" s="174"/>
      <c r="G464" s="175"/>
      <c r="H464" s="175"/>
      <c r="I464" s="171"/>
      <c r="J464" s="176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</row>
    <row r="465" spans="1:29" ht="13.2" x14ac:dyDescent="0.25">
      <c r="A465" s="171"/>
      <c r="B465" s="172"/>
      <c r="C465" s="160"/>
      <c r="D465" s="160"/>
      <c r="E465" s="173"/>
      <c r="F465" s="174"/>
      <c r="G465" s="175"/>
      <c r="H465" s="175"/>
      <c r="I465" s="171"/>
      <c r="J465" s="176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</row>
    <row r="466" spans="1:29" ht="13.2" x14ac:dyDescent="0.25">
      <c r="A466" s="171"/>
      <c r="B466" s="172"/>
      <c r="C466" s="160"/>
      <c r="D466" s="160"/>
      <c r="E466" s="173"/>
      <c r="F466" s="174"/>
      <c r="G466" s="175"/>
      <c r="H466" s="175"/>
      <c r="I466" s="171"/>
      <c r="J466" s="176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</row>
    <row r="467" spans="1:29" ht="13.2" x14ac:dyDescent="0.25">
      <c r="A467" s="171"/>
      <c r="B467" s="172"/>
      <c r="C467" s="160"/>
      <c r="D467" s="160"/>
      <c r="E467" s="173"/>
      <c r="F467" s="174"/>
      <c r="G467" s="175"/>
      <c r="H467" s="175"/>
      <c r="I467" s="171"/>
      <c r="J467" s="176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</row>
    <row r="468" spans="1:29" ht="13.2" x14ac:dyDescent="0.25">
      <c r="A468" s="171"/>
      <c r="B468" s="172"/>
      <c r="C468" s="160"/>
      <c r="D468" s="160"/>
      <c r="E468" s="173"/>
      <c r="F468" s="174"/>
      <c r="G468" s="175"/>
      <c r="H468" s="175"/>
      <c r="I468" s="171"/>
      <c r="J468" s="176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</row>
    <row r="469" spans="1:29" ht="13.2" x14ac:dyDescent="0.25">
      <c r="A469" s="171"/>
      <c r="B469" s="172"/>
      <c r="C469" s="160"/>
      <c r="D469" s="160"/>
      <c r="E469" s="173"/>
      <c r="F469" s="174"/>
      <c r="G469" s="175"/>
      <c r="H469" s="175"/>
      <c r="I469" s="171"/>
      <c r="J469" s="176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</row>
    <row r="470" spans="1:29" ht="13.2" x14ac:dyDescent="0.25">
      <c r="A470" s="171"/>
      <c r="B470" s="172"/>
      <c r="C470" s="160"/>
      <c r="D470" s="160"/>
      <c r="E470" s="173"/>
      <c r="F470" s="174"/>
      <c r="G470" s="175"/>
      <c r="H470" s="175"/>
      <c r="I470" s="171"/>
      <c r="J470" s="176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</row>
    <row r="471" spans="1:29" ht="13.2" x14ac:dyDescent="0.25">
      <c r="A471" s="171"/>
      <c r="B471" s="172"/>
      <c r="C471" s="160"/>
      <c r="D471" s="160"/>
      <c r="E471" s="173"/>
      <c r="F471" s="174"/>
      <c r="G471" s="175"/>
      <c r="H471" s="175"/>
      <c r="I471" s="171"/>
      <c r="J471" s="176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</row>
    <row r="472" spans="1:29" ht="13.2" x14ac:dyDescent="0.25">
      <c r="A472" s="171"/>
      <c r="B472" s="172"/>
      <c r="C472" s="160"/>
      <c r="D472" s="160"/>
      <c r="E472" s="173"/>
      <c r="F472" s="174"/>
      <c r="G472" s="175"/>
      <c r="H472" s="175"/>
      <c r="I472" s="171"/>
      <c r="J472" s="176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</row>
    <row r="473" spans="1:29" ht="13.2" x14ac:dyDescent="0.25">
      <c r="A473" s="171"/>
      <c r="B473" s="172"/>
      <c r="C473" s="160"/>
      <c r="D473" s="160"/>
      <c r="E473" s="173"/>
      <c r="F473" s="174"/>
      <c r="G473" s="175"/>
      <c r="H473" s="175"/>
      <c r="I473" s="171"/>
      <c r="J473" s="176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</row>
    <row r="474" spans="1:29" ht="13.2" x14ac:dyDescent="0.25">
      <c r="A474" s="171"/>
      <c r="B474" s="172"/>
      <c r="C474" s="160"/>
      <c r="D474" s="160"/>
      <c r="E474" s="173"/>
      <c r="F474" s="174"/>
      <c r="G474" s="175"/>
      <c r="H474" s="175"/>
      <c r="I474" s="171"/>
      <c r="J474" s="176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</row>
    <row r="475" spans="1:29" ht="13.2" x14ac:dyDescent="0.25">
      <c r="A475" s="171"/>
      <c r="B475" s="172"/>
      <c r="C475" s="160"/>
      <c r="D475" s="160"/>
      <c r="E475" s="173"/>
      <c r="F475" s="174"/>
      <c r="G475" s="175"/>
      <c r="H475" s="175"/>
      <c r="I475" s="171"/>
      <c r="J475" s="176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</row>
    <row r="476" spans="1:29" ht="13.2" x14ac:dyDescent="0.25">
      <c r="A476" s="171"/>
      <c r="B476" s="172"/>
      <c r="C476" s="160"/>
      <c r="D476" s="160"/>
      <c r="E476" s="173"/>
      <c r="F476" s="174"/>
      <c r="G476" s="175"/>
      <c r="H476" s="175"/>
      <c r="I476" s="171"/>
      <c r="J476" s="176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</row>
    <row r="477" spans="1:29" ht="13.2" x14ac:dyDescent="0.25">
      <c r="A477" s="171"/>
      <c r="B477" s="172"/>
      <c r="C477" s="160"/>
      <c r="D477" s="160"/>
      <c r="E477" s="173"/>
      <c r="F477" s="174"/>
      <c r="G477" s="175"/>
      <c r="H477" s="175"/>
      <c r="I477" s="171"/>
      <c r="J477" s="176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</row>
    <row r="478" spans="1:29" ht="13.2" x14ac:dyDescent="0.25">
      <c r="A478" s="171"/>
      <c r="B478" s="172"/>
      <c r="C478" s="160"/>
      <c r="D478" s="160"/>
      <c r="E478" s="173"/>
      <c r="F478" s="174"/>
      <c r="G478" s="175"/>
      <c r="H478" s="175"/>
      <c r="I478" s="171"/>
      <c r="J478" s="176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</row>
    <row r="479" spans="1:29" ht="13.2" x14ac:dyDescent="0.25">
      <c r="A479" s="171"/>
      <c r="B479" s="172"/>
      <c r="C479" s="160"/>
      <c r="D479" s="160"/>
      <c r="E479" s="173"/>
      <c r="F479" s="174"/>
      <c r="G479" s="175"/>
      <c r="H479" s="175"/>
      <c r="I479" s="171"/>
      <c r="J479" s="176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</row>
    <row r="480" spans="1:29" ht="13.2" x14ac:dyDescent="0.25">
      <c r="A480" s="171"/>
      <c r="B480" s="172"/>
      <c r="C480" s="160"/>
      <c r="D480" s="160"/>
      <c r="E480" s="173"/>
      <c r="F480" s="174"/>
      <c r="G480" s="175"/>
      <c r="H480" s="175"/>
      <c r="I480" s="171"/>
      <c r="J480" s="176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</row>
    <row r="481" spans="1:29" ht="13.2" x14ac:dyDescent="0.25">
      <c r="A481" s="171"/>
      <c r="B481" s="172"/>
      <c r="C481" s="160"/>
      <c r="D481" s="160"/>
      <c r="E481" s="173"/>
      <c r="F481" s="174"/>
      <c r="G481" s="175"/>
      <c r="H481" s="175"/>
      <c r="I481" s="171"/>
      <c r="J481" s="176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</row>
    <row r="482" spans="1:29" ht="13.2" x14ac:dyDescent="0.25">
      <c r="A482" s="171"/>
      <c r="B482" s="172"/>
      <c r="C482" s="160"/>
      <c r="D482" s="160"/>
      <c r="E482" s="173"/>
      <c r="F482" s="174"/>
      <c r="G482" s="175"/>
      <c r="H482" s="175"/>
      <c r="I482" s="171"/>
      <c r="J482" s="176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</row>
    <row r="483" spans="1:29" ht="13.2" x14ac:dyDescent="0.25">
      <c r="A483" s="171"/>
      <c r="B483" s="172"/>
      <c r="C483" s="160"/>
      <c r="D483" s="160"/>
      <c r="E483" s="173"/>
      <c r="F483" s="174"/>
      <c r="G483" s="175"/>
      <c r="H483" s="175"/>
      <c r="I483" s="171"/>
      <c r="J483" s="176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</row>
    <row r="484" spans="1:29" ht="13.2" x14ac:dyDescent="0.25">
      <c r="A484" s="171"/>
      <c r="B484" s="172"/>
      <c r="C484" s="160"/>
      <c r="D484" s="160"/>
      <c r="E484" s="173"/>
      <c r="F484" s="174"/>
      <c r="G484" s="175"/>
      <c r="H484" s="175"/>
      <c r="I484" s="171"/>
      <c r="J484" s="176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</row>
    <row r="485" spans="1:29" ht="13.2" x14ac:dyDescent="0.25">
      <c r="A485" s="171"/>
      <c r="B485" s="172"/>
      <c r="C485" s="160"/>
      <c r="D485" s="160"/>
      <c r="E485" s="173"/>
      <c r="F485" s="174"/>
      <c r="G485" s="175"/>
      <c r="H485" s="175"/>
      <c r="I485" s="171"/>
      <c r="J485" s="176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</row>
    <row r="486" spans="1:29" ht="13.2" x14ac:dyDescent="0.25">
      <c r="A486" s="171"/>
      <c r="B486" s="172"/>
      <c r="C486" s="160"/>
      <c r="D486" s="160"/>
      <c r="E486" s="173"/>
      <c r="F486" s="174"/>
      <c r="G486" s="175"/>
      <c r="H486" s="175"/>
      <c r="I486" s="171"/>
      <c r="J486" s="176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</row>
    <row r="487" spans="1:29" ht="13.2" x14ac:dyDescent="0.25">
      <c r="A487" s="171"/>
      <c r="B487" s="172"/>
      <c r="C487" s="160"/>
      <c r="D487" s="160"/>
      <c r="E487" s="173"/>
      <c r="F487" s="174"/>
      <c r="G487" s="175"/>
      <c r="H487" s="175"/>
      <c r="I487" s="171"/>
      <c r="J487" s="176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</row>
    <row r="488" spans="1:29" ht="13.2" x14ac:dyDescent="0.25">
      <c r="A488" s="171"/>
      <c r="B488" s="172"/>
      <c r="C488" s="160"/>
      <c r="D488" s="160"/>
      <c r="E488" s="173"/>
      <c r="F488" s="174"/>
      <c r="G488" s="175"/>
      <c r="H488" s="175"/>
      <c r="I488" s="171"/>
      <c r="J488" s="176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</row>
    <row r="489" spans="1:29" ht="13.2" x14ac:dyDescent="0.25">
      <c r="A489" s="171"/>
      <c r="B489" s="172"/>
      <c r="C489" s="160"/>
      <c r="D489" s="160"/>
      <c r="E489" s="173"/>
      <c r="F489" s="174"/>
      <c r="G489" s="175"/>
      <c r="H489" s="175"/>
      <c r="I489" s="171"/>
      <c r="J489" s="176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</row>
    <row r="490" spans="1:29" ht="13.2" x14ac:dyDescent="0.25">
      <c r="A490" s="171"/>
      <c r="B490" s="172"/>
      <c r="C490" s="160"/>
      <c r="D490" s="160"/>
      <c r="E490" s="173"/>
      <c r="F490" s="174"/>
      <c r="G490" s="175"/>
      <c r="H490" s="175"/>
      <c r="I490" s="171"/>
      <c r="J490" s="176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</row>
    <row r="491" spans="1:29" ht="13.2" x14ac:dyDescent="0.25">
      <c r="A491" s="171"/>
      <c r="B491" s="172"/>
      <c r="C491" s="160"/>
      <c r="D491" s="160"/>
      <c r="E491" s="173"/>
      <c r="F491" s="174"/>
      <c r="G491" s="175"/>
      <c r="H491" s="175"/>
      <c r="I491" s="171"/>
      <c r="J491" s="176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</row>
    <row r="492" spans="1:29" ht="13.2" x14ac:dyDescent="0.25">
      <c r="A492" s="171"/>
      <c r="B492" s="172"/>
      <c r="C492" s="160"/>
      <c r="D492" s="160"/>
      <c r="E492" s="173"/>
      <c r="F492" s="174"/>
      <c r="G492" s="175"/>
      <c r="H492" s="175"/>
      <c r="I492" s="171"/>
      <c r="J492" s="176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</row>
    <row r="493" spans="1:29" ht="13.2" x14ac:dyDescent="0.25">
      <c r="A493" s="171"/>
      <c r="B493" s="172"/>
      <c r="C493" s="160"/>
      <c r="D493" s="160"/>
      <c r="E493" s="173"/>
      <c r="F493" s="174"/>
      <c r="G493" s="175"/>
      <c r="H493" s="175"/>
      <c r="I493" s="171"/>
      <c r="J493" s="176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</row>
    <row r="494" spans="1:29" ht="13.2" x14ac:dyDescent="0.25">
      <c r="A494" s="171"/>
      <c r="B494" s="172"/>
      <c r="C494" s="160"/>
      <c r="D494" s="160"/>
      <c r="E494" s="173"/>
      <c r="F494" s="174"/>
      <c r="G494" s="175"/>
      <c r="H494" s="175"/>
      <c r="I494" s="171"/>
      <c r="J494" s="176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</row>
    <row r="495" spans="1:29" ht="13.2" x14ac:dyDescent="0.25">
      <c r="A495" s="171"/>
      <c r="B495" s="172"/>
      <c r="C495" s="160"/>
      <c r="D495" s="160"/>
      <c r="E495" s="173"/>
      <c r="F495" s="174"/>
      <c r="G495" s="175"/>
      <c r="H495" s="175"/>
      <c r="I495" s="171"/>
      <c r="J495" s="176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</row>
    <row r="496" spans="1:29" ht="13.2" x14ac:dyDescent="0.25">
      <c r="A496" s="171"/>
      <c r="B496" s="172"/>
      <c r="C496" s="160"/>
      <c r="D496" s="160"/>
      <c r="E496" s="173"/>
      <c r="F496" s="174"/>
      <c r="G496" s="175"/>
      <c r="H496" s="175"/>
      <c r="I496" s="171"/>
      <c r="J496" s="176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</row>
    <row r="497" spans="1:29" ht="13.2" x14ac:dyDescent="0.25">
      <c r="A497" s="171"/>
      <c r="B497" s="172"/>
      <c r="C497" s="160"/>
      <c r="D497" s="160"/>
      <c r="E497" s="173"/>
      <c r="F497" s="174"/>
      <c r="G497" s="175"/>
      <c r="H497" s="175"/>
      <c r="I497" s="171"/>
      <c r="J497" s="176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</row>
    <row r="498" spans="1:29" ht="13.2" x14ac:dyDescent="0.25">
      <c r="A498" s="171"/>
      <c r="B498" s="172"/>
      <c r="C498" s="160"/>
      <c r="D498" s="160"/>
      <c r="E498" s="173"/>
      <c r="F498" s="174"/>
      <c r="G498" s="175"/>
      <c r="H498" s="175"/>
      <c r="I498" s="171"/>
      <c r="J498" s="176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</row>
    <row r="499" spans="1:29" ht="13.2" x14ac:dyDescent="0.25">
      <c r="A499" s="171"/>
      <c r="B499" s="172"/>
      <c r="C499" s="160"/>
      <c r="D499" s="160"/>
      <c r="E499" s="173"/>
      <c r="F499" s="174"/>
      <c r="G499" s="175"/>
      <c r="H499" s="175"/>
      <c r="I499" s="171"/>
      <c r="J499" s="176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</row>
    <row r="500" spans="1:29" ht="13.2" x14ac:dyDescent="0.25">
      <c r="A500" s="171"/>
      <c r="B500" s="172"/>
      <c r="C500" s="160"/>
      <c r="D500" s="160"/>
      <c r="E500" s="173"/>
      <c r="F500" s="174"/>
      <c r="G500" s="175"/>
      <c r="H500" s="175"/>
      <c r="I500" s="171"/>
      <c r="J500" s="176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</row>
    <row r="501" spans="1:29" ht="13.2" x14ac:dyDescent="0.25">
      <c r="A501" s="171"/>
      <c r="B501" s="172"/>
      <c r="C501" s="160"/>
      <c r="D501" s="160"/>
      <c r="E501" s="173"/>
      <c r="F501" s="174"/>
      <c r="G501" s="175"/>
      <c r="H501" s="175"/>
      <c r="I501" s="171"/>
      <c r="J501" s="176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</row>
    <row r="502" spans="1:29" ht="13.2" x14ac:dyDescent="0.25">
      <c r="A502" s="171"/>
      <c r="B502" s="172"/>
      <c r="C502" s="160"/>
      <c r="D502" s="160"/>
      <c r="E502" s="173"/>
      <c r="F502" s="174"/>
      <c r="G502" s="175"/>
      <c r="H502" s="175"/>
      <c r="I502" s="171"/>
      <c r="J502" s="176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</row>
    <row r="503" spans="1:29" ht="13.2" x14ac:dyDescent="0.25">
      <c r="A503" s="171"/>
      <c r="B503" s="172"/>
      <c r="C503" s="160"/>
      <c r="D503" s="160"/>
      <c r="E503" s="173"/>
      <c r="F503" s="174"/>
      <c r="G503" s="175"/>
      <c r="H503" s="175"/>
      <c r="I503" s="171"/>
      <c r="J503" s="176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</row>
    <row r="504" spans="1:29" ht="13.2" x14ac:dyDescent="0.25">
      <c r="A504" s="171"/>
      <c r="B504" s="172"/>
      <c r="C504" s="160"/>
      <c r="D504" s="160"/>
      <c r="E504" s="173"/>
      <c r="F504" s="174"/>
      <c r="G504" s="175"/>
      <c r="H504" s="175"/>
      <c r="I504" s="171"/>
      <c r="J504" s="176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</row>
    <row r="505" spans="1:29" ht="13.2" x14ac:dyDescent="0.25">
      <c r="A505" s="171"/>
      <c r="B505" s="172"/>
      <c r="C505" s="160"/>
      <c r="D505" s="160"/>
      <c r="E505" s="173"/>
      <c r="F505" s="174"/>
      <c r="G505" s="175"/>
      <c r="H505" s="175"/>
      <c r="I505" s="171"/>
      <c r="J505" s="176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</row>
    <row r="506" spans="1:29" ht="13.2" x14ac:dyDescent="0.25">
      <c r="A506" s="171"/>
      <c r="B506" s="172"/>
      <c r="C506" s="160"/>
      <c r="D506" s="160"/>
      <c r="E506" s="173"/>
      <c r="F506" s="174"/>
      <c r="G506" s="175"/>
      <c r="H506" s="175"/>
      <c r="I506" s="171"/>
      <c r="J506" s="176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</row>
    <row r="507" spans="1:29" ht="13.2" x14ac:dyDescent="0.25">
      <c r="A507" s="171"/>
      <c r="B507" s="172"/>
      <c r="C507" s="160"/>
      <c r="D507" s="160"/>
      <c r="E507" s="173"/>
      <c r="F507" s="174"/>
      <c r="G507" s="175"/>
      <c r="H507" s="175"/>
      <c r="I507" s="171"/>
      <c r="J507" s="176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</row>
    <row r="508" spans="1:29" ht="13.2" x14ac:dyDescent="0.25">
      <c r="A508" s="171"/>
      <c r="B508" s="172"/>
      <c r="C508" s="160"/>
      <c r="D508" s="160"/>
      <c r="E508" s="173"/>
      <c r="F508" s="174"/>
      <c r="G508" s="175"/>
      <c r="H508" s="175"/>
      <c r="I508" s="171"/>
      <c r="J508" s="176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</row>
    <row r="509" spans="1:29" ht="13.2" x14ac:dyDescent="0.25">
      <c r="A509" s="171"/>
      <c r="B509" s="172"/>
      <c r="C509" s="160"/>
      <c r="D509" s="160"/>
      <c r="E509" s="173"/>
      <c r="F509" s="174"/>
      <c r="G509" s="175"/>
      <c r="H509" s="175"/>
      <c r="I509" s="171"/>
      <c r="J509" s="176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</row>
    <row r="510" spans="1:29" ht="13.2" x14ac:dyDescent="0.25">
      <c r="A510" s="171"/>
      <c r="B510" s="172"/>
      <c r="C510" s="160"/>
      <c r="D510" s="160"/>
      <c r="E510" s="173"/>
      <c r="F510" s="174"/>
      <c r="G510" s="175"/>
      <c r="H510" s="175"/>
      <c r="I510" s="171"/>
      <c r="J510" s="176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</row>
    <row r="511" spans="1:29" ht="13.2" x14ac:dyDescent="0.25">
      <c r="A511" s="171"/>
      <c r="B511" s="172"/>
      <c r="C511" s="160"/>
      <c r="D511" s="160"/>
      <c r="E511" s="173"/>
      <c r="F511" s="174"/>
      <c r="G511" s="175"/>
      <c r="H511" s="175"/>
      <c r="I511" s="171"/>
      <c r="J511" s="176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</row>
    <row r="512" spans="1:29" ht="13.2" x14ac:dyDescent="0.25">
      <c r="A512" s="171"/>
      <c r="B512" s="172"/>
      <c r="C512" s="160"/>
      <c r="D512" s="160"/>
      <c r="E512" s="173"/>
      <c r="F512" s="174"/>
      <c r="G512" s="175"/>
      <c r="H512" s="175"/>
      <c r="I512" s="171"/>
      <c r="J512" s="176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</row>
    <row r="513" spans="1:29" ht="13.2" x14ac:dyDescent="0.25">
      <c r="A513" s="171"/>
      <c r="B513" s="172"/>
      <c r="C513" s="160"/>
      <c r="D513" s="160"/>
      <c r="E513" s="173"/>
      <c r="F513" s="174"/>
      <c r="G513" s="175"/>
      <c r="H513" s="175"/>
      <c r="I513" s="171"/>
      <c r="J513" s="176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</row>
    <row r="514" spans="1:29" ht="13.2" x14ac:dyDescent="0.25">
      <c r="A514" s="171"/>
      <c r="B514" s="172"/>
      <c r="C514" s="160"/>
      <c r="D514" s="160"/>
      <c r="E514" s="173"/>
      <c r="F514" s="174"/>
      <c r="G514" s="175"/>
      <c r="H514" s="175"/>
      <c r="I514" s="171"/>
      <c r="J514" s="176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</row>
    <row r="515" spans="1:29" ht="13.2" x14ac:dyDescent="0.25">
      <c r="A515" s="171"/>
      <c r="B515" s="172"/>
      <c r="C515" s="160"/>
      <c r="D515" s="160"/>
      <c r="E515" s="173"/>
      <c r="F515" s="174"/>
      <c r="G515" s="175"/>
      <c r="H515" s="175"/>
      <c r="I515" s="171"/>
      <c r="J515" s="176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</row>
    <row r="516" spans="1:29" ht="13.2" x14ac:dyDescent="0.25">
      <c r="A516" s="171"/>
      <c r="B516" s="172"/>
      <c r="C516" s="160"/>
      <c r="D516" s="160"/>
      <c r="E516" s="173"/>
      <c r="F516" s="174"/>
      <c r="G516" s="175"/>
      <c r="H516" s="175"/>
      <c r="I516" s="171"/>
      <c r="J516" s="176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</row>
    <row r="517" spans="1:29" ht="13.2" x14ac:dyDescent="0.25">
      <c r="A517" s="171"/>
      <c r="B517" s="172"/>
      <c r="C517" s="160"/>
      <c r="D517" s="160"/>
      <c r="E517" s="173"/>
      <c r="F517" s="174"/>
      <c r="G517" s="175"/>
      <c r="H517" s="175"/>
      <c r="I517" s="171"/>
      <c r="J517" s="176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</row>
    <row r="518" spans="1:29" ht="13.2" x14ac:dyDescent="0.25">
      <c r="A518" s="171"/>
      <c r="B518" s="172"/>
      <c r="C518" s="160"/>
      <c r="D518" s="160"/>
      <c r="E518" s="173"/>
      <c r="F518" s="174"/>
      <c r="G518" s="175"/>
      <c r="H518" s="175"/>
      <c r="I518" s="171"/>
      <c r="J518" s="176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</row>
    <row r="519" spans="1:29" ht="13.2" x14ac:dyDescent="0.25">
      <c r="A519" s="171"/>
      <c r="B519" s="172"/>
      <c r="C519" s="160"/>
      <c r="D519" s="160"/>
      <c r="E519" s="173"/>
      <c r="F519" s="174"/>
      <c r="G519" s="175"/>
      <c r="H519" s="175"/>
      <c r="I519" s="171"/>
      <c r="J519" s="176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</row>
    <row r="520" spans="1:29" ht="13.2" x14ac:dyDescent="0.25">
      <c r="A520" s="171"/>
      <c r="B520" s="172"/>
      <c r="C520" s="160"/>
      <c r="D520" s="160"/>
      <c r="E520" s="173"/>
      <c r="F520" s="174"/>
      <c r="G520" s="175"/>
      <c r="H520" s="175"/>
      <c r="I520" s="171"/>
      <c r="J520" s="176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</row>
    <row r="521" spans="1:29" ht="13.2" x14ac:dyDescent="0.25">
      <c r="A521" s="171"/>
      <c r="B521" s="172"/>
      <c r="C521" s="160"/>
      <c r="D521" s="160"/>
      <c r="E521" s="173"/>
      <c r="F521" s="174"/>
      <c r="G521" s="175"/>
      <c r="H521" s="175"/>
      <c r="I521" s="171"/>
      <c r="J521" s="176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</row>
    <row r="522" spans="1:29" ht="13.2" x14ac:dyDescent="0.25">
      <c r="A522" s="171"/>
      <c r="B522" s="172"/>
      <c r="C522" s="160"/>
      <c r="D522" s="160"/>
      <c r="E522" s="173"/>
      <c r="F522" s="174"/>
      <c r="G522" s="175"/>
      <c r="H522" s="175"/>
      <c r="I522" s="171"/>
      <c r="J522" s="176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</row>
    <row r="523" spans="1:29" ht="13.2" x14ac:dyDescent="0.25">
      <c r="A523" s="171"/>
      <c r="B523" s="172"/>
      <c r="C523" s="160"/>
      <c r="D523" s="160"/>
      <c r="E523" s="173"/>
      <c r="F523" s="174"/>
      <c r="G523" s="175"/>
      <c r="H523" s="175"/>
      <c r="I523" s="171"/>
      <c r="J523" s="176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</row>
    <row r="524" spans="1:29" ht="13.2" x14ac:dyDescent="0.25">
      <c r="A524" s="171"/>
      <c r="B524" s="172"/>
      <c r="C524" s="160"/>
      <c r="D524" s="160"/>
      <c r="E524" s="173"/>
      <c r="F524" s="174"/>
      <c r="G524" s="175"/>
      <c r="H524" s="175"/>
      <c r="I524" s="171"/>
      <c r="J524" s="176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</row>
    <row r="525" spans="1:29" ht="13.2" x14ac:dyDescent="0.25">
      <c r="A525" s="171"/>
      <c r="B525" s="172"/>
      <c r="C525" s="160"/>
      <c r="D525" s="160"/>
      <c r="E525" s="173"/>
      <c r="F525" s="174"/>
      <c r="G525" s="175"/>
      <c r="H525" s="175"/>
      <c r="I525" s="171"/>
      <c r="J525" s="176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</row>
    <row r="526" spans="1:29" ht="13.2" x14ac:dyDescent="0.25">
      <c r="A526" s="171"/>
      <c r="B526" s="172"/>
      <c r="C526" s="160"/>
      <c r="D526" s="160"/>
      <c r="E526" s="173"/>
      <c r="F526" s="174"/>
      <c r="G526" s="175"/>
      <c r="H526" s="175"/>
      <c r="I526" s="171"/>
      <c r="J526" s="176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</row>
    <row r="527" spans="1:29" ht="13.2" x14ac:dyDescent="0.25">
      <c r="A527" s="171"/>
      <c r="B527" s="172"/>
      <c r="C527" s="160"/>
      <c r="D527" s="160"/>
      <c r="E527" s="173"/>
      <c r="F527" s="174"/>
      <c r="G527" s="175"/>
      <c r="H527" s="175"/>
      <c r="I527" s="171"/>
      <c r="J527" s="176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</row>
    <row r="528" spans="1:29" ht="13.2" x14ac:dyDescent="0.25">
      <c r="A528" s="171"/>
      <c r="B528" s="172"/>
      <c r="C528" s="160"/>
      <c r="D528" s="160"/>
      <c r="E528" s="173"/>
      <c r="F528" s="174"/>
      <c r="G528" s="175"/>
      <c r="H528" s="175"/>
      <c r="I528" s="171"/>
      <c r="J528" s="176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</row>
    <row r="529" spans="1:29" ht="13.2" x14ac:dyDescent="0.25">
      <c r="A529" s="171"/>
      <c r="B529" s="172"/>
      <c r="C529" s="160"/>
      <c r="D529" s="160"/>
      <c r="E529" s="173"/>
      <c r="F529" s="174"/>
      <c r="G529" s="175"/>
      <c r="H529" s="175"/>
      <c r="I529" s="171"/>
      <c r="J529" s="176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</row>
    <row r="530" spans="1:29" ht="13.2" x14ac:dyDescent="0.25">
      <c r="A530" s="171"/>
      <c r="B530" s="172"/>
      <c r="C530" s="160"/>
      <c r="D530" s="160"/>
      <c r="E530" s="173"/>
      <c r="F530" s="174"/>
      <c r="G530" s="175"/>
      <c r="H530" s="175"/>
      <c r="I530" s="171"/>
      <c r="J530" s="176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</row>
    <row r="531" spans="1:29" ht="13.2" x14ac:dyDescent="0.25">
      <c r="A531" s="171"/>
      <c r="B531" s="172"/>
      <c r="C531" s="160"/>
      <c r="D531" s="160"/>
      <c r="E531" s="173"/>
      <c r="F531" s="174"/>
      <c r="G531" s="175"/>
      <c r="H531" s="175"/>
      <c r="I531" s="171"/>
      <c r="J531" s="176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</row>
    <row r="532" spans="1:29" ht="13.2" x14ac:dyDescent="0.25">
      <c r="A532" s="171"/>
      <c r="B532" s="172"/>
      <c r="C532" s="160"/>
      <c r="D532" s="160"/>
      <c r="E532" s="173"/>
      <c r="F532" s="174"/>
      <c r="G532" s="175"/>
      <c r="H532" s="175"/>
      <c r="I532" s="171"/>
      <c r="J532" s="176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</row>
    <row r="533" spans="1:29" ht="13.2" x14ac:dyDescent="0.25">
      <c r="A533" s="171"/>
      <c r="B533" s="172"/>
      <c r="C533" s="160"/>
      <c r="D533" s="160"/>
      <c r="E533" s="173"/>
      <c r="F533" s="174"/>
      <c r="G533" s="175"/>
      <c r="H533" s="175"/>
      <c r="I533" s="171"/>
      <c r="J533" s="176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</row>
    <row r="534" spans="1:29" ht="13.2" x14ac:dyDescent="0.25">
      <c r="A534" s="171"/>
      <c r="B534" s="172"/>
      <c r="C534" s="160"/>
      <c r="D534" s="160"/>
      <c r="E534" s="173"/>
      <c r="F534" s="174"/>
      <c r="G534" s="175"/>
      <c r="H534" s="175"/>
      <c r="I534" s="171"/>
      <c r="J534" s="176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</row>
    <row r="535" spans="1:29" ht="13.2" x14ac:dyDescent="0.25">
      <c r="A535" s="171"/>
      <c r="B535" s="172"/>
      <c r="C535" s="160"/>
      <c r="D535" s="160"/>
      <c r="E535" s="173"/>
      <c r="F535" s="174"/>
      <c r="G535" s="175"/>
      <c r="H535" s="175"/>
      <c r="I535" s="171"/>
      <c r="J535" s="176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</row>
    <row r="536" spans="1:29" ht="13.2" x14ac:dyDescent="0.25">
      <c r="A536" s="171"/>
      <c r="B536" s="172"/>
      <c r="C536" s="160"/>
      <c r="D536" s="160"/>
      <c r="E536" s="173"/>
      <c r="F536" s="174"/>
      <c r="G536" s="175"/>
      <c r="H536" s="175"/>
      <c r="I536" s="171"/>
      <c r="J536" s="176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</row>
    <row r="537" spans="1:29" ht="13.2" x14ac:dyDescent="0.25">
      <c r="A537" s="171"/>
      <c r="B537" s="172"/>
      <c r="C537" s="160"/>
      <c r="D537" s="160"/>
      <c r="E537" s="173"/>
      <c r="F537" s="174"/>
      <c r="G537" s="175"/>
      <c r="H537" s="175"/>
      <c r="I537" s="171"/>
      <c r="J537" s="176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</row>
    <row r="538" spans="1:29" ht="13.2" x14ac:dyDescent="0.25">
      <c r="A538" s="171"/>
      <c r="B538" s="172"/>
      <c r="C538" s="160"/>
      <c r="D538" s="160"/>
      <c r="E538" s="173"/>
      <c r="F538" s="174"/>
      <c r="G538" s="175"/>
      <c r="H538" s="175"/>
      <c r="I538" s="171"/>
      <c r="J538" s="176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</row>
    <row r="539" spans="1:29" ht="13.2" x14ac:dyDescent="0.25">
      <c r="A539" s="171"/>
      <c r="B539" s="172"/>
      <c r="C539" s="160"/>
      <c r="D539" s="160"/>
      <c r="E539" s="173"/>
      <c r="F539" s="174"/>
      <c r="G539" s="175"/>
      <c r="H539" s="175"/>
      <c r="I539" s="171"/>
      <c r="J539" s="176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</row>
    <row r="540" spans="1:29" ht="13.2" x14ac:dyDescent="0.25">
      <c r="A540" s="171"/>
      <c r="B540" s="172"/>
      <c r="C540" s="160"/>
      <c r="D540" s="160"/>
      <c r="E540" s="173"/>
      <c r="F540" s="174"/>
      <c r="G540" s="175"/>
      <c r="H540" s="175"/>
      <c r="I540" s="171"/>
      <c r="J540" s="176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</row>
    <row r="541" spans="1:29" ht="13.2" x14ac:dyDescent="0.25">
      <c r="A541" s="171"/>
      <c r="B541" s="172"/>
      <c r="C541" s="160"/>
      <c r="D541" s="160"/>
      <c r="E541" s="173"/>
      <c r="F541" s="174"/>
      <c r="G541" s="175"/>
      <c r="H541" s="175"/>
      <c r="I541" s="171"/>
      <c r="J541" s="176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</row>
    <row r="542" spans="1:29" ht="13.2" x14ac:dyDescent="0.25">
      <c r="A542" s="171"/>
      <c r="B542" s="172"/>
      <c r="C542" s="160"/>
      <c r="D542" s="160"/>
      <c r="E542" s="173"/>
      <c r="F542" s="174"/>
      <c r="G542" s="175"/>
      <c r="H542" s="175"/>
      <c r="I542" s="171"/>
      <c r="J542" s="176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</row>
    <row r="543" spans="1:29" ht="13.2" x14ac:dyDescent="0.25">
      <c r="A543" s="171"/>
      <c r="B543" s="172"/>
      <c r="C543" s="160"/>
      <c r="D543" s="160"/>
      <c r="E543" s="173"/>
      <c r="F543" s="174"/>
      <c r="G543" s="175"/>
      <c r="H543" s="175"/>
      <c r="I543" s="171"/>
      <c r="J543" s="176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</row>
    <row r="544" spans="1:29" ht="13.2" x14ac:dyDescent="0.25">
      <c r="A544" s="171"/>
      <c r="B544" s="172"/>
      <c r="C544" s="160"/>
      <c r="D544" s="160"/>
      <c r="E544" s="173"/>
      <c r="F544" s="174"/>
      <c r="G544" s="175"/>
      <c r="H544" s="175"/>
      <c r="I544" s="171"/>
      <c r="J544" s="176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</row>
    <row r="545" spans="1:29" ht="13.2" x14ac:dyDescent="0.25">
      <c r="A545" s="171"/>
      <c r="B545" s="172"/>
      <c r="C545" s="160"/>
      <c r="D545" s="160"/>
      <c r="E545" s="173"/>
      <c r="F545" s="174"/>
      <c r="G545" s="175"/>
      <c r="H545" s="175"/>
      <c r="I545" s="171"/>
      <c r="J545" s="176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</row>
    <row r="546" spans="1:29" ht="13.2" x14ac:dyDescent="0.25">
      <c r="A546" s="171"/>
      <c r="B546" s="172"/>
      <c r="C546" s="160"/>
      <c r="D546" s="160"/>
      <c r="E546" s="173"/>
      <c r="F546" s="174"/>
      <c r="G546" s="175"/>
      <c r="H546" s="175"/>
      <c r="I546" s="171"/>
      <c r="J546" s="176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</row>
    <row r="547" spans="1:29" ht="13.2" x14ac:dyDescent="0.25">
      <c r="A547" s="171"/>
      <c r="B547" s="172"/>
      <c r="C547" s="160"/>
      <c r="D547" s="160"/>
      <c r="E547" s="173"/>
      <c r="F547" s="174"/>
      <c r="G547" s="175"/>
      <c r="H547" s="175"/>
      <c r="I547" s="171"/>
      <c r="J547" s="176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</row>
    <row r="548" spans="1:29" ht="13.2" x14ac:dyDescent="0.25">
      <c r="A548" s="171"/>
      <c r="B548" s="172"/>
      <c r="C548" s="160"/>
      <c r="D548" s="160"/>
      <c r="E548" s="173"/>
      <c r="F548" s="174"/>
      <c r="G548" s="175"/>
      <c r="H548" s="175"/>
      <c r="I548" s="171"/>
      <c r="J548" s="176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</row>
    <row r="549" spans="1:29" ht="13.2" x14ac:dyDescent="0.25">
      <c r="A549" s="171"/>
      <c r="B549" s="172"/>
      <c r="C549" s="160"/>
      <c r="D549" s="160"/>
      <c r="E549" s="173"/>
      <c r="F549" s="174"/>
      <c r="G549" s="175"/>
      <c r="H549" s="175"/>
      <c r="I549" s="171"/>
      <c r="J549" s="176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</row>
    <row r="550" spans="1:29" ht="13.2" x14ac:dyDescent="0.25">
      <c r="A550" s="171"/>
      <c r="B550" s="172"/>
      <c r="C550" s="160"/>
      <c r="D550" s="160"/>
      <c r="E550" s="173"/>
      <c r="F550" s="174"/>
      <c r="G550" s="175"/>
      <c r="H550" s="175"/>
      <c r="I550" s="171"/>
      <c r="J550" s="176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</row>
    <row r="551" spans="1:29" ht="13.2" x14ac:dyDescent="0.25">
      <c r="A551" s="171"/>
      <c r="B551" s="172"/>
      <c r="C551" s="160"/>
      <c r="D551" s="160"/>
      <c r="E551" s="173"/>
      <c r="F551" s="174"/>
      <c r="G551" s="175"/>
      <c r="H551" s="175"/>
      <c r="I551" s="171"/>
      <c r="J551" s="176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</row>
    <row r="552" spans="1:29" ht="13.2" x14ac:dyDescent="0.25">
      <c r="A552" s="171"/>
      <c r="B552" s="172"/>
      <c r="C552" s="160"/>
      <c r="D552" s="160"/>
      <c r="E552" s="173"/>
      <c r="F552" s="174"/>
      <c r="G552" s="175"/>
      <c r="H552" s="175"/>
      <c r="I552" s="171"/>
      <c r="J552" s="176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</row>
    <row r="553" spans="1:29" ht="13.2" x14ac:dyDescent="0.25">
      <c r="A553" s="171"/>
      <c r="B553" s="172"/>
      <c r="C553" s="160"/>
      <c r="D553" s="160"/>
      <c r="E553" s="173"/>
      <c r="F553" s="174"/>
      <c r="G553" s="175"/>
      <c r="H553" s="175"/>
      <c r="I553" s="171"/>
      <c r="J553" s="176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</row>
    <row r="554" spans="1:29" ht="13.2" x14ac:dyDescent="0.25">
      <c r="A554" s="171"/>
      <c r="B554" s="172"/>
      <c r="C554" s="160"/>
      <c r="D554" s="160"/>
      <c r="E554" s="173"/>
      <c r="F554" s="174"/>
      <c r="G554" s="175"/>
      <c r="H554" s="175"/>
      <c r="I554" s="171"/>
      <c r="J554" s="176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</row>
    <row r="555" spans="1:29" ht="13.2" x14ac:dyDescent="0.25">
      <c r="A555" s="171"/>
      <c r="B555" s="172"/>
      <c r="C555" s="160"/>
      <c r="D555" s="160"/>
      <c r="E555" s="173"/>
      <c r="F555" s="174"/>
      <c r="G555" s="175"/>
      <c r="H555" s="175"/>
      <c r="I555" s="171"/>
      <c r="J555" s="176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</row>
    <row r="556" spans="1:29" ht="13.2" x14ac:dyDescent="0.25">
      <c r="A556" s="171"/>
      <c r="B556" s="172"/>
      <c r="C556" s="160"/>
      <c r="D556" s="160"/>
      <c r="E556" s="173"/>
      <c r="F556" s="174"/>
      <c r="G556" s="175"/>
      <c r="H556" s="175"/>
      <c r="I556" s="171"/>
      <c r="J556" s="176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</row>
    <row r="557" spans="1:29" ht="13.2" x14ac:dyDescent="0.25">
      <c r="A557" s="171"/>
      <c r="B557" s="172"/>
      <c r="C557" s="160"/>
      <c r="D557" s="160"/>
      <c r="E557" s="173"/>
      <c r="F557" s="174"/>
      <c r="G557" s="175"/>
      <c r="H557" s="175"/>
      <c r="I557" s="171"/>
      <c r="J557" s="176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</row>
    <row r="558" spans="1:29" ht="13.2" x14ac:dyDescent="0.25">
      <c r="A558" s="171"/>
      <c r="B558" s="172"/>
      <c r="C558" s="160"/>
      <c r="D558" s="160"/>
      <c r="E558" s="173"/>
      <c r="F558" s="174"/>
      <c r="G558" s="175"/>
      <c r="H558" s="175"/>
      <c r="I558" s="171"/>
      <c r="J558" s="176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</row>
    <row r="559" spans="1:29" ht="13.2" x14ac:dyDescent="0.25">
      <c r="A559" s="171"/>
      <c r="B559" s="172"/>
      <c r="C559" s="160"/>
      <c r="D559" s="160"/>
      <c r="E559" s="173"/>
      <c r="F559" s="174"/>
      <c r="G559" s="175"/>
      <c r="H559" s="175"/>
      <c r="I559" s="171"/>
      <c r="J559" s="176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</row>
    <row r="560" spans="1:29" ht="13.2" x14ac:dyDescent="0.25">
      <c r="A560" s="171"/>
      <c r="B560" s="172"/>
      <c r="C560" s="160"/>
      <c r="D560" s="160"/>
      <c r="E560" s="173"/>
      <c r="F560" s="174"/>
      <c r="G560" s="175"/>
      <c r="H560" s="175"/>
      <c r="I560" s="171"/>
      <c r="J560" s="176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</row>
    <row r="561" spans="1:29" ht="13.2" x14ac:dyDescent="0.25">
      <c r="A561" s="171"/>
      <c r="B561" s="172"/>
      <c r="C561" s="160"/>
      <c r="D561" s="160"/>
      <c r="E561" s="173"/>
      <c r="F561" s="174"/>
      <c r="G561" s="175"/>
      <c r="H561" s="175"/>
      <c r="I561" s="171"/>
      <c r="J561" s="176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</row>
    <row r="562" spans="1:29" ht="13.2" x14ac:dyDescent="0.25">
      <c r="A562" s="171"/>
      <c r="B562" s="172"/>
      <c r="C562" s="160"/>
      <c r="D562" s="160"/>
      <c r="E562" s="173"/>
      <c r="F562" s="174"/>
      <c r="G562" s="175"/>
      <c r="H562" s="175"/>
      <c r="I562" s="171"/>
      <c r="J562" s="176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</row>
    <row r="563" spans="1:29" ht="13.2" x14ac:dyDescent="0.25">
      <c r="A563" s="171"/>
      <c r="B563" s="172"/>
      <c r="C563" s="160"/>
      <c r="D563" s="160"/>
      <c r="E563" s="173"/>
      <c r="F563" s="174"/>
      <c r="G563" s="175"/>
      <c r="H563" s="175"/>
      <c r="I563" s="171"/>
      <c r="J563" s="176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</row>
    <row r="564" spans="1:29" ht="13.2" x14ac:dyDescent="0.25">
      <c r="A564" s="171"/>
      <c r="B564" s="172"/>
      <c r="C564" s="160"/>
      <c r="D564" s="160"/>
      <c r="E564" s="173"/>
      <c r="F564" s="174"/>
      <c r="G564" s="175"/>
      <c r="H564" s="175"/>
      <c r="I564" s="171"/>
      <c r="J564" s="176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</row>
    <row r="565" spans="1:29" ht="13.2" x14ac:dyDescent="0.25">
      <c r="A565" s="171"/>
      <c r="B565" s="172"/>
      <c r="C565" s="160"/>
      <c r="D565" s="160"/>
      <c r="E565" s="173"/>
      <c r="F565" s="174"/>
      <c r="G565" s="175"/>
      <c r="H565" s="175"/>
      <c r="I565" s="171"/>
      <c r="J565" s="176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</row>
    <row r="566" spans="1:29" ht="13.2" x14ac:dyDescent="0.25">
      <c r="A566" s="171"/>
      <c r="B566" s="172"/>
      <c r="C566" s="160"/>
      <c r="D566" s="160"/>
      <c r="E566" s="173"/>
      <c r="F566" s="174"/>
      <c r="G566" s="175"/>
      <c r="H566" s="175"/>
      <c r="I566" s="171"/>
      <c r="J566" s="176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</row>
    <row r="567" spans="1:29" ht="13.2" x14ac:dyDescent="0.25">
      <c r="A567" s="171"/>
      <c r="B567" s="172"/>
      <c r="C567" s="160"/>
      <c r="D567" s="160"/>
      <c r="E567" s="173"/>
      <c r="F567" s="174"/>
      <c r="G567" s="175"/>
      <c r="H567" s="175"/>
      <c r="I567" s="171"/>
      <c r="J567" s="176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</row>
    <row r="568" spans="1:29" ht="13.2" x14ac:dyDescent="0.25">
      <c r="A568" s="171"/>
      <c r="B568" s="172"/>
      <c r="C568" s="160"/>
      <c r="D568" s="160"/>
      <c r="E568" s="173"/>
      <c r="F568" s="174"/>
      <c r="G568" s="175"/>
      <c r="H568" s="175"/>
      <c r="I568" s="171"/>
      <c r="J568" s="176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</row>
    <row r="569" spans="1:29" ht="13.2" x14ac:dyDescent="0.25">
      <c r="A569" s="171"/>
      <c r="B569" s="172"/>
      <c r="C569" s="160"/>
      <c r="D569" s="160"/>
      <c r="E569" s="173"/>
      <c r="F569" s="174"/>
      <c r="G569" s="175"/>
      <c r="H569" s="175"/>
      <c r="I569" s="171"/>
      <c r="J569" s="176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</row>
    <row r="570" spans="1:29" ht="13.2" x14ac:dyDescent="0.25">
      <c r="A570" s="171"/>
      <c r="B570" s="172"/>
      <c r="C570" s="160"/>
      <c r="D570" s="160"/>
      <c r="E570" s="173"/>
      <c r="F570" s="174"/>
      <c r="G570" s="175"/>
      <c r="H570" s="175"/>
      <c r="I570" s="171"/>
      <c r="J570" s="176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</row>
    <row r="571" spans="1:29" ht="13.2" x14ac:dyDescent="0.25">
      <c r="A571" s="171"/>
      <c r="B571" s="172"/>
      <c r="C571" s="160"/>
      <c r="D571" s="160"/>
      <c r="E571" s="173"/>
      <c r="F571" s="174"/>
      <c r="G571" s="175"/>
      <c r="H571" s="175"/>
      <c r="I571" s="171"/>
      <c r="J571" s="176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</row>
    <row r="572" spans="1:29" ht="13.2" x14ac:dyDescent="0.25">
      <c r="A572" s="171"/>
      <c r="B572" s="172"/>
      <c r="C572" s="160"/>
      <c r="D572" s="160"/>
      <c r="E572" s="173"/>
      <c r="F572" s="174"/>
      <c r="G572" s="175"/>
      <c r="H572" s="175"/>
      <c r="I572" s="171"/>
      <c r="J572" s="176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</row>
    <row r="573" spans="1:29" ht="13.2" x14ac:dyDescent="0.25">
      <c r="A573" s="171"/>
      <c r="B573" s="172"/>
      <c r="C573" s="160"/>
      <c r="D573" s="160"/>
      <c r="E573" s="173"/>
      <c r="F573" s="174"/>
      <c r="G573" s="175"/>
      <c r="H573" s="175"/>
      <c r="I573" s="171"/>
      <c r="J573" s="176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</row>
    <row r="574" spans="1:29" ht="13.2" x14ac:dyDescent="0.25">
      <c r="A574" s="171"/>
      <c r="B574" s="172"/>
      <c r="C574" s="160"/>
      <c r="D574" s="160"/>
      <c r="E574" s="173"/>
      <c r="F574" s="174"/>
      <c r="G574" s="175"/>
      <c r="H574" s="175"/>
      <c r="I574" s="171"/>
      <c r="J574" s="176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</row>
    <row r="575" spans="1:29" ht="13.2" x14ac:dyDescent="0.25">
      <c r="A575" s="171"/>
      <c r="B575" s="172"/>
      <c r="C575" s="160"/>
      <c r="D575" s="160"/>
      <c r="E575" s="173"/>
      <c r="F575" s="174"/>
      <c r="G575" s="175"/>
      <c r="H575" s="175"/>
      <c r="I575" s="171"/>
      <c r="J575" s="176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</row>
    <row r="576" spans="1:29" ht="13.2" x14ac:dyDescent="0.25">
      <c r="A576" s="171"/>
      <c r="B576" s="172"/>
      <c r="C576" s="160"/>
      <c r="D576" s="160"/>
      <c r="E576" s="173"/>
      <c r="F576" s="174"/>
      <c r="G576" s="175"/>
      <c r="H576" s="175"/>
      <c r="I576" s="171"/>
      <c r="J576" s="176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</row>
    <row r="577" spans="1:29" ht="13.2" x14ac:dyDescent="0.25">
      <c r="A577" s="171"/>
      <c r="B577" s="172"/>
      <c r="C577" s="160"/>
      <c r="D577" s="160"/>
      <c r="E577" s="173"/>
      <c r="F577" s="174"/>
      <c r="G577" s="175"/>
      <c r="H577" s="175"/>
      <c r="I577" s="171"/>
      <c r="J577" s="176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</row>
    <row r="578" spans="1:29" ht="13.2" x14ac:dyDescent="0.25">
      <c r="A578" s="171"/>
      <c r="B578" s="172"/>
      <c r="C578" s="160"/>
      <c r="D578" s="160"/>
      <c r="E578" s="173"/>
      <c r="F578" s="174"/>
      <c r="G578" s="175"/>
      <c r="H578" s="175"/>
      <c r="I578" s="171"/>
      <c r="J578" s="176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</row>
    <row r="579" spans="1:29" ht="13.2" x14ac:dyDescent="0.25">
      <c r="A579" s="171"/>
      <c r="B579" s="172"/>
      <c r="C579" s="160"/>
      <c r="D579" s="160"/>
      <c r="E579" s="173"/>
      <c r="F579" s="174"/>
      <c r="G579" s="175"/>
      <c r="H579" s="175"/>
      <c r="I579" s="171"/>
      <c r="J579" s="176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</row>
    <row r="580" spans="1:29" ht="13.2" x14ac:dyDescent="0.25">
      <c r="A580" s="171"/>
      <c r="B580" s="172"/>
      <c r="C580" s="160"/>
      <c r="D580" s="160"/>
      <c r="E580" s="173"/>
      <c r="F580" s="174"/>
      <c r="G580" s="175"/>
      <c r="H580" s="175"/>
      <c r="I580" s="171"/>
      <c r="J580" s="176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</row>
    <row r="581" spans="1:29" ht="13.2" x14ac:dyDescent="0.25">
      <c r="A581" s="171"/>
      <c r="B581" s="172"/>
      <c r="C581" s="160"/>
      <c r="D581" s="160"/>
      <c r="E581" s="173"/>
      <c r="F581" s="174"/>
      <c r="G581" s="175"/>
      <c r="H581" s="175"/>
      <c r="I581" s="171"/>
      <c r="J581" s="176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</row>
    <row r="582" spans="1:29" ht="13.2" x14ac:dyDescent="0.25">
      <c r="A582" s="171"/>
      <c r="B582" s="172"/>
      <c r="C582" s="160"/>
      <c r="D582" s="160"/>
      <c r="E582" s="173"/>
      <c r="F582" s="174"/>
      <c r="G582" s="175"/>
      <c r="H582" s="175"/>
      <c r="I582" s="171"/>
      <c r="J582" s="176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</row>
    <row r="583" spans="1:29" ht="13.2" x14ac:dyDescent="0.25">
      <c r="A583" s="171"/>
      <c r="B583" s="172"/>
      <c r="C583" s="160"/>
      <c r="D583" s="160"/>
      <c r="E583" s="173"/>
      <c r="F583" s="174"/>
      <c r="G583" s="175"/>
      <c r="H583" s="175"/>
      <c r="I583" s="171"/>
      <c r="J583" s="176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</row>
    <row r="584" spans="1:29" ht="13.2" x14ac:dyDescent="0.25">
      <c r="A584" s="171"/>
      <c r="B584" s="172"/>
      <c r="C584" s="160"/>
      <c r="D584" s="160"/>
      <c r="E584" s="173"/>
      <c r="F584" s="174"/>
      <c r="G584" s="175"/>
      <c r="H584" s="175"/>
      <c r="I584" s="171"/>
      <c r="J584" s="176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</row>
    <row r="585" spans="1:29" ht="13.2" x14ac:dyDescent="0.25">
      <c r="A585" s="171"/>
      <c r="B585" s="172"/>
      <c r="C585" s="160"/>
      <c r="D585" s="160"/>
      <c r="E585" s="173"/>
      <c r="F585" s="174"/>
      <c r="G585" s="175"/>
      <c r="H585" s="175"/>
      <c r="I585" s="171"/>
      <c r="J585" s="176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</row>
    <row r="586" spans="1:29" ht="13.2" x14ac:dyDescent="0.25">
      <c r="A586" s="171"/>
      <c r="B586" s="172"/>
      <c r="C586" s="160"/>
      <c r="D586" s="160"/>
      <c r="E586" s="173"/>
      <c r="F586" s="174"/>
      <c r="G586" s="175"/>
      <c r="H586" s="175"/>
      <c r="I586" s="171"/>
      <c r="J586" s="176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</row>
    <row r="587" spans="1:29" ht="13.2" x14ac:dyDescent="0.25">
      <c r="A587" s="171"/>
      <c r="B587" s="172"/>
      <c r="C587" s="160"/>
      <c r="D587" s="160"/>
      <c r="E587" s="173"/>
      <c r="F587" s="174"/>
      <c r="G587" s="175"/>
      <c r="H587" s="175"/>
      <c r="I587" s="171"/>
      <c r="J587" s="176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</row>
    <row r="588" spans="1:29" ht="13.2" x14ac:dyDescent="0.25">
      <c r="A588" s="171"/>
      <c r="B588" s="172"/>
      <c r="C588" s="160"/>
      <c r="D588" s="160"/>
      <c r="E588" s="173"/>
      <c r="F588" s="174"/>
      <c r="G588" s="175"/>
      <c r="H588" s="175"/>
      <c r="I588" s="171"/>
      <c r="J588" s="176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</row>
    <row r="589" spans="1:29" ht="13.2" x14ac:dyDescent="0.25">
      <c r="A589" s="171"/>
      <c r="B589" s="172"/>
      <c r="C589" s="160"/>
      <c r="D589" s="160"/>
      <c r="E589" s="173"/>
      <c r="F589" s="174"/>
      <c r="G589" s="175"/>
      <c r="H589" s="175"/>
      <c r="I589" s="171"/>
      <c r="J589" s="176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</row>
    <row r="590" spans="1:29" ht="13.2" x14ac:dyDescent="0.25">
      <c r="A590" s="171"/>
      <c r="B590" s="172"/>
      <c r="C590" s="160"/>
      <c r="D590" s="160"/>
      <c r="E590" s="173"/>
      <c r="F590" s="174"/>
      <c r="G590" s="175"/>
      <c r="H590" s="175"/>
      <c r="I590" s="171"/>
      <c r="J590" s="176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</row>
    <row r="591" spans="1:29" ht="13.2" x14ac:dyDescent="0.25">
      <c r="A591" s="171"/>
      <c r="B591" s="172"/>
      <c r="C591" s="160"/>
      <c r="D591" s="160"/>
      <c r="E591" s="173"/>
      <c r="F591" s="174"/>
      <c r="G591" s="175"/>
      <c r="H591" s="175"/>
      <c r="I591" s="171"/>
      <c r="J591" s="176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</row>
    <row r="592" spans="1:29" ht="13.2" x14ac:dyDescent="0.25">
      <c r="A592" s="171"/>
      <c r="B592" s="172"/>
      <c r="C592" s="160"/>
      <c r="D592" s="160"/>
      <c r="E592" s="173"/>
      <c r="F592" s="174"/>
      <c r="G592" s="175"/>
      <c r="H592" s="175"/>
      <c r="I592" s="171"/>
      <c r="J592" s="176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</row>
    <row r="593" spans="1:29" ht="13.2" x14ac:dyDescent="0.25">
      <c r="A593" s="171"/>
      <c r="B593" s="172"/>
      <c r="C593" s="160"/>
      <c r="D593" s="160"/>
      <c r="E593" s="173"/>
      <c r="F593" s="174"/>
      <c r="G593" s="175"/>
      <c r="H593" s="175"/>
      <c r="I593" s="171"/>
      <c r="J593" s="176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</row>
    <row r="594" spans="1:29" ht="13.2" x14ac:dyDescent="0.25">
      <c r="A594" s="171"/>
      <c r="B594" s="172"/>
      <c r="C594" s="160"/>
      <c r="D594" s="160"/>
      <c r="E594" s="173"/>
      <c r="F594" s="174"/>
      <c r="G594" s="175"/>
      <c r="H594" s="175"/>
      <c r="I594" s="171"/>
      <c r="J594" s="176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</row>
    <row r="595" spans="1:29" ht="13.2" x14ac:dyDescent="0.25">
      <c r="A595" s="171"/>
      <c r="B595" s="172"/>
      <c r="C595" s="160"/>
      <c r="D595" s="160"/>
      <c r="E595" s="173"/>
      <c r="F595" s="174"/>
      <c r="G595" s="175"/>
      <c r="H595" s="175"/>
      <c r="I595" s="171"/>
      <c r="J595" s="176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</row>
    <row r="596" spans="1:29" ht="13.2" x14ac:dyDescent="0.25">
      <c r="A596" s="171"/>
      <c r="B596" s="172"/>
      <c r="C596" s="160"/>
      <c r="D596" s="160"/>
      <c r="E596" s="173"/>
      <c r="F596" s="174"/>
      <c r="G596" s="175"/>
      <c r="H596" s="175"/>
      <c r="I596" s="171"/>
      <c r="J596" s="176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</row>
    <row r="597" spans="1:29" ht="13.2" x14ac:dyDescent="0.25">
      <c r="A597" s="171"/>
      <c r="B597" s="172"/>
      <c r="C597" s="160"/>
      <c r="D597" s="160"/>
      <c r="E597" s="173"/>
      <c r="F597" s="174"/>
      <c r="G597" s="175"/>
      <c r="H597" s="175"/>
      <c r="I597" s="171"/>
      <c r="J597" s="176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</row>
    <row r="598" spans="1:29" ht="13.2" x14ac:dyDescent="0.25">
      <c r="A598" s="171"/>
      <c r="B598" s="172"/>
      <c r="C598" s="160"/>
      <c r="D598" s="160"/>
      <c r="E598" s="173"/>
      <c r="F598" s="174"/>
      <c r="G598" s="175"/>
      <c r="H598" s="175"/>
      <c r="I598" s="171"/>
      <c r="J598" s="176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</row>
    <row r="599" spans="1:29" ht="13.2" x14ac:dyDescent="0.25">
      <c r="A599" s="171"/>
      <c r="B599" s="172"/>
      <c r="C599" s="160"/>
      <c r="D599" s="160"/>
      <c r="E599" s="173"/>
      <c r="F599" s="174"/>
      <c r="G599" s="175"/>
      <c r="H599" s="175"/>
      <c r="I599" s="171"/>
      <c r="J599" s="176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</row>
    <row r="600" spans="1:29" ht="13.2" x14ac:dyDescent="0.25">
      <c r="A600" s="171"/>
      <c r="B600" s="172"/>
      <c r="C600" s="160"/>
      <c r="D600" s="160"/>
      <c r="E600" s="173"/>
      <c r="F600" s="174"/>
      <c r="G600" s="175"/>
      <c r="H600" s="175"/>
      <c r="I600" s="171"/>
      <c r="J600" s="176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</row>
    <row r="601" spans="1:29" ht="13.2" x14ac:dyDescent="0.25">
      <c r="A601" s="171"/>
      <c r="B601" s="172"/>
      <c r="C601" s="160"/>
      <c r="D601" s="160"/>
      <c r="E601" s="173"/>
      <c r="F601" s="174"/>
      <c r="G601" s="175"/>
      <c r="H601" s="175"/>
      <c r="I601" s="171"/>
      <c r="J601" s="176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</row>
    <row r="602" spans="1:29" ht="13.2" x14ac:dyDescent="0.25">
      <c r="A602" s="171"/>
      <c r="B602" s="172"/>
      <c r="C602" s="160"/>
      <c r="D602" s="160"/>
      <c r="E602" s="173"/>
      <c r="F602" s="174"/>
      <c r="G602" s="175"/>
      <c r="H602" s="175"/>
      <c r="I602" s="171"/>
      <c r="J602" s="176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</row>
    <row r="603" spans="1:29" ht="13.2" x14ac:dyDescent="0.25">
      <c r="A603" s="171"/>
      <c r="B603" s="172"/>
      <c r="C603" s="160"/>
      <c r="D603" s="160"/>
      <c r="E603" s="173"/>
      <c r="F603" s="174"/>
      <c r="G603" s="175"/>
      <c r="H603" s="175"/>
      <c r="I603" s="171"/>
      <c r="J603" s="176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</row>
    <row r="604" spans="1:29" ht="13.2" x14ac:dyDescent="0.25">
      <c r="A604" s="171"/>
      <c r="B604" s="172"/>
      <c r="C604" s="160"/>
      <c r="D604" s="160"/>
      <c r="E604" s="173"/>
      <c r="F604" s="174"/>
      <c r="G604" s="175"/>
      <c r="H604" s="175"/>
      <c r="I604" s="171"/>
      <c r="J604" s="176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</row>
    <row r="605" spans="1:29" ht="13.2" x14ac:dyDescent="0.25">
      <c r="A605" s="171"/>
      <c r="B605" s="172"/>
      <c r="C605" s="160"/>
      <c r="D605" s="160"/>
      <c r="E605" s="173"/>
      <c r="F605" s="174"/>
      <c r="G605" s="175"/>
      <c r="H605" s="175"/>
      <c r="I605" s="171"/>
      <c r="J605" s="176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</row>
    <row r="606" spans="1:29" ht="13.2" x14ac:dyDescent="0.25">
      <c r="A606" s="171"/>
      <c r="B606" s="172"/>
      <c r="C606" s="160"/>
      <c r="D606" s="160"/>
      <c r="E606" s="173"/>
      <c r="F606" s="174"/>
      <c r="G606" s="175"/>
      <c r="H606" s="175"/>
      <c r="I606" s="171"/>
      <c r="J606" s="176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</row>
    <row r="607" spans="1:29" ht="13.2" x14ac:dyDescent="0.25">
      <c r="A607" s="171"/>
      <c r="B607" s="172"/>
      <c r="C607" s="160"/>
      <c r="D607" s="160"/>
      <c r="E607" s="173"/>
      <c r="F607" s="174"/>
      <c r="G607" s="175"/>
      <c r="H607" s="175"/>
      <c r="I607" s="171"/>
      <c r="J607" s="176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</row>
    <row r="608" spans="1:29" ht="13.2" x14ac:dyDescent="0.25">
      <c r="A608" s="171"/>
      <c r="B608" s="172"/>
      <c r="C608" s="160"/>
      <c r="D608" s="160"/>
      <c r="E608" s="173"/>
      <c r="F608" s="174"/>
      <c r="G608" s="175"/>
      <c r="H608" s="175"/>
      <c r="I608" s="171"/>
      <c r="J608" s="176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</row>
    <row r="609" spans="1:29" ht="13.2" x14ac:dyDescent="0.25">
      <c r="A609" s="171"/>
      <c r="B609" s="172"/>
      <c r="C609" s="160"/>
      <c r="D609" s="160"/>
      <c r="E609" s="173"/>
      <c r="F609" s="174"/>
      <c r="G609" s="175"/>
      <c r="H609" s="175"/>
      <c r="I609" s="171"/>
      <c r="J609" s="176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</row>
    <row r="610" spans="1:29" ht="13.2" x14ac:dyDescent="0.25">
      <c r="A610" s="171"/>
      <c r="B610" s="172"/>
      <c r="C610" s="160"/>
      <c r="D610" s="160"/>
      <c r="E610" s="173"/>
      <c r="F610" s="174"/>
      <c r="G610" s="175"/>
      <c r="H610" s="175"/>
      <c r="I610" s="171"/>
      <c r="J610" s="176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</row>
    <row r="611" spans="1:29" ht="13.2" x14ac:dyDescent="0.25">
      <c r="A611" s="171"/>
      <c r="B611" s="172"/>
      <c r="C611" s="160"/>
      <c r="D611" s="160"/>
      <c r="E611" s="173"/>
      <c r="F611" s="174"/>
      <c r="G611" s="175"/>
      <c r="H611" s="175"/>
      <c r="I611" s="171"/>
      <c r="J611" s="176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</row>
    <row r="612" spans="1:29" ht="13.2" x14ac:dyDescent="0.25">
      <c r="A612" s="171"/>
      <c r="B612" s="172"/>
      <c r="C612" s="160"/>
      <c r="D612" s="160"/>
      <c r="E612" s="173"/>
      <c r="F612" s="174"/>
      <c r="G612" s="175"/>
      <c r="H612" s="175"/>
      <c r="I612" s="171"/>
      <c r="J612" s="176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</row>
    <row r="613" spans="1:29" ht="13.2" x14ac:dyDescent="0.25">
      <c r="A613" s="171"/>
      <c r="B613" s="172"/>
      <c r="C613" s="160"/>
      <c r="D613" s="160"/>
      <c r="E613" s="173"/>
      <c r="F613" s="174"/>
      <c r="G613" s="175"/>
      <c r="H613" s="175"/>
      <c r="I613" s="171"/>
      <c r="J613" s="176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</row>
    <row r="614" spans="1:29" ht="13.2" x14ac:dyDescent="0.25">
      <c r="A614" s="171"/>
      <c r="B614" s="172"/>
      <c r="C614" s="160"/>
      <c r="D614" s="160"/>
      <c r="E614" s="173"/>
      <c r="F614" s="174"/>
      <c r="G614" s="175"/>
      <c r="H614" s="175"/>
      <c r="I614" s="171"/>
      <c r="J614" s="176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</row>
    <row r="615" spans="1:29" ht="13.2" x14ac:dyDescent="0.25">
      <c r="A615" s="171"/>
      <c r="B615" s="172"/>
      <c r="C615" s="160"/>
      <c r="D615" s="160"/>
      <c r="E615" s="173"/>
      <c r="F615" s="174"/>
      <c r="G615" s="175"/>
      <c r="H615" s="175"/>
      <c r="I615" s="171"/>
      <c r="J615" s="176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</row>
    <row r="616" spans="1:29" ht="13.2" x14ac:dyDescent="0.25">
      <c r="A616" s="171"/>
      <c r="B616" s="172"/>
      <c r="C616" s="160"/>
      <c r="D616" s="160"/>
      <c r="E616" s="173"/>
      <c r="F616" s="174"/>
      <c r="G616" s="175"/>
      <c r="H616" s="175"/>
      <c r="I616" s="171"/>
      <c r="J616" s="176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</row>
    <row r="617" spans="1:29" ht="13.2" x14ac:dyDescent="0.25">
      <c r="A617" s="171"/>
      <c r="B617" s="172"/>
      <c r="C617" s="160"/>
      <c r="D617" s="160"/>
      <c r="E617" s="173"/>
      <c r="F617" s="174"/>
      <c r="G617" s="175"/>
      <c r="H617" s="175"/>
      <c r="I617" s="171"/>
      <c r="J617" s="176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</row>
    <row r="618" spans="1:29" ht="13.2" x14ac:dyDescent="0.25">
      <c r="A618" s="171"/>
      <c r="B618" s="172"/>
      <c r="C618" s="160"/>
      <c r="D618" s="160"/>
      <c r="E618" s="173"/>
      <c r="F618" s="174"/>
      <c r="G618" s="175"/>
      <c r="H618" s="175"/>
      <c r="I618" s="171"/>
      <c r="J618" s="176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</row>
    <row r="619" spans="1:29" ht="13.2" x14ac:dyDescent="0.25">
      <c r="A619" s="171"/>
      <c r="B619" s="172"/>
      <c r="C619" s="160"/>
      <c r="D619" s="160"/>
      <c r="E619" s="173"/>
      <c r="F619" s="174"/>
      <c r="G619" s="175"/>
      <c r="H619" s="175"/>
      <c r="I619" s="171"/>
      <c r="J619" s="176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</row>
    <row r="620" spans="1:29" ht="13.2" x14ac:dyDescent="0.25">
      <c r="A620" s="171"/>
      <c r="B620" s="172"/>
      <c r="C620" s="160"/>
      <c r="D620" s="160"/>
      <c r="E620" s="173"/>
      <c r="F620" s="174"/>
      <c r="G620" s="175"/>
      <c r="H620" s="175"/>
      <c r="I620" s="171"/>
      <c r="J620" s="176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</row>
    <row r="621" spans="1:29" ht="13.2" x14ac:dyDescent="0.25">
      <c r="A621" s="171"/>
      <c r="B621" s="172"/>
      <c r="C621" s="160"/>
      <c r="D621" s="160"/>
      <c r="E621" s="173"/>
      <c r="F621" s="174"/>
      <c r="G621" s="175"/>
      <c r="H621" s="175"/>
      <c r="I621" s="171"/>
      <c r="J621" s="176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</row>
    <row r="622" spans="1:29" ht="13.2" x14ac:dyDescent="0.25">
      <c r="A622" s="171"/>
      <c r="B622" s="172"/>
      <c r="C622" s="160"/>
      <c r="D622" s="160"/>
      <c r="E622" s="173"/>
      <c r="F622" s="174"/>
      <c r="G622" s="175"/>
      <c r="H622" s="175"/>
      <c r="I622" s="171"/>
      <c r="J622" s="176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</row>
    <row r="623" spans="1:29" ht="13.2" x14ac:dyDescent="0.25">
      <c r="A623" s="171"/>
      <c r="B623" s="172"/>
      <c r="C623" s="160"/>
      <c r="D623" s="160"/>
      <c r="E623" s="173"/>
      <c r="F623" s="174"/>
      <c r="G623" s="175"/>
      <c r="H623" s="175"/>
      <c r="I623" s="171"/>
      <c r="J623" s="176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</row>
    <row r="624" spans="1:29" ht="13.2" x14ac:dyDescent="0.25">
      <c r="A624" s="171"/>
      <c r="B624" s="172"/>
      <c r="C624" s="160"/>
      <c r="D624" s="160"/>
      <c r="E624" s="173"/>
      <c r="F624" s="174"/>
      <c r="G624" s="175"/>
      <c r="H624" s="175"/>
      <c r="I624" s="171"/>
      <c r="J624" s="176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</row>
    <row r="625" spans="1:29" ht="13.2" x14ac:dyDescent="0.25">
      <c r="A625" s="171"/>
      <c r="B625" s="172"/>
      <c r="C625" s="160"/>
      <c r="D625" s="160"/>
      <c r="E625" s="173"/>
      <c r="F625" s="174"/>
      <c r="G625" s="175"/>
      <c r="H625" s="175"/>
      <c r="I625" s="171"/>
      <c r="J625" s="176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</row>
    <row r="626" spans="1:29" ht="13.2" x14ac:dyDescent="0.25">
      <c r="A626" s="171"/>
      <c r="B626" s="172"/>
      <c r="C626" s="160"/>
      <c r="D626" s="160"/>
      <c r="E626" s="173"/>
      <c r="F626" s="174"/>
      <c r="G626" s="175"/>
      <c r="H626" s="175"/>
      <c r="I626" s="171"/>
      <c r="J626" s="176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</row>
    <row r="627" spans="1:29" ht="13.2" x14ac:dyDescent="0.25">
      <c r="A627" s="171"/>
      <c r="B627" s="172"/>
      <c r="C627" s="160"/>
      <c r="D627" s="160"/>
      <c r="E627" s="173"/>
      <c r="F627" s="174"/>
      <c r="G627" s="175"/>
      <c r="H627" s="175"/>
      <c r="I627" s="171"/>
      <c r="J627" s="176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</row>
    <row r="628" spans="1:29" ht="13.2" x14ac:dyDescent="0.25">
      <c r="A628" s="171"/>
      <c r="B628" s="172"/>
      <c r="C628" s="160"/>
      <c r="D628" s="160"/>
      <c r="E628" s="173"/>
      <c r="F628" s="174"/>
      <c r="G628" s="175"/>
      <c r="H628" s="175"/>
      <c r="I628" s="171"/>
      <c r="J628" s="176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</row>
    <row r="629" spans="1:29" ht="13.2" x14ac:dyDescent="0.25">
      <c r="A629" s="171"/>
      <c r="B629" s="172"/>
      <c r="C629" s="160"/>
      <c r="D629" s="160"/>
      <c r="E629" s="173"/>
      <c r="F629" s="174"/>
      <c r="G629" s="175"/>
      <c r="H629" s="175"/>
      <c r="I629" s="171"/>
      <c r="J629" s="176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</row>
    <row r="630" spans="1:29" ht="13.2" x14ac:dyDescent="0.25">
      <c r="A630" s="171"/>
      <c r="B630" s="172"/>
      <c r="C630" s="160"/>
      <c r="D630" s="160"/>
      <c r="E630" s="173"/>
      <c r="F630" s="174"/>
      <c r="G630" s="175"/>
      <c r="H630" s="175"/>
      <c r="I630" s="171"/>
      <c r="J630" s="176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</row>
    <row r="631" spans="1:29" ht="13.2" x14ac:dyDescent="0.25">
      <c r="A631" s="171"/>
      <c r="B631" s="172"/>
      <c r="C631" s="160"/>
      <c r="D631" s="160"/>
      <c r="E631" s="173"/>
      <c r="F631" s="174"/>
      <c r="G631" s="175"/>
      <c r="H631" s="175"/>
      <c r="I631" s="171"/>
      <c r="J631" s="176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</row>
    <row r="632" spans="1:29" ht="13.2" x14ac:dyDescent="0.25">
      <c r="A632" s="171"/>
      <c r="B632" s="172"/>
      <c r="C632" s="160"/>
      <c r="D632" s="160"/>
      <c r="E632" s="173"/>
      <c r="F632" s="174"/>
      <c r="G632" s="175"/>
      <c r="H632" s="175"/>
      <c r="I632" s="171"/>
      <c r="J632" s="176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</row>
    <row r="633" spans="1:29" ht="13.2" x14ac:dyDescent="0.25">
      <c r="A633" s="171"/>
      <c r="B633" s="172"/>
      <c r="C633" s="160"/>
      <c r="D633" s="160"/>
      <c r="E633" s="173"/>
      <c r="F633" s="174"/>
      <c r="G633" s="175"/>
      <c r="H633" s="175"/>
      <c r="I633" s="171"/>
      <c r="J633" s="176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</row>
    <row r="634" spans="1:29" ht="13.2" x14ac:dyDescent="0.25">
      <c r="A634" s="171"/>
      <c r="B634" s="172"/>
      <c r="C634" s="160"/>
      <c r="D634" s="160"/>
      <c r="E634" s="173"/>
      <c r="F634" s="174"/>
      <c r="G634" s="175"/>
      <c r="H634" s="175"/>
      <c r="I634" s="171"/>
      <c r="J634" s="176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</row>
    <row r="635" spans="1:29" ht="13.2" x14ac:dyDescent="0.25">
      <c r="A635" s="171"/>
      <c r="B635" s="172"/>
      <c r="C635" s="160"/>
      <c r="D635" s="160"/>
      <c r="E635" s="173"/>
      <c r="F635" s="174"/>
      <c r="G635" s="175"/>
      <c r="H635" s="175"/>
      <c r="I635" s="171"/>
      <c r="J635" s="176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</row>
    <row r="636" spans="1:29" ht="13.2" x14ac:dyDescent="0.25">
      <c r="A636" s="171"/>
      <c r="B636" s="172"/>
      <c r="C636" s="160"/>
      <c r="D636" s="160"/>
      <c r="E636" s="173"/>
      <c r="F636" s="174"/>
      <c r="G636" s="175"/>
      <c r="H636" s="175"/>
      <c r="I636" s="171"/>
      <c r="J636" s="176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</row>
    <row r="637" spans="1:29" ht="13.2" x14ac:dyDescent="0.25">
      <c r="A637" s="171"/>
      <c r="B637" s="172"/>
      <c r="C637" s="160"/>
      <c r="D637" s="160"/>
      <c r="E637" s="173"/>
      <c r="F637" s="174"/>
      <c r="G637" s="175"/>
      <c r="H637" s="175"/>
      <c r="I637" s="171"/>
      <c r="J637" s="176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</row>
    <row r="638" spans="1:29" ht="13.2" x14ac:dyDescent="0.25">
      <c r="A638" s="171"/>
      <c r="B638" s="172"/>
      <c r="C638" s="160"/>
      <c r="D638" s="160"/>
      <c r="E638" s="173"/>
      <c r="F638" s="174"/>
      <c r="G638" s="175"/>
      <c r="H638" s="175"/>
      <c r="I638" s="171"/>
      <c r="J638" s="176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</row>
    <row r="639" spans="1:29" ht="13.2" x14ac:dyDescent="0.25">
      <c r="A639" s="171"/>
      <c r="B639" s="172"/>
      <c r="C639" s="160"/>
      <c r="D639" s="160"/>
      <c r="E639" s="173"/>
      <c r="F639" s="174"/>
      <c r="G639" s="175"/>
      <c r="H639" s="175"/>
      <c r="I639" s="171"/>
      <c r="J639" s="176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</row>
    <row r="640" spans="1:29" ht="13.2" x14ac:dyDescent="0.25">
      <c r="A640" s="171"/>
      <c r="B640" s="172"/>
      <c r="C640" s="160"/>
      <c r="D640" s="160"/>
      <c r="E640" s="173"/>
      <c r="F640" s="174"/>
      <c r="G640" s="175"/>
      <c r="H640" s="175"/>
      <c r="I640" s="171"/>
      <c r="J640" s="176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</row>
    <row r="641" spans="1:29" ht="13.2" x14ac:dyDescent="0.25">
      <c r="A641" s="171"/>
      <c r="B641" s="172"/>
      <c r="C641" s="160"/>
      <c r="D641" s="160"/>
      <c r="E641" s="173"/>
      <c r="F641" s="174"/>
      <c r="G641" s="175"/>
      <c r="H641" s="175"/>
      <c r="I641" s="171"/>
      <c r="J641" s="176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</row>
    <row r="642" spans="1:29" ht="13.2" x14ac:dyDescent="0.25">
      <c r="A642" s="171"/>
      <c r="B642" s="172"/>
      <c r="C642" s="160"/>
      <c r="D642" s="160"/>
      <c r="E642" s="173"/>
      <c r="F642" s="174"/>
      <c r="G642" s="175"/>
      <c r="H642" s="175"/>
      <c r="I642" s="171"/>
      <c r="J642" s="176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</row>
    <row r="643" spans="1:29" ht="13.2" x14ac:dyDescent="0.25">
      <c r="A643" s="171"/>
      <c r="B643" s="172"/>
      <c r="C643" s="160"/>
      <c r="D643" s="160"/>
      <c r="E643" s="173"/>
      <c r="F643" s="174"/>
      <c r="G643" s="175"/>
      <c r="H643" s="175"/>
      <c r="I643" s="171"/>
      <c r="J643" s="176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</row>
    <row r="644" spans="1:29" ht="13.2" x14ac:dyDescent="0.25">
      <c r="A644" s="171"/>
      <c r="B644" s="172"/>
      <c r="C644" s="160"/>
      <c r="D644" s="160"/>
      <c r="E644" s="173"/>
      <c r="F644" s="174"/>
      <c r="G644" s="175"/>
      <c r="H644" s="175"/>
      <c r="I644" s="171"/>
      <c r="J644" s="176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</row>
    <row r="645" spans="1:29" ht="13.2" x14ac:dyDescent="0.25">
      <c r="A645" s="171"/>
      <c r="B645" s="172"/>
      <c r="C645" s="160"/>
      <c r="D645" s="160"/>
      <c r="E645" s="173"/>
      <c r="F645" s="174"/>
      <c r="G645" s="175"/>
      <c r="H645" s="175"/>
      <c r="I645" s="171"/>
      <c r="J645" s="176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</row>
    <row r="646" spans="1:29" ht="13.2" x14ac:dyDescent="0.25">
      <c r="A646" s="171"/>
      <c r="B646" s="172"/>
      <c r="C646" s="160"/>
      <c r="D646" s="160"/>
      <c r="E646" s="173"/>
      <c r="F646" s="174"/>
      <c r="G646" s="175"/>
      <c r="H646" s="175"/>
      <c r="I646" s="171"/>
      <c r="J646" s="176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</row>
    <row r="647" spans="1:29" ht="13.2" x14ac:dyDescent="0.25">
      <c r="A647" s="171"/>
      <c r="B647" s="172"/>
      <c r="C647" s="160"/>
      <c r="D647" s="160"/>
      <c r="E647" s="173"/>
      <c r="F647" s="174"/>
      <c r="G647" s="175"/>
      <c r="H647" s="175"/>
      <c r="I647" s="171"/>
      <c r="J647" s="176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</row>
    <row r="648" spans="1:29" ht="13.2" x14ac:dyDescent="0.25">
      <c r="A648" s="171"/>
      <c r="B648" s="172"/>
      <c r="C648" s="160"/>
      <c r="D648" s="160"/>
      <c r="E648" s="173"/>
      <c r="F648" s="174"/>
      <c r="G648" s="175"/>
      <c r="H648" s="175"/>
      <c r="I648" s="171"/>
      <c r="J648" s="176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</row>
    <row r="649" spans="1:29" ht="13.2" x14ac:dyDescent="0.25">
      <c r="A649" s="171"/>
      <c r="B649" s="172"/>
      <c r="C649" s="160"/>
      <c r="D649" s="160"/>
      <c r="E649" s="173"/>
      <c r="F649" s="174"/>
      <c r="G649" s="175"/>
      <c r="H649" s="175"/>
      <c r="I649" s="171"/>
      <c r="J649" s="176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</row>
    <row r="650" spans="1:29" ht="13.2" x14ac:dyDescent="0.25">
      <c r="A650" s="171"/>
      <c r="B650" s="172"/>
      <c r="C650" s="160"/>
      <c r="D650" s="160"/>
      <c r="E650" s="173"/>
      <c r="F650" s="174"/>
      <c r="G650" s="175"/>
      <c r="H650" s="175"/>
      <c r="I650" s="171"/>
      <c r="J650" s="176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</row>
    <row r="651" spans="1:29" ht="13.2" x14ac:dyDescent="0.25">
      <c r="A651" s="171"/>
      <c r="B651" s="172"/>
      <c r="C651" s="160"/>
      <c r="D651" s="160"/>
      <c r="E651" s="173"/>
      <c r="F651" s="174"/>
      <c r="G651" s="175"/>
      <c r="H651" s="175"/>
      <c r="I651" s="171"/>
      <c r="J651" s="176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</row>
    <row r="652" spans="1:29" ht="13.2" x14ac:dyDescent="0.25">
      <c r="A652" s="171"/>
      <c r="B652" s="172"/>
      <c r="C652" s="160"/>
      <c r="D652" s="160"/>
      <c r="E652" s="173"/>
      <c r="F652" s="174"/>
      <c r="G652" s="175"/>
      <c r="H652" s="175"/>
      <c r="I652" s="171"/>
      <c r="J652" s="176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</row>
    <row r="653" spans="1:29" ht="13.2" x14ac:dyDescent="0.25">
      <c r="A653" s="171"/>
      <c r="B653" s="172"/>
      <c r="C653" s="160"/>
      <c r="D653" s="160"/>
      <c r="E653" s="173"/>
      <c r="F653" s="174"/>
      <c r="G653" s="175"/>
      <c r="H653" s="175"/>
      <c r="I653" s="171"/>
      <c r="J653" s="176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</row>
    <row r="654" spans="1:29" ht="13.2" x14ac:dyDescent="0.25">
      <c r="A654" s="171"/>
      <c r="B654" s="172"/>
      <c r="C654" s="160"/>
      <c r="D654" s="160"/>
      <c r="E654" s="173"/>
      <c r="F654" s="174"/>
      <c r="G654" s="175"/>
      <c r="H654" s="175"/>
      <c r="I654" s="171"/>
      <c r="J654" s="176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</row>
    <row r="655" spans="1:29" ht="13.2" x14ac:dyDescent="0.25">
      <c r="A655" s="171"/>
      <c r="B655" s="172"/>
      <c r="C655" s="160"/>
      <c r="D655" s="160"/>
      <c r="E655" s="173"/>
      <c r="F655" s="174"/>
      <c r="G655" s="175"/>
      <c r="H655" s="175"/>
      <c r="I655" s="171"/>
      <c r="J655" s="176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</row>
    <row r="656" spans="1:29" ht="13.2" x14ac:dyDescent="0.25">
      <c r="A656" s="171"/>
      <c r="B656" s="172"/>
      <c r="C656" s="160"/>
      <c r="D656" s="160"/>
      <c r="E656" s="173"/>
      <c r="F656" s="174"/>
      <c r="G656" s="175"/>
      <c r="H656" s="175"/>
      <c r="I656" s="171"/>
      <c r="J656" s="176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</row>
    <row r="657" spans="1:29" ht="13.2" x14ac:dyDescent="0.25">
      <c r="A657" s="171"/>
      <c r="B657" s="172"/>
      <c r="C657" s="160"/>
      <c r="D657" s="160"/>
      <c r="E657" s="173"/>
      <c r="F657" s="174"/>
      <c r="G657" s="175"/>
      <c r="H657" s="175"/>
      <c r="I657" s="171"/>
      <c r="J657" s="176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</row>
    <row r="658" spans="1:29" ht="13.2" x14ac:dyDescent="0.25">
      <c r="A658" s="171"/>
      <c r="B658" s="172"/>
      <c r="C658" s="160"/>
      <c r="D658" s="160"/>
      <c r="E658" s="173"/>
      <c r="F658" s="174"/>
      <c r="G658" s="175"/>
      <c r="H658" s="175"/>
      <c r="I658" s="171"/>
      <c r="J658" s="176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</row>
    <row r="659" spans="1:29" ht="13.2" x14ac:dyDescent="0.25">
      <c r="A659" s="171"/>
      <c r="B659" s="172"/>
      <c r="C659" s="160"/>
      <c r="D659" s="160"/>
      <c r="E659" s="173"/>
      <c r="F659" s="174"/>
      <c r="G659" s="175"/>
      <c r="H659" s="175"/>
      <c r="I659" s="171"/>
      <c r="J659" s="176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</row>
    <row r="660" spans="1:29" ht="13.2" x14ac:dyDescent="0.25">
      <c r="A660" s="171"/>
      <c r="B660" s="172"/>
      <c r="C660" s="160"/>
      <c r="D660" s="160"/>
      <c r="E660" s="173"/>
      <c r="F660" s="174"/>
      <c r="G660" s="175"/>
      <c r="H660" s="175"/>
      <c r="I660" s="171"/>
      <c r="J660" s="176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</row>
    <row r="661" spans="1:29" ht="13.2" x14ac:dyDescent="0.25">
      <c r="A661" s="171"/>
      <c r="B661" s="172"/>
      <c r="C661" s="160"/>
      <c r="D661" s="160"/>
      <c r="E661" s="173"/>
      <c r="F661" s="174"/>
      <c r="G661" s="175"/>
      <c r="H661" s="175"/>
      <c r="I661" s="171"/>
      <c r="J661" s="176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</row>
    <row r="662" spans="1:29" ht="13.2" x14ac:dyDescent="0.25">
      <c r="A662" s="171"/>
      <c r="B662" s="172"/>
      <c r="C662" s="160"/>
      <c r="D662" s="160"/>
      <c r="E662" s="173"/>
      <c r="F662" s="174"/>
      <c r="G662" s="175"/>
      <c r="H662" s="175"/>
      <c r="I662" s="171"/>
      <c r="J662" s="176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</row>
    <row r="663" spans="1:29" ht="13.2" x14ac:dyDescent="0.25">
      <c r="A663" s="171"/>
      <c r="B663" s="172"/>
      <c r="C663" s="160"/>
      <c r="D663" s="160"/>
      <c r="E663" s="173"/>
      <c r="F663" s="174"/>
      <c r="G663" s="175"/>
      <c r="H663" s="175"/>
      <c r="I663" s="171"/>
      <c r="J663" s="176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</row>
    <row r="664" spans="1:29" ht="13.2" x14ac:dyDescent="0.25">
      <c r="A664" s="171"/>
      <c r="B664" s="172"/>
      <c r="C664" s="160"/>
      <c r="D664" s="160"/>
      <c r="E664" s="173"/>
      <c r="F664" s="174"/>
      <c r="G664" s="175"/>
      <c r="H664" s="175"/>
      <c r="I664" s="171"/>
      <c r="J664" s="176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</row>
    <row r="665" spans="1:29" ht="13.2" x14ac:dyDescent="0.25">
      <c r="A665" s="171"/>
      <c r="B665" s="172"/>
      <c r="C665" s="160"/>
      <c r="D665" s="160"/>
      <c r="E665" s="173"/>
      <c r="F665" s="174"/>
      <c r="G665" s="175"/>
      <c r="H665" s="175"/>
      <c r="I665" s="171"/>
      <c r="J665" s="176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</row>
    <row r="666" spans="1:29" ht="13.2" x14ac:dyDescent="0.25">
      <c r="A666" s="171"/>
      <c r="B666" s="172"/>
      <c r="C666" s="160"/>
      <c r="D666" s="160"/>
      <c r="E666" s="173"/>
      <c r="F666" s="174"/>
      <c r="G666" s="175"/>
      <c r="H666" s="175"/>
      <c r="I666" s="171"/>
      <c r="J666" s="176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</row>
    <row r="667" spans="1:29" ht="13.2" x14ac:dyDescent="0.25">
      <c r="A667" s="171"/>
      <c r="B667" s="172"/>
      <c r="C667" s="160"/>
      <c r="D667" s="160"/>
      <c r="E667" s="173"/>
      <c r="F667" s="174"/>
      <c r="G667" s="175"/>
      <c r="H667" s="175"/>
      <c r="I667" s="171"/>
      <c r="J667" s="176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</row>
    <row r="668" spans="1:29" ht="13.2" x14ac:dyDescent="0.25">
      <c r="A668" s="171"/>
      <c r="B668" s="172"/>
      <c r="C668" s="160"/>
      <c r="D668" s="160"/>
      <c r="E668" s="173"/>
      <c r="F668" s="174"/>
      <c r="G668" s="175"/>
      <c r="H668" s="175"/>
      <c r="I668" s="171"/>
      <c r="J668" s="176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</row>
    <row r="669" spans="1:29" ht="13.2" x14ac:dyDescent="0.25">
      <c r="A669" s="171"/>
      <c r="B669" s="172"/>
      <c r="C669" s="160"/>
      <c r="D669" s="160"/>
      <c r="E669" s="173"/>
      <c r="F669" s="174"/>
      <c r="G669" s="175"/>
      <c r="H669" s="175"/>
      <c r="I669" s="171"/>
      <c r="J669" s="176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</row>
    <row r="670" spans="1:29" ht="13.2" x14ac:dyDescent="0.25">
      <c r="A670" s="171"/>
      <c r="B670" s="172"/>
      <c r="C670" s="160"/>
      <c r="D670" s="160"/>
      <c r="E670" s="173"/>
      <c r="F670" s="174"/>
      <c r="G670" s="175"/>
      <c r="H670" s="175"/>
      <c r="I670" s="171"/>
      <c r="J670" s="176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</row>
    <row r="671" spans="1:29" ht="13.2" x14ac:dyDescent="0.25">
      <c r="A671" s="171"/>
      <c r="B671" s="172"/>
      <c r="C671" s="160"/>
      <c r="D671" s="160"/>
      <c r="E671" s="173"/>
      <c r="F671" s="174"/>
      <c r="G671" s="175"/>
      <c r="H671" s="175"/>
      <c r="I671" s="171"/>
      <c r="J671" s="176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</row>
    <row r="672" spans="1:29" ht="13.2" x14ac:dyDescent="0.25">
      <c r="A672" s="171"/>
      <c r="B672" s="172"/>
      <c r="C672" s="160"/>
      <c r="D672" s="160"/>
      <c r="E672" s="173"/>
      <c r="F672" s="174"/>
      <c r="G672" s="175"/>
      <c r="H672" s="175"/>
      <c r="I672" s="171"/>
      <c r="J672" s="176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</row>
    <row r="673" spans="1:29" ht="13.2" x14ac:dyDescent="0.25">
      <c r="A673" s="171"/>
      <c r="B673" s="172"/>
      <c r="C673" s="160"/>
      <c r="D673" s="160"/>
      <c r="E673" s="173"/>
      <c r="F673" s="174"/>
      <c r="G673" s="175"/>
      <c r="H673" s="175"/>
      <c r="I673" s="171"/>
      <c r="J673" s="176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</row>
    <row r="674" spans="1:29" ht="13.2" x14ac:dyDescent="0.25">
      <c r="A674" s="171"/>
      <c r="B674" s="172"/>
      <c r="C674" s="160"/>
      <c r="D674" s="160"/>
      <c r="E674" s="173"/>
      <c r="F674" s="174"/>
      <c r="G674" s="175"/>
      <c r="H674" s="175"/>
      <c r="I674" s="171"/>
      <c r="J674" s="176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</row>
    <row r="675" spans="1:29" ht="13.2" x14ac:dyDescent="0.25">
      <c r="A675" s="171"/>
      <c r="B675" s="172"/>
      <c r="C675" s="160"/>
      <c r="D675" s="160"/>
      <c r="E675" s="173"/>
      <c r="F675" s="174"/>
      <c r="G675" s="175"/>
      <c r="H675" s="175"/>
      <c r="I675" s="171"/>
      <c r="J675" s="176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</row>
    <row r="676" spans="1:29" ht="13.2" x14ac:dyDescent="0.25">
      <c r="A676" s="171"/>
      <c r="B676" s="172"/>
      <c r="C676" s="160"/>
      <c r="D676" s="160"/>
      <c r="E676" s="173"/>
      <c r="F676" s="174"/>
      <c r="G676" s="175"/>
      <c r="H676" s="175"/>
      <c r="I676" s="171"/>
      <c r="J676" s="176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</row>
    <row r="677" spans="1:29" ht="13.2" x14ac:dyDescent="0.25">
      <c r="A677" s="171"/>
      <c r="B677" s="172"/>
      <c r="C677" s="160"/>
      <c r="D677" s="160"/>
      <c r="E677" s="173"/>
      <c r="F677" s="174"/>
      <c r="G677" s="175"/>
      <c r="H677" s="175"/>
      <c r="I677" s="171"/>
      <c r="J677" s="176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</row>
    <row r="678" spans="1:29" ht="13.2" x14ac:dyDescent="0.25">
      <c r="A678" s="171"/>
      <c r="B678" s="172"/>
      <c r="C678" s="160"/>
      <c r="D678" s="160"/>
      <c r="E678" s="173"/>
      <c r="F678" s="174"/>
      <c r="G678" s="175"/>
      <c r="H678" s="175"/>
      <c r="I678" s="171"/>
      <c r="J678" s="176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</row>
    <row r="679" spans="1:29" ht="13.2" x14ac:dyDescent="0.25">
      <c r="A679" s="171"/>
      <c r="B679" s="172"/>
      <c r="C679" s="160"/>
      <c r="D679" s="160"/>
      <c r="E679" s="173"/>
      <c r="F679" s="174"/>
      <c r="G679" s="175"/>
      <c r="H679" s="175"/>
      <c r="I679" s="171"/>
      <c r="J679" s="176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</row>
    <row r="680" spans="1:29" ht="13.2" x14ac:dyDescent="0.25">
      <c r="A680" s="171"/>
      <c r="B680" s="172"/>
      <c r="C680" s="160"/>
      <c r="D680" s="160"/>
      <c r="E680" s="173"/>
      <c r="F680" s="174"/>
      <c r="G680" s="175"/>
      <c r="H680" s="175"/>
      <c r="I680" s="171"/>
      <c r="J680" s="176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</row>
    <row r="681" spans="1:29" ht="13.2" x14ac:dyDescent="0.25">
      <c r="A681" s="171"/>
      <c r="B681" s="172"/>
      <c r="C681" s="160"/>
      <c r="D681" s="160"/>
      <c r="E681" s="173"/>
      <c r="F681" s="174"/>
      <c r="G681" s="175"/>
      <c r="H681" s="175"/>
      <c r="I681" s="171"/>
      <c r="J681" s="176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</row>
    <row r="682" spans="1:29" ht="13.2" x14ac:dyDescent="0.25">
      <c r="A682" s="171"/>
      <c r="B682" s="172"/>
      <c r="C682" s="160"/>
      <c r="D682" s="160"/>
      <c r="E682" s="173"/>
      <c r="F682" s="174"/>
      <c r="G682" s="175"/>
      <c r="H682" s="175"/>
      <c r="I682" s="171"/>
      <c r="J682" s="176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</row>
    <row r="683" spans="1:29" ht="13.2" x14ac:dyDescent="0.25">
      <c r="A683" s="171"/>
      <c r="B683" s="172"/>
      <c r="C683" s="160"/>
      <c r="D683" s="160"/>
      <c r="E683" s="173"/>
      <c r="F683" s="174"/>
      <c r="G683" s="175"/>
      <c r="H683" s="175"/>
      <c r="I683" s="171"/>
      <c r="J683" s="176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</row>
    <row r="684" spans="1:29" ht="13.2" x14ac:dyDescent="0.25">
      <c r="A684" s="171"/>
      <c r="B684" s="172"/>
      <c r="C684" s="160"/>
      <c r="D684" s="160"/>
      <c r="E684" s="173"/>
      <c r="F684" s="174"/>
      <c r="G684" s="175"/>
      <c r="H684" s="175"/>
      <c r="I684" s="171"/>
      <c r="J684" s="176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</row>
    <row r="685" spans="1:29" ht="13.2" x14ac:dyDescent="0.25">
      <c r="A685" s="171"/>
      <c r="B685" s="172"/>
      <c r="C685" s="160"/>
      <c r="D685" s="160"/>
      <c r="E685" s="173"/>
      <c r="F685" s="174"/>
      <c r="G685" s="175"/>
      <c r="H685" s="175"/>
      <c r="I685" s="171"/>
      <c r="J685" s="176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</row>
    <row r="686" spans="1:29" ht="13.2" x14ac:dyDescent="0.25">
      <c r="A686" s="171"/>
      <c r="B686" s="172"/>
      <c r="C686" s="160"/>
      <c r="D686" s="160"/>
      <c r="E686" s="173"/>
      <c r="F686" s="174"/>
      <c r="G686" s="175"/>
      <c r="H686" s="175"/>
      <c r="I686" s="171"/>
      <c r="J686" s="176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</row>
    <row r="687" spans="1:29" ht="13.2" x14ac:dyDescent="0.25">
      <c r="A687" s="171"/>
      <c r="B687" s="172"/>
      <c r="C687" s="160"/>
      <c r="D687" s="160"/>
      <c r="E687" s="173"/>
      <c r="F687" s="174"/>
      <c r="G687" s="175"/>
      <c r="H687" s="175"/>
      <c r="I687" s="171"/>
      <c r="J687" s="176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</row>
    <row r="688" spans="1:29" ht="13.2" x14ac:dyDescent="0.25">
      <c r="A688" s="171"/>
      <c r="B688" s="172"/>
      <c r="C688" s="160"/>
      <c r="D688" s="160"/>
      <c r="E688" s="173"/>
      <c r="F688" s="174"/>
      <c r="G688" s="175"/>
      <c r="H688" s="175"/>
      <c r="I688" s="171"/>
      <c r="J688" s="176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</row>
    <row r="689" spans="1:29" ht="13.2" x14ac:dyDescent="0.25">
      <c r="A689" s="171"/>
      <c r="B689" s="172"/>
      <c r="C689" s="160"/>
      <c r="D689" s="160"/>
      <c r="E689" s="173"/>
      <c r="F689" s="174"/>
      <c r="G689" s="175"/>
      <c r="H689" s="175"/>
      <c r="I689" s="171"/>
      <c r="J689" s="176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</row>
    <row r="690" spans="1:29" ht="13.2" x14ac:dyDescent="0.25">
      <c r="A690" s="171"/>
      <c r="B690" s="172"/>
      <c r="C690" s="160"/>
      <c r="D690" s="160"/>
      <c r="E690" s="173"/>
      <c r="F690" s="174"/>
      <c r="G690" s="175"/>
      <c r="H690" s="175"/>
      <c r="I690" s="171"/>
      <c r="J690" s="176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</row>
    <row r="691" spans="1:29" ht="13.2" x14ac:dyDescent="0.25">
      <c r="A691" s="171"/>
      <c r="B691" s="172"/>
      <c r="C691" s="160"/>
      <c r="D691" s="160"/>
      <c r="E691" s="173"/>
      <c r="F691" s="174"/>
      <c r="G691" s="175"/>
      <c r="H691" s="175"/>
      <c r="I691" s="171"/>
      <c r="J691" s="176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</row>
    <row r="692" spans="1:29" ht="13.2" x14ac:dyDescent="0.25">
      <c r="A692" s="171"/>
      <c r="B692" s="172"/>
      <c r="C692" s="160"/>
      <c r="D692" s="160"/>
      <c r="E692" s="173"/>
      <c r="F692" s="174"/>
      <c r="G692" s="175"/>
      <c r="H692" s="175"/>
      <c r="I692" s="171"/>
      <c r="J692" s="176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</row>
    <row r="693" spans="1:29" ht="13.2" x14ac:dyDescent="0.25">
      <c r="A693" s="171"/>
      <c r="B693" s="172"/>
      <c r="C693" s="160"/>
      <c r="D693" s="160"/>
      <c r="E693" s="173"/>
      <c r="F693" s="174"/>
      <c r="G693" s="175"/>
      <c r="H693" s="175"/>
      <c r="I693" s="171"/>
      <c r="J693" s="176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</row>
    <row r="694" spans="1:29" ht="13.2" x14ac:dyDescent="0.25">
      <c r="A694" s="171"/>
      <c r="B694" s="172"/>
      <c r="C694" s="160"/>
      <c r="D694" s="160"/>
      <c r="E694" s="173"/>
      <c r="F694" s="174"/>
      <c r="G694" s="175"/>
      <c r="H694" s="175"/>
      <c r="I694" s="171"/>
      <c r="J694" s="176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</row>
    <row r="695" spans="1:29" ht="13.2" x14ac:dyDescent="0.25">
      <c r="A695" s="171"/>
      <c r="B695" s="172"/>
      <c r="C695" s="160"/>
      <c r="D695" s="160"/>
      <c r="E695" s="173"/>
      <c r="F695" s="174"/>
      <c r="G695" s="175"/>
      <c r="H695" s="175"/>
      <c r="I695" s="171"/>
      <c r="J695" s="176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</row>
    <row r="696" spans="1:29" ht="13.2" x14ac:dyDescent="0.25">
      <c r="A696" s="171"/>
      <c r="B696" s="172"/>
      <c r="C696" s="160"/>
      <c r="D696" s="160"/>
      <c r="E696" s="173"/>
      <c r="F696" s="174"/>
      <c r="G696" s="175"/>
      <c r="H696" s="175"/>
      <c r="I696" s="171"/>
      <c r="J696" s="176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</row>
    <row r="697" spans="1:29" ht="13.2" x14ac:dyDescent="0.25">
      <c r="A697" s="171"/>
      <c r="B697" s="172"/>
      <c r="C697" s="160"/>
      <c r="D697" s="160"/>
      <c r="E697" s="173"/>
      <c r="F697" s="174"/>
      <c r="G697" s="175"/>
      <c r="H697" s="175"/>
      <c r="I697" s="171"/>
      <c r="J697" s="176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</row>
    <row r="698" spans="1:29" ht="13.2" x14ac:dyDescent="0.25">
      <c r="A698" s="171"/>
      <c r="B698" s="172"/>
      <c r="C698" s="160"/>
      <c r="D698" s="160"/>
      <c r="E698" s="173"/>
      <c r="F698" s="174"/>
      <c r="G698" s="175"/>
      <c r="H698" s="175"/>
      <c r="I698" s="171"/>
      <c r="J698" s="176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</row>
    <row r="699" spans="1:29" ht="13.2" x14ac:dyDescent="0.25">
      <c r="A699" s="171"/>
      <c r="B699" s="172"/>
      <c r="C699" s="160"/>
      <c r="D699" s="160"/>
      <c r="E699" s="173"/>
      <c r="F699" s="174"/>
      <c r="G699" s="175"/>
      <c r="H699" s="175"/>
      <c r="I699" s="171"/>
      <c r="J699" s="176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</row>
    <row r="700" spans="1:29" ht="13.2" x14ac:dyDescent="0.25">
      <c r="A700" s="171"/>
      <c r="B700" s="172"/>
      <c r="C700" s="160"/>
      <c r="D700" s="160"/>
      <c r="E700" s="173"/>
      <c r="F700" s="174"/>
      <c r="G700" s="175"/>
      <c r="H700" s="175"/>
      <c r="I700" s="171"/>
      <c r="J700" s="176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</row>
    <row r="701" spans="1:29" ht="13.2" x14ac:dyDescent="0.25">
      <c r="A701" s="171"/>
      <c r="B701" s="172"/>
      <c r="C701" s="160"/>
      <c r="D701" s="160"/>
      <c r="E701" s="173"/>
      <c r="F701" s="174"/>
      <c r="G701" s="175"/>
      <c r="H701" s="175"/>
      <c r="I701" s="171"/>
      <c r="J701" s="176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</row>
    <row r="702" spans="1:29" ht="13.2" x14ac:dyDescent="0.25">
      <c r="A702" s="171"/>
      <c r="B702" s="172"/>
      <c r="C702" s="160"/>
      <c r="D702" s="160"/>
      <c r="E702" s="173"/>
      <c r="F702" s="174"/>
      <c r="G702" s="175"/>
      <c r="H702" s="175"/>
      <c r="I702" s="171"/>
      <c r="J702" s="176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</row>
    <row r="703" spans="1:29" ht="13.2" x14ac:dyDescent="0.25">
      <c r="A703" s="171"/>
      <c r="B703" s="172"/>
      <c r="C703" s="160"/>
      <c r="D703" s="160"/>
      <c r="E703" s="173"/>
      <c r="F703" s="174"/>
      <c r="G703" s="175"/>
      <c r="H703" s="175"/>
      <c r="I703" s="171"/>
      <c r="J703" s="176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</row>
    <row r="704" spans="1:29" ht="13.2" x14ac:dyDescent="0.25">
      <c r="A704" s="171"/>
      <c r="B704" s="172"/>
      <c r="C704" s="160"/>
      <c r="D704" s="160"/>
      <c r="E704" s="173"/>
      <c r="F704" s="174"/>
      <c r="G704" s="175"/>
      <c r="H704" s="175"/>
      <c r="I704" s="171"/>
      <c r="J704" s="176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</row>
    <row r="705" spans="1:29" ht="13.2" x14ac:dyDescent="0.25">
      <c r="A705" s="171"/>
      <c r="B705" s="172"/>
      <c r="C705" s="160"/>
      <c r="D705" s="160"/>
      <c r="E705" s="173"/>
      <c r="F705" s="174"/>
      <c r="G705" s="175"/>
      <c r="H705" s="175"/>
      <c r="I705" s="171"/>
      <c r="J705" s="176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</row>
    <row r="706" spans="1:29" ht="13.2" x14ac:dyDescent="0.25">
      <c r="A706" s="171"/>
      <c r="B706" s="172"/>
      <c r="C706" s="160"/>
      <c r="D706" s="160"/>
      <c r="E706" s="173"/>
      <c r="F706" s="174"/>
      <c r="G706" s="175"/>
      <c r="H706" s="175"/>
      <c r="I706" s="171"/>
      <c r="J706" s="176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</row>
    <row r="707" spans="1:29" ht="13.2" x14ac:dyDescent="0.25">
      <c r="A707" s="171"/>
      <c r="B707" s="172"/>
      <c r="C707" s="160"/>
      <c r="D707" s="160"/>
      <c r="E707" s="173"/>
      <c r="F707" s="174"/>
      <c r="G707" s="175"/>
      <c r="H707" s="175"/>
      <c r="I707" s="171"/>
      <c r="J707" s="176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</row>
    <row r="708" spans="1:29" ht="13.2" x14ac:dyDescent="0.25">
      <c r="A708" s="171"/>
      <c r="B708" s="172"/>
      <c r="C708" s="160"/>
      <c r="D708" s="160"/>
      <c r="E708" s="173"/>
      <c r="F708" s="174"/>
      <c r="G708" s="175"/>
      <c r="H708" s="175"/>
      <c r="I708" s="171"/>
      <c r="J708" s="176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</row>
    <row r="709" spans="1:29" ht="13.2" x14ac:dyDescent="0.25">
      <c r="A709" s="171"/>
      <c r="B709" s="172"/>
      <c r="C709" s="160"/>
      <c r="D709" s="160"/>
      <c r="E709" s="173"/>
      <c r="F709" s="174"/>
      <c r="G709" s="175"/>
      <c r="H709" s="175"/>
      <c r="I709" s="171"/>
      <c r="J709" s="176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</row>
    <row r="710" spans="1:29" ht="13.2" x14ac:dyDescent="0.25">
      <c r="A710" s="171"/>
      <c r="B710" s="172"/>
      <c r="C710" s="160"/>
      <c r="D710" s="160"/>
      <c r="E710" s="173"/>
      <c r="F710" s="174"/>
      <c r="G710" s="175"/>
      <c r="H710" s="175"/>
      <c r="I710" s="171"/>
      <c r="J710" s="176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</row>
    <row r="711" spans="1:29" ht="13.2" x14ac:dyDescent="0.25">
      <c r="A711" s="171"/>
      <c r="B711" s="172"/>
      <c r="C711" s="160"/>
      <c r="D711" s="160"/>
      <c r="E711" s="173"/>
      <c r="F711" s="174"/>
      <c r="G711" s="175"/>
      <c r="H711" s="175"/>
      <c r="I711" s="171"/>
      <c r="J711" s="176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</row>
    <row r="712" spans="1:29" ht="13.2" x14ac:dyDescent="0.25">
      <c r="A712" s="171"/>
      <c r="B712" s="172"/>
      <c r="C712" s="160"/>
      <c r="D712" s="160"/>
      <c r="E712" s="173"/>
      <c r="F712" s="174"/>
      <c r="G712" s="175"/>
      <c r="H712" s="175"/>
      <c r="I712" s="171"/>
      <c r="J712" s="176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</row>
    <row r="713" spans="1:29" ht="13.2" x14ac:dyDescent="0.25">
      <c r="A713" s="171"/>
      <c r="B713" s="172"/>
      <c r="C713" s="160"/>
      <c r="D713" s="160"/>
      <c r="E713" s="173"/>
      <c r="F713" s="174"/>
      <c r="G713" s="175"/>
      <c r="H713" s="175"/>
      <c r="I713" s="171"/>
      <c r="J713" s="176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</row>
    <row r="714" spans="1:29" ht="13.2" x14ac:dyDescent="0.25">
      <c r="A714" s="171"/>
      <c r="B714" s="172"/>
      <c r="C714" s="160"/>
      <c r="D714" s="160"/>
      <c r="E714" s="173"/>
      <c r="F714" s="174"/>
      <c r="G714" s="175"/>
      <c r="H714" s="175"/>
      <c r="I714" s="171"/>
      <c r="J714" s="176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</row>
    <row r="715" spans="1:29" ht="13.2" x14ac:dyDescent="0.25">
      <c r="A715" s="171"/>
      <c r="B715" s="172"/>
      <c r="C715" s="160"/>
      <c r="D715" s="160"/>
      <c r="E715" s="173"/>
      <c r="F715" s="174"/>
      <c r="G715" s="175"/>
      <c r="H715" s="175"/>
      <c r="I715" s="171"/>
      <c r="J715" s="176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</row>
    <row r="716" spans="1:29" ht="13.2" x14ac:dyDescent="0.25">
      <c r="A716" s="171"/>
      <c r="B716" s="172"/>
      <c r="C716" s="160"/>
      <c r="D716" s="160"/>
      <c r="E716" s="173"/>
      <c r="F716" s="174"/>
      <c r="G716" s="175"/>
      <c r="H716" s="175"/>
      <c r="I716" s="171"/>
      <c r="J716" s="176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</row>
    <row r="717" spans="1:29" ht="13.2" x14ac:dyDescent="0.25">
      <c r="A717" s="171"/>
      <c r="B717" s="172"/>
      <c r="C717" s="160"/>
      <c r="D717" s="160"/>
      <c r="E717" s="173"/>
      <c r="F717" s="174"/>
      <c r="G717" s="175"/>
      <c r="H717" s="175"/>
      <c r="I717" s="171"/>
      <c r="J717" s="176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</row>
    <row r="718" spans="1:29" ht="13.2" x14ac:dyDescent="0.25">
      <c r="A718" s="171"/>
      <c r="B718" s="172"/>
      <c r="C718" s="160"/>
      <c r="D718" s="160"/>
      <c r="E718" s="173"/>
      <c r="F718" s="174"/>
      <c r="G718" s="175"/>
      <c r="H718" s="175"/>
      <c r="I718" s="171"/>
      <c r="J718" s="176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</row>
    <row r="719" spans="1:29" ht="13.2" x14ac:dyDescent="0.25">
      <c r="A719" s="171"/>
      <c r="B719" s="172"/>
      <c r="C719" s="160"/>
      <c r="D719" s="160"/>
      <c r="E719" s="173"/>
      <c r="F719" s="174"/>
      <c r="G719" s="175"/>
      <c r="H719" s="175"/>
      <c r="I719" s="171"/>
      <c r="J719" s="176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</row>
    <row r="720" spans="1:29" ht="13.2" x14ac:dyDescent="0.25">
      <c r="A720" s="171"/>
      <c r="B720" s="172"/>
      <c r="C720" s="160"/>
      <c r="D720" s="160"/>
      <c r="E720" s="173"/>
      <c r="F720" s="174"/>
      <c r="G720" s="175"/>
      <c r="H720" s="175"/>
      <c r="I720" s="171"/>
      <c r="J720" s="176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</row>
    <row r="721" spans="1:29" ht="13.2" x14ac:dyDescent="0.25">
      <c r="A721" s="171"/>
      <c r="B721" s="172"/>
      <c r="C721" s="160"/>
      <c r="D721" s="160"/>
      <c r="E721" s="173"/>
      <c r="F721" s="174"/>
      <c r="G721" s="175"/>
      <c r="H721" s="175"/>
      <c r="I721" s="171"/>
      <c r="J721" s="176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</row>
    <row r="722" spans="1:29" ht="13.2" x14ac:dyDescent="0.25">
      <c r="A722" s="171"/>
      <c r="B722" s="172"/>
      <c r="C722" s="160"/>
      <c r="D722" s="160"/>
      <c r="E722" s="173"/>
      <c r="F722" s="174"/>
      <c r="G722" s="175"/>
      <c r="H722" s="175"/>
      <c r="I722" s="171"/>
      <c r="J722" s="176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</row>
    <row r="723" spans="1:29" ht="13.2" x14ac:dyDescent="0.25">
      <c r="A723" s="171"/>
      <c r="B723" s="172"/>
      <c r="C723" s="160"/>
      <c r="D723" s="160"/>
      <c r="E723" s="173"/>
      <c r="F723" s="174"/>
      <c r="G723" s="175"/>
      <c r="H723" s="175"/>
      <c r="I723" s="171"/>
      <c r="J723" s="176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</row>
    <row r="724" spans="1:29" ht="13.2" x14ac:dyDescent="0.25">
      <c r="A724" s="171"/>
      <c r="B724" s="172"/>
      <c r="C724" s="160"/>
      <c r="D724" s="160"/>
      <c r="E724" s="173"/>
      <c r="F724" s="174"/>
      <c r="G724" s="175"/>
      <c r="H724" s="175"/>
      <c r="I724" s="171"/>
      <c r="J724" s="176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</row>
    <row r="725" spans="1:29" ht="13.2" x14ac:dyDescent="0.25">
      <c r="A725" s="171"/>
      <c r="B725" s="172"/>
      <c r="C725" s="160"/>
      <c r="D725" s="160"/>
      <c r="E725" s="173"/>
      <c r="F725" s="174"/>
      <c r="G725" s="175"/>
      <c r="H725" s="175"/>
      <c r="I725" s="171"/>
      <c r="J725" s="176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</row>
    <row r="726" spans="1:29" ht="13.2" x14ac:dyDescent="0.25">
      <c r="A726" s="171"/>
      <c r="B726" s="172"/>
      <c r="C726" s="160"/>
      <c r="D726" s="160"/>
      <c r="E726" s="173"/>
      <c r="F726" s="174"/>
      <c r="G726" s="175"/>
      <c r="H726" s="175"/>
      <c r="I726" s="171"/>
      <c r="J726" s="176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</row>
    <row r="727" spans="1:29" ht="13.2" x14ac:dyDescent="0.25">
      <c r="A727" s="171"/>
      <c r="B727" s="172"/>
      <c r="C727" s="160"/>
      <c r="D727" s="160"/>
      <c r="E727" s="173"/>
      <c r="F727" s="174"/>
      <c r="G727" s="175"/>
      <c r="H727" s="175"/>
      <c r="I727" s="171"/>
      <c r="J727" s="176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</row>
    <row r="728" spans="1:29" ht="13.2" x14ac:dyDescent="0.25">
      <c r="A728" s="171"/>
      <c r="B728" s="172"/>
      <c r="C728" s="160"/>
      <c r="D728" s="160"/>
      <c r="E728" s="173"/>
      <c r="F728" s="174"/>
      <c r="G728" s="175"/>
      <c r="H728" s="175"/>
      <c r="I728" s="171"/>
      <c r="J728" s="176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</row>
    <row r="729" spans="1:29" ht="13.2" x14ac:dyDescent="0.25">
      <c r="A729" s="171"/>
      <c r="B729" s="172"/>
      <c r="C729" s="160"/>
      <c r="D729" s="160"/>
      <c r="E729" s="173"/>
      <c r="F729" s="174"/>
      <c r="G729" s="175"/>
      <c r="H729" s="175"/>
      <c r="I729" s="171"/>
      <c r="J729" s="176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</row>
    <row r="730" spans="1:29" ht="13.2" x14ac:dyDescent="0.25">
      <c r="A730" s="171"/>
      <c r="B730" s="172"/>
      <c r="C730" s="160"/>
      <c r="D730" s="160"/>
      <c r="E730" s="173"/>
      <c r="F730" s="174"/>
      <c r="G730" s="175"/>
      <c r="H730" s="175"/>
      <c r="I730" s="171"/>
      <c r="J730" s="176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</row>
    <row r="731" spans="1:29" ht="13.2" x14ac:dyDescent="0.25">
      <c r="A731" s="171"/>
      <c r="B731" s="172"/>
      <c r="C731" s="160"/>
      <c r="D731" s="160"/>
      <c r="E731" s="173"/>
      <c r="F731" s="174"/>
      <c r="G731" s="175"/>
      <c r="H731" s="175"/>
      <c r="I731" s="171"/>
      <c r="J731" s="176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</row>
    <row r="732" spans="1:29" ht="13.2" x14ac:dyDescent="0.25">
      <c r="A732" s="171"/>
      <c r="B732" s="172"/>
      <c r="C732" s="160"/>
      <c r="D732" s="160"/>
      <c r="E732" s="173"/>
      <c r="F732" s="174"/>
      <c r="G732" s="175"/>
      <c r="H732" s="175"/>
      <c r="I732" s="171"/>
      <c r="J732" s="176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</row>
    <row r="733" spans="1:29" ht="13.2" x14ac:dyDescent="0.25">
      <c r="A733" s="171"/>
      <c r="B733" s="172"/>
      <c r="C733" s="160"/>
      <c r="D733" s="160"/>
      <c r="E733" s="173"/>
      <c r="F733" s="174"/>
      <c r="G733" s="175"/>
      <c r="H733" s="175"/>
      <c r="I733" s="171"/>
      <c r="J733" s="176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</row>
    <row r="734" spans="1:29" ht="13.2" x14ac:dyDescent="0.25">
      <c r="A734" s="171"/>
      <c r="B734" s="172"/>
      <c r="C734" s="160"/>
      <c r="D734" s="160"/>
      <c r="E734" s="173"/>
      <c r="F734" s="174"/>
      <c r="G734" s="175"/>
      <c r="H734" s="175"/>
      <c r="I734" s="171"/>
      <c r="J734" s="176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</row>
    <row r="735" spans="1:29" ht="13.2" x14ac:dyDescent="0.25">
      <c r="A735" s="171"/>
      <c r="B735" s="172"/>
      <c r="C735" s="160"/>
      <c r="D735" s="160"/>
      <c r="E735" s="173"/>
      <c r="F735" s="174"/>
      <c r="G735" s="175"/>
      <c r="H735" s="175"/>
      <c r="I735" s="171"/>
      <c r="J735" s="176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</row>
    <row r="736" spans="1:29" ht="13.2" x14ac:dyDescent="0.25">
      <c r="A736" s="171"/>
      <c r="B736" s="172"/>
      <c r="C736" s="160"/>
      <c r="D736" s="160"/>
      <c r="E736" s="173"/>
      <c r="F736" s="174"/>
      <c r="G736" s="175"/>
      <c r="H736" s="175"/>
      <c r="I736" s="171"/>
      <c r="J736" s="176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</row>
    <row r="737" spans="1:29" ht="13.2" x14ac:dyDescent="0.25">
      <c r="A737" s="171"/>
      <c r="B737" s="172"/>
      <c r="C737" s="160"/>
      <c r="D737" s="160"/>
      <c r="E737" s="173"/>
      <c r="F737" s="174"/>
      <c r="G737" s="175"/>
      <c r="H737" s="175"/>
      <c r="I737" s="171"/>
      <c r="J737" s="176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</row>
    <row r="738" spans="1:29" ht="13.2" x14ac:dyDescent="0.25">
      <c r="A738" s="171"/>
      <c r="B738" s="172"/>
      <c r="C738" s="160"/>
      <c r="D738" s="160"/>
      <c r="E738" s="173"/>
      <c r="F738" s="174"/>
      <c r="G738" s="175"/>
      <c r="H738" s="175"/>
      <c r="I738" s="171"/>
      <c r="J738" s="176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</row>
    <row r="739" spans="1:29" ht="13.2" x14ac:dyDescent="0.25">
      <c r="A739" s="171"/>
      <c r="B739" s="172"/>
      <c r="C739" s="160"/>
      <c r="D739" s="160"/>
      <c r="E739" s="173"/>
      <c r="F739" s="174"/>
      <c r="G739" s="175"/>
      <c r="H739" s="175"/>
      <c r="I739" s="171"/>
      <c r="J739" s="176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</row>
    <row r="740" spans="1:29" ht="13.2" x14ac:dyDescent="0.25">
      <c r="A740" s="171"/>
      <c r="B740" s="172"/>
      <c r="C740" s="160"/>
      <c r="D740" s="160"/>
      <c r="E740" s="173"/>
      <c r="F740" s="174"/>
      <c r="G740" s="175"/>
      <c r="H740" s="175"/>
      <c r="I740" s="171"/>
      <c r="J740" s="176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</row>
    <row r="741" spans="1:29" ht="13.2" x14ac:dyDescent="0.25">
      <c r="A741" s="171"/>
      <c r="B741" s="172"/>
      <c r="C741" s="160"/>
      <c r="D741" s="160"/>
      <c r="E741" s="173"/>
      <c r="F741" s="174"/>
      <c r="G741" s="175"/>
      <c r="H741" s="175"/>
      <c r="I741" s="171"/>
      <c r="J741" s="176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</row>
    <row r="742" spans="1:29" ht="13.2" x14ac:dyDescent="0.25">
      <c r="A742" s="171"/>
      <c r="B742" s="172"/>
      <c r="C742" s="160"/>
      <c r="D742" s="160"/>
      <c r="E742" s="173"/>
      <c r="F742" s="174"/>
      <c r="G742" s="175"/>
      <c r="H742" s="175"/>
      <c r="I742" s="171"/>
      <c r="J742" s="176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</row>
    <row r="743" spans="1:29" ht="13.2" x14ac:dyDescent="0.25">
      <c r="A743" s="171"/>
      <c r="B743" s="172"/>
      <c r="C743" s="160"/>
      <c r="D743" s="160"/>
      <c r="E743" s="173"/>
      <c r="F743" s="174"/>
      <c r="G743" s="175"/>
      <c r="H743" s="175"/>
      <c r="I743" s="171"/>
      <c r="J743" s="176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</row>
    <row r="744" spans="1:29" ht="13.2" x14ac:dyDescent="0.25">
      <c r="A744" s="171"/>
      <c r="B744" s="172"/>
      <c r="C744" s="160"/>
      <c r="D744" s="160"/>
      <c r="E744" s="173"/>
      <c r="F744" s="174"/>
      <c r="G744" s="175"/>
      <c r="H744" s="175"/>
      <c r="I744" s="171"/>
      <c r="J744" s="176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</row>
    <row r="745" spans="1:29" ht="13.2" x14ac:dyDescent="0.25">
      <c r="A745" s="171"/>
      <c r="B745" s="172"/>
      <c r="C745" s="160"/>
      <c r="D745" s="160"/>
      <c r="E745" s="173"/>
      <c r="F745" s="174"/>
      <c r="G745" s="175"/>
      <c r="H745" s="175"/>
      <c r="I745" s="171"/>
      <c r="J745" s="176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</row>
    <row r="746" spans="1:29" ht="13.2" x14ac:dyDescent="0.25">
      <c r="A746" s="171"/>
      <c r="B746" s="172"/>
      <c r="C746" s="160"/>
      <c r="D746" s="160"/>
      <c r="E746" s="173"/>
      <c r="F746" s="174"/>
      <c r="G746" s="175"/>
      <c r="H746" s="175"/>
      <c r="I746" s="171"/>
      <c r="J746" s="176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</row>
    <row r="747" spans="1:29" ht="13.2" x14ac:dyDescent="0.25">
      <c r="A747" s="171"/>
      <c r="B747" s="172"/>
      <c r="C747" s="160"/>
      <c r="D747" s="160"/>
      <c r="E747" s="173"/>
      <c r="F747" s="174"/>
      <c r="G747" s="175"/>
      <c r="H747" s="175"/>
      <c r="I747" s="171"/>
      <c r="J747" s="176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</row>
    <row r="748" spans="1:29" ht="13.2" x14ac:dyDescent="0.25">
      <c r="A748" s="171"/>
      <c r="B748" s="172"/>
      <c r="C748" s="160"/>
      <c r="D748" s="160"/>
      <c r="E748" s="173"/>
      <c r="F748" s="174"/>
      <c r="G748" s="175"/>
      <c r="H748" s="175"/>
      <c r="I748" s="171"/>
      <c r="J748" s="176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</row>
    <row r="749" spans="1:29" ht="13.2" x14ac:dyDescent="0.25">
      <c r="A749" s="171"/>
      <c r="B749" s="172"/>
      <c r="C749" s="160"/>
      <c r="D749" s="160"/>
      <c r="E749" s="173"/>
      <c r="F749" s="174"/>
      <c r="G749" s="175"/>
      <c r="H749" s="175"/>
      <c r="I749" s="171"/>
      <c r="J749" s="176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</row>
    <row r="750" spans="1:29" ht="13.2" x14ac:dyDescent="0.25">
      <c r="A750" s="171"/>
      <c r="B750" s="172"/>
      <c r="C750" s="160"/>
      <c r="D750" s="160"/>
      <c r="E750" s="173"/>
      <c r="F750" s="174"/>
      <c r="G750" s="175"/>
      <c r="H750" s="175"/>
      <c r="I750" s="171"/>
      <c r="J750" s="176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</row>
    <row r="751" spans="1:29" ht="13.2" x14ac:dyDescent="0.25">
      <c r="A751" s="171"/>
      <c r="B751" s="172"/>
      <c r="C751" s="160"/>
      <c r="D751" s="160"/>
      <c r="E751" s="173"/>
      <c r="F751" s="174"/>
      <c r="G751" s="175"/>
      <c r="H751" s="175"/>
      <c r="I751" s="171"/>
      <c r="J751" s="176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</row>
    <row r="752" spans="1:29" ht="13.2" x14ac:dyDescent="0.25">
      <c r="A752" s="171"/>
      <c r="B752" s="172"/>
      <c r="C752" s="160"/>
      <c r="D752" s="160"/>
      <c r="E752" s="173"/>
      <c r="F752" s="174"/>
      <c r="G752" s="175"/>
      <c r="H752" s="175"/>
      <c r="I752" s="171"/>
      <c r="J752" s="176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</row>
    <row r="753" spans="1:29" ht="13.2" x14ac:dyDescent="0.25">
      <c r="A753" s="171"/>
      <c r="B753" s="172"/>
      <c r="C753" s="160"/>
      <c r="D753" s="160"/>
      <c r="E753" s="173"/>
      <c r="F753" s="174"/>
      <c r="G753" s="175"/>
      <c r="H753" s="175"/>
      <c r="I753" s="171"/>
      <c r="J753" s="176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</row>
    <row r="754" spans="1:29" ht="13.2" x14ac:dyDescent="0.25">
      <c r="A754" s="171"/>
      <c r="B754" s="172"/>
      <c r="C754" s="160"/>
      <c r="D754" s="160"/>
      <c r="E754" s="173"/>
      <c r="F754" s="174"/>
      <c r="G754" s="175"/>
      <c r="H754" s="175"/>
      <c r="I754" s="171"/>
      <c r="J754" s="176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</row>
    <row r="755" spans="1:29" ht="13.2" x14ac:dyDescent="0.25">
      <c r="A755" s="171"/>
      <c r="B755" s="172"/>
      <c r="C755" s="160"/>
      <c r="D755" s="160"/>
      <c r="E755" s="173"/>
      <c r="F755" s="174"/>
      <c r="G755" s="175"/>
      <c r="H755" s="175"/>
      <c r="I755" s="171"/>
      <c r="J755" s="176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</row>
    <row r="756" spans="1:29" ht="13.2" x14ac:dyDescent="0.25">
      <c r="A756" s="171"/>
      <c r="B756" s="172"/>
      <c r="C756" s="160"/>
      <c r="D756" s="160"/>
      <c r="E756" s="173"/>
      <c r="F756" s="174"/>
      <c r="G756" s="175"/>
      <c r="H756" s="175"/>
      <c r="I756" s="171"/>
      <c r="J756" s="176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</row>
    <row r="757" spans="1:29" ht="13.2" x14ac:dyDescent="0.25">
      <c r="A757" s="171"/>
      <c r="B757" s="172"/>
      <c r="C757" s="160"/>
      <c r="D757" s="160"/>
      <c r="E757" s="173"/>
      <c r="F757" s="174"/>
      <c r="G757" s="175"/>
      <c r="H757" s="175"/>
      <c r="I757" s="171"/>
      <c r="J757" s="176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</row>
    <row r="758" spans="1:29" ht="13.2" x14ac:dyDescent="0.25">
      <c r="A758" s="171"/>
      <c r="B758" s="172"/>
      <c r="C758" s="160"/>
      <c r="D758" s="160"/>
      <c r="E758" s="173"/>
      <c r="F758" s="174"/>
      <c r="G758" s="175"/>
      <c r="H758" s="175"/>
      <c r="I758" s="171"/>
      <c r="J758" s="176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</row>
    <row r="759" spans="1:29" ht="13.2" x14ac:dyDescent="0.25">
      <c r="A759" s="171"/>
      <c r="B759" s="172"/>
      <c r="C759" s="160"/>
      <c r="D759" s="160"/>
      <c r="E759" s="173"/>
      <c r="F759" s="174"/>
      <c r="G759" s="175"/>
      <c r="H759" s="175"/>
      <c r="I759" s="171"/>
      <c r="J759" s="176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</row>
    <row r="760" spans="1:29" ht="13.2" x14ac:dyDescent="0.25">
      <c r="A760" s="171"/>
      <c r="B760" s="172"/>
      <c r="C760" s="160"/>
      <c r="D760" s="160"/>
      <c r="E760" s="173"/>
      <c r="F760" s="174"/>
      <c r="G760" s="175"/>
      <c r="H760" s="175"/>
      <c r="I760" s="171"/>
      <c r="J760" s="176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</row>
    <row r="761" spans="1:29" ht="13.2" x14ac:dyDescent="0.25">
      <c r="A761" s="171"/>
      <c r="B761" s="172"/>
      <c r="C761" s="160"/>
      <c r="D761" s="160"/>
      <c r="E761" s="173"/>
      <c r="F761" s="174"/>
      <c r="G761" s="175"/>
      <c r="H761" s="175"/>
      <c r="I761" s="171"/>
      <c r="J761" s="176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</row>
    <row r="762" spans="1:29" ht="13.2" x14ac:dyDescent="0.25">
      <c r="A762" s="171"/>
      <c r="B762" s="172"/>
      <c r="C762" s="160"/>
      <c r="D762" s="160"/>
      <c r="E762" s="173"/>
      <c r="F762" s="174"/>
      <c r="G762" s="175"/>
      <c r="H762" s="175"/>
      <c r="I762" s="171"/>
      <c r="J762" s="176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</row>
    <row r="763" spans="1:29" ht="13.2" x14ac:dyDescent="0.25">
      <c r="A763" s="171"/>
      <c r="B763" s="172"/>
      <c r="C763" s="160"/>
      <c r="D763" s="160"/>
      <c r="E763" s="173"/>
      <c r="F763" s="174"/>
      <c r="G763" s="175"/>
      <c r="H763" s="175"/>
      <c r="I763" s="171"/>
      <c r="J763" s="176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</row>
    <row r="764" spans="1:29" ht="13.2" x14ac:dyDescent="0.25">
      <c r="A764" s="171"/>
      <c r="B764" s="172"/>
      <c r="C764" s="160"/>
      <c r="D764" s="160"/>
      <c r="E764" s="173"/>
      <c r="F764" s="174"/>
      <c r="G764" s="175"/>
      <c r="H764" s="175"/>
      <c r="I764" s="171"/>
      <c r="J764" s="176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</row>
    <row r="765" spans="1:29" ht="13.2" x14ac:dyDescent="0.25">
      <c r="A765" s="171"/>
      <c r="B765" s="172"/>
      <c r="C765" s="160"/>
      <c r="D765" s="160"/>
      <c r="E765" s="173"/>
      <c r="F765" s="174"/>
      <c r="G765" s="175"/>
      <c r="H765" s="175"/>
      <c r="I765" s="171"/>
      <c r="J765" s="176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</row>
    <row r="766" spans="1:29" ht="13.2" x14ac:dyDescent="0.25">
      <c r="A766" s="171"/>
      <c r="B766" s="172"/>
      <c r="C766" s="160"/>
      <c r="D766" s="160"/>
      <c r="E766" s="173"/>
      <c r="F766" s="174"/>
      <c r="G766" s="175"/>
      <c r="H766" s="175"/>
      <c r="I766" s="171"/>
      <c r="J766" s="176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</row>
    <row r="767" spans="1:29" ht="13.2" x14ac:dyDescent="0.25">
      <c r="A767" s="171"/>
      <c r="B767" s="172"/>
      <c r="C767" s="160"/>
      <c r="D767" s="160"/>
      <c r="E767" s="173"/>
      <c r="F767" s="174"/>
      <c r="G767" s="175"/>
      <c r="H767" s="175"/>
      <c r="I767" s="171"/>
      <c r="J767" s="176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</row>
    <row r="768" spans="1:29" ht="13.2" x14ac:dyDescent="0.25">
      <c r="A768" s="171"/>
      <c r="B768" s="172"/>
      <c r="C768" s="160"/>
      <c r="D768" s="160"/>
      <c r="E768" s="173"/>
      <c r="F768" s="174"/>
      <c r="G768" s="175"/>
      <c r="H768" s="175"/>
      <c r="I768" s="171"/>
      <c r="J768" s="176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</row>
    <row r="769" spans="1:29" ht="13.2" x14ac:dyDescent="0.25">
      <c r="A769" s="171"/>
      <c r="B769" s="172"/>
      <c r="C769" s="160"/>
      <c r="D769" s="160"/>
      <c r="E769" s="173"/>
      <c r="F769" s="174"/>
      <c r="G769" s="175"/>
      <c r="H769" s="175"/>
      <c r="I769" s="171"/>
      <c r="J769" s="176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</row>
    <row r="770" spans="1:29" ht="13.2" x14ac:dyDescent="0.25">
      <c r="A770" s="171"/>
      <c r="B770" s="172"/>
      <c r="C770" s="160"/>
      <c r="D770" s="160"/>
      <c r="E770" s="173"/>
      <c r="F770" s="174"/>
      <c r="G770" s="175"/>
      <c r="H770" s="175"/>
      <c r="I770" s="171"/>
      <c r="J770" s="176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</row>
    <row r="771" spans="1:29" ht="13.2" x14ac:dyDescent="0.25">
      <c r="A771" s="171"/>
      <c r="B771" s="172"/>
      <c r="C771" s="160"/>
      <c r="D771" s="160"/>
      <c r="E771" s="173"/>
      <c r="F771" s="174"/>
      <c r="G771" s="175"/>
      <c r="H771" s="175"/>
      <c r="I771" s="171"/>
      <c r="J771" s="176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</row>
    <row r="772" spans="1:29" ht="13.2" x14ac:dyDescent="0.25">
      <c r="A772" s="171"/>
      <c r="B772" s="172"/>
      <c r="C772" s="160"/>
      <c r="D772" s="160"/>
      <c r="E772" s="173"/>
      <c r="F772" s="174"/>
      <c r="G772" s="175"/>
      <c r="H772" s="175"/>
      <c r="I772" s="171"/>
      <c r="J772" s="176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</row>
    <row r="773" spans="1:29" ht="13.2" x14ac:dyDescent="0.25">
      <c r="A773" s="171"/>
      <c r="B773" s="172"/>
      <c r="C773" s="160"/>
      <c r="D773" s="160"/>
      <c r="E773" s="173"/>
      <c r="F773" s="174"/>
      <c r="G773" s="175"/>
      <c r="H773" s="175"/>
      <c r="I773" s="171"/>
      <c r="J773" s="176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</row>
    <row r="774" spans="1:29" ht="13.2" x14ac:dyDescent="0.25">
      <c r="A774" s="171"/>
      <c r="B774" s="172"/>
      <c r="C774" s="160"/>
      <c r="D774" s="160"/>
      <c r="E774" s="173"/>
      <c r="F774" s="174"/>
      <c r="G774" s="175"/>
      <c r="H774" s="175"/>
      <c r="I774" s="171"/>
      <c r="J774" s="176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</row>
    <row r="775" spans="1:29" ht="13.2" x14ac:dyDescent="0.25">
      <c r="A775" s="171"/>
      <c r="B775" s="172"/>
      <c r="C775" s="160"/>
      <c r="D775" s="160"/>
      <c r="E775" s="173"/>
      <c r="F775" s="174"/>
      <c r="G775" s="175"/>
      <c r="H775" s="175"/>
      <c r="I775" s="171"/>
      <c r="J775" s="176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</row>
    <row r="776" spans="1:29" ht="13.2" x14ac:dyDescent="0.25">
      <c r="A776" s="171"/>
      <c r="B776" s="172"/>
      <c r="C776" s="160"/>
      <c r="D776" s="160"/>
      <c r="E776" s="173"/>
      <c r="F776" s="174"/>
      <c r="G776" s="175"/>
      <c r="H776" s="175"/>
      <c r="I776" s="171"/>
      <c r="J776" s="176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</row>
    <row r="777" spans="1:29" ht="13.2" x14ac:dyDescent="0.25">
      <c r="A777" s="171"/>
      <c r="B777" s="172"/>
      <c r="C777" s="160"/>
      <c r="D777" s="160"/>
      <c r="E777" s="173"/>
      <c r="F777" s="174"/>
      <c r="G777" s="175"/>
      <c r="H777" s="175"/>
      <c r="I777" s="171"/>
      <c r="J777" s="176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</row>
    <row r="778" spans="1:29" ht="13.2" x14ac:dyDescent="0.25">
      <c r="A778" s="171"/>
      <c r="B778" s="172"/>
      <c r="C778" s="160"/>
      <c r="D778" s="160"/>
      <c r="E778" s="173"/>
      <c r="F778" s="174"/>
      <c r="G778" s="175"/>
      <c r="H778" s="175"/>
      <c r="I778" s="171"/>
      <c r="J778" s="176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</row>
    <row r="779" spans="1:29" ht="13.2" x14ac:dyDescent="0.25">
      <c r="A779" s="171"/>
      <c r="B779" s="172"/>
      <c r="C779" s="160"/>
      <c r="D779" s="160"/>
      <c r="E779" s="173"/>
      <c r="F779" s="174"/>
      <c r="G779" s="175"/>
      <c r="H779" s="175"/>
      <c r="I779" s="171"/>
      <c r="J779" s="176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</row>
    <row r="780" spans="1:29" ht="13.2" x14ac:dyDescent="0.25">
      <c r="A780" s="171"/>
      <c r="B780" s="172"/>
      <c r="C780" s="160"/>
      <c r="D780" s="160"/>
      <c r="E780" s="173"/>
      <c r="F780" s="174"/>
      <c r="G780" s="175"/>
      <c r="H780" s="175"/>
      <c r="I780" s="171"/>
      <c r="J780" s="176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</row>
    <row r="781" spans="1:29" ht="13.2" x14ac:dyDescent="0.25">
      <c r="A781" s="171"/>
      <c r="B781" s="172"/>
      <c r="C781" s="160"/>
      <c r="D781" s="160"/>
      <c r="E781" s="173"/>
      <c r="F781" s="174"/>
      <c r="G781" s="175"/>
      <c r="H781" s="175"/>
      <c r="I781" s="171"/>
      <c r="J781" s="176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</row>
    <row r="782" spans="1:29" ht="13.2" x14ac:dyDescent="0.25">
      <c r="A782" s="171"/>
      <c r="B782" s="172"/>
      <c r="C782" s="160"/>
      <c r="D782" s="160"/>
      <c r="E782" s="173"/>
      <c r="F782" s="174"/>
      <c r="G782" s="175"/>
      <c r="H782" s="175"/>
      <c r="I782" s="171"/>
      <c r="J782" s="176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</row>
    <row r="783" spans="1:29" ht="13.2" x14ac:dyDescent="0.25">
      <c r="A783" s="171"/>
      <c r="B783" s="172"/>
      <c r="C783" s="160"/>
      <c r="D783" s="160"/>
      <c r="E783" s="173"/>
      <c r="F783" s="174"/>
      <c r="G783" s="175"/>
      <c r="H783" s="175"/>
      <c r="I783" s="171"/>
      <c r="J783" s="176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</row>
    <row r="784" spans="1:29" ht="13.2" x14ac:dyDescent="0.25">
      <c r="A784" s="171"/>
      <c r="B784" s="172"/>
      <c r="C784" s="160"/>
      <c r="D784" s="160"/>
      <c r="E784" s="173"/>
      <c r="F784" s="174"/>
      <c r="G784" s="175"/>
      <c r="H784" s="175"/>
      <c r="I784" s="171"/>
      <c r="J784" s="176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</row>
    <row r="785" spans="1:29" ht="13.2" x14ac:dyDescent="0.25">
      <c r="A785" s="171"/>
      <c r="B785" s="172"/>
      <c r="C785" s="160"/>
      <c r="D785" s="160"/>
      <c r="E785" s="173"/>
      <c r="F785" s="174"/>
      <c r="G785" s="175"/>
      <c r="H785" s="175"/>
      <c r="I785" s="171"/>
      <c r="J785" s="176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</row>
    <row r="786" spans="1:29" ht="13.2" x14ac:dyDescent="0.25">
      <c r="A786" s="171"/>
      <c r="B786" s="172"/>
      <c r="C786" s="160"/>
      <c r="D786" s="160"/>
      <c r="E786" s="173"/>
      <c r="F786" s="174"/>
      <c r="G786" s="175"/>
      <c r="H786" s="175"/>
      <c r="I786" s="171"/>
      <c r="J786" s="176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</row>
    <row r="787" spans="1:29" ht="13.2" x14ac:dyDescent="0.25">
      <c r="A787" s="171"/>
      <c r="B787" s="172"/>
      <c r="C787" s="160"/>
      <c r="D787" s="160"/>
      <c r="E787" s="173"/>
      <c r="F787" s="174"/>
      <c r="G787" s="175"/>
      <c r="H787" s="175"/>
      <c r="I787" s="171"/>
      <c r="J787" s="176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</row>
    <row r="788" spans="1:29" ht="13.2" x14ac:dyDescent="0.25">
      <c r="A788" s="171"/>
      <c r="B788" s="172"/>
      <c r="C788" s="160"/>
      <c r="D788" s="160"/>
      <c r="E788" s="173"/>
      <c r="F788" s="174"/>
      <c r="G788" s="175"/>
      <c r="H788" s="175"/>
      <c r="I788" s="171"/>
      <c r="J788" s="176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</row>
    <row r="789" spans="1:29" ht="13.2" x14ac:dyDescent="0.25">
      <c r="A789" s="171"/>
      <c r="B789" s="172"/>
      <c r="C789" s="160"/>
      <c r="D789" s="160"/>
      <c r="E789" s="173"/>
      <c r="F789" s="174"/>
      <c r="G789" s="175"/>
      <c r="H789" s="175"/>
      <c r="I789" s="171"/>
      <c r="J789" s="176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</row>
    <row r="790" spans="1:29" ht="13.2" x14ac:dyDescent="0.25">
      <c r="A790" s="171"/>
      <c r="B790" s="172"/>
      <c r="C790" s="160"/>
      <c r="D790" s="160"/>
      <c r="E790" s="173"/>
      <c r="F790" s="174"/>
      <c r="G790" s="175"/>
      <c r="H790" s="175"/>
      <c r="I790" s="171"/>
      <c r="J790" s="176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</row>
    <row r="791" spans="1:29" ht="13.2" x14ac:dyDescent="0.25">
      <c r="A791" s="171"/>
      <c r="B791" s="172"/>
      <c r="C791" s="160"/>
      <c r="D791" s="160"/>
      <c r="E791" s="173"/>
      <c r="F791" s="174"/>
      <c r="G791" s="175"/>
      <c r="H791" s="175"/>
      <c r="I791" s="171"/>
      <c r="J791" s="176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</row>
    <row r="792" spans="1:29" ht="13.2" x14ac:dyDescent="0.25">
      <c r="A792" s="171"/>
      <c r="B792" s="172"/>
      <c r="C792" s="160"/>
      <c r="D792" s="160"/>
      <c r="E792" s="173"/>
      <c r="F792" s="174"/>
      <c r="G792" s="175"/>
      <c r="H792" s="175"/>
      <c r="I792" s="171"/>
      <c r="J792" s="176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</row>
    <row r="793" spans="1:29" ht="13.2" x14ac:dyDescent="0.25">
      <c r="A793" s="171"/>
      <c r="B793" s="172"/>
      <c r="C793" s="160"/>
      <c r="D793" s="160"/>
      <c r="E793" s="173"/>
      <c r="F793" s="174"/>
      <c r="G793" s="175"/>
      <c r="H793" s="175"/>
      <c r="I793" s="171"/>
      <c r="J793" s="176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</row>
    <row r="794" spans="1:29" ht="13.2" x14ac:dyDescent="0.25">
      <c r="A794" s="171"/>
      <c r="B794" s="172"/>
      <c r="C794" s="160"/>
      <c r="D794" s="160"/>
      <c r="E794" s="173"/>
      <c r="F794" s="174"/>
      <c r="G794" s="175"/>
      <c r="H794" s="175"/>
      <c r="I794" s="171"/>
      <c r="J794" s="176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</row>
    <row r="795" spans="1:29" ht="13.2" x14ac:dyDescent="0.25">
      <c r="A795" s="171"/>
      <c r="B795" s="172"/>
      <c r="C795" s="160"/>
      <c r="D795" s="160"/>
      <c r="E795" s="173"/>
      <c r="F795" s="174"/>
      <c r="G795" s="175"/>
      <c r="H795" s="175"/>
      <c r="I795" s="171"/>
      <c r="J795" s="176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</row>
    <row r="796" spans="1:29" ht="13.2" x14ac:dyDescent="0.25">
      <c r="A796" s="171"/>
      <c r="B796" s="172"/>
      <c r="C796" s="160"/>
      <c r="D796" s="160"/>
      <c r="E796" s="173"/>
      <c r="F796" s="174"/>
      <c r="G796" s="175"/>
      <c r="H796" s="175"/>
      <c r="I796" s="171"/>
      <c r="J796" s="176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</row>
    <row r="797" spans="1:29" ht="13.2" x14ac:dyDescent="0.25">
      <c r="A797" s="171"/>
      <c r="B797" s="172"/>
      <c r="C797" s="160"/>
      <c r="D797" s="160"/>
      <c r="E797" s="173"/>
      <c r="F797" s="174"/>
      <c r="G797" s="175"/>
      <c r="H797" s="175"/>
      <c r="I797" s="171"/>
      <c r="J797" s="176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</row>
    <row r="798" spans="1:29" ht="13.2" x14ac:dyDescent="0.25">
      <c r="A798" s="171"/>
      <c r="B798" s="172"/>
      <c r="C798" s="160"/>
      <c r="D798" s="160"/>
      <c r="E798" s="173"/>
      <c r="F798" s="174"/>
      <c r="G798" s="175"/>
      <c r="H798" s="175"/>
      <c r="I798" s="171"/>
      <c r="J798" s="176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</row>
    <row r="799" spans="1:29" ht="13.2" x14ac:dyDescent="0.25">
      <c r="A799" s="171"/>
      <c r="B799" s="172"/>
      <c r="C799" s="160"/>
      <c r="D799" s="160"/>
      <c r="E799" s="173"/>
      <c r="F799" s="174"/>
      <c r="G799" s="175"/>
      <c r="H799" s="175"/>
      <c r="I799" s="171"/>
      <c r="J799" s="176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</row>
    <row r="800" spans="1:29" ht="13.2" x14ac:dyDescent="0.25">
      <c r="A800" s="171"/>
      <c r="B800" s="172"/>
      <c r="C800" s="160"/>
      <c r="D800" s="160"/>
      <c r="E800" s="173"/>
      <c r="F800" s="174"/>
      <c r="G800" s="175"/>
      <c r="H800" s="175"/>
      <c r="I800" s="171"/>
      <c r="J800" s="176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</row>
    <row r="801" spans="1:29" ht="13.2" x14ac:dyDescent="0.25">
      <c r="A801" s="171"/>
      <c r="B801" s="172"/>
      <c r="C801" s="160"/>
      <c r="D801" s="160"/>
      <c r="E801" s="173"/>
      <c r="F801" s="174"/>
      <c r="G801" s="175"/>
      <c r="H801" s="175"/>
      <c r="I801" s="171"/>
      <c r="J801" s="176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</row>
    <row r="802" spans="1:29" ht="13.2" x14ac:dyDescent="0.25">
      <c r="A802" s="171"/>
      <c r="B802" s="172"/>
      <c r="C802" s="160"/>
      <c r="D802" s="160"/>
      <c r="E802" s="173"/>
      <c r="F802" s="174"/>
      <c r="G802" s="175"/>
      <c r="H802" s="175"/>
      <c r="I802" s="171"/>
      <c r="J802" s="176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</row>
    <row r="803" spans="1:29" ht="13.2" x14ac:dyDescent="0.25">
      <c r="A803" s="171"/>
      <c r="B803" s="172"/>
      <c r="C803" s="160"/>
      <c r="D803" s="160"/>
      <c r="E803" s="173"/>
      <c r="F803" s="174"/>
      <c r="G803" s="175"/>
      <c r="H803" s="175"/>
      <c r="I803" s="171"/>
      <c r="J803" s="176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</row>
    <row r="804" spans="1:29" ht="13.2" x14ac:dyDescent="0.25">
      <c r="A804" s="171"/>
      <c r="B804" s="172"/>
      <c r="C804" s="160"/>
      <c r="D804" s="160"/>
      <c r="E804" s="173"/>
      <c r="F804" s="174"/>
      <c r="G804" s="175"/>
      <c r="H804" s="175"/>
      <c r="I804" s="171"/>
      <c r="J804" s="176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</row>
    <row r="805" spans="1:29" ht="13.2" x14ac:dyDescent="0.25">
      <c r="A805" s="171"/>
      <c r="B805" s="172"/>
      <c r="C805" s="160"/>
      <c r="D805" s="160"/>
      <c r="E805" s="173"/>
      <c r="F805" s="174"/>
      <c r="G805" s="175"/>
      <c r="H805" s="175"/>
      <c r="I805" s="171"/>
      <c r="J805" s="176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</row>
    <row r="806" spans="1:29" ht="13.2" x14ac:dyDescent="0.25">
      <c r="A806" s="171"/>
      <c r="B806" s="172"/>
      <c r="C806" s="160"/>
      <c r="D806" s="160"/>
      <c r="E806" s="173"/>
      <c r="F806" s="174"/>
      <c r="G806" s="175"/>
      <c r="H806" s="175"/>
      <c r="I806" s="171"/>
      <c r="J806" s="176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</row>
    <row r="807" spans="1:29" ht="13.2" x14ac:dyDescent="0.25">
      <c r="A807" s="171"/>
      <c r="B807" s="172"/>
      <c r="C807" s="160"/>
      <c r="D807" s="160"/>
      <c r="E807" s="173"/>
      <c r="F807" s="174"/>
      <c r="G807" s="175"/>
      <c r="H807" s="175"/>
      <c r="I807" s="171"/>
      <c r="J807" s="176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</row>
    <row r="808" spans="1:29" ht="13.2" x14ac:dyDescent="0.25">
      <c r="A808" s="171"/>
      <c r="B808" s="172"/>
      <c r="C808" s="160"/>
      <c r="D808" s="160"/>
      <c r="E808" s="173"/>
      <c r="F808" s="174"/>
      <c r="G808" s="175"/>
      <c r="H808" s="175"/>
      <c r="I808" s="171"/>
      <c r="J808" s="176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</row>
    <row r="809" spans="1:29" ht="13.2" x14ac:dyDescent="0.25">
      <c r="A809" s="171"/>
      <c r="B809" s="172"/>
      <c r="C809" s="160"/>
      <c r="D809" s="160"/>
      <c r="E809" s="173"/>
      <c r="F809" s="174"/>
      <c r="G809" s="175"/>
      <c r="H809" s="175"/>
      <c r="I809" s="171"/>
      <c r="J809" s="176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</row>
    <row r="810" spans="1:29" ht="13.2" x14ac:dyDescent="0.25">
      <c r="A810" s="171"/>
      <c r="B810" s="172"/>
      <c r="C810" s="160"/>
      <c r="D810" s="160"/>
      <c r="E810" s="173"/>
      <c r="F810" s="174"/>
      <c r="G810" s="175"/>
      <c r="H810" s="175"/>
      <c r="I810" s="171"/>
      <c r="J810" s="176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</row>
    <row r="811" spans="1:29" ht="13.2" x14ac:dyDescent="0.25">
      <c r="A811" s="171"/>
      <c r="B811" s="172"/>
      <c r="C811" s="160"/>
      <c r="D811" s="160"/>
      <c r="E811" s="173"/>
      <c r="F811" s="174"/>
      <c r="G811" s="175"/>
      <c r="H811" s="175"/>
      <c r="I811" s="171"/>
      <c r="J811" s="176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</row>
    <row r="812" spans="1:29" ht="13.2" x14ac:dyDescent="0.25">
      <c r="A812" s="171"/>
      <c r="B812" s="172"/>
      <c r="C812" s="160"/>
      <c r="D812" s="160"/>
      <c r="E812" s="173"/>
      <c r="F812" s="174"/>
      <c r="G812" s="175"/>
      <c r="H812" s="175"/>
      <c r="I812" s="171"/>
      <c r="J812" s="176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</row>
    <row r="813" spans="1:29" ht="13.2" x14ac:dyDescent="0.25">
      <c r="A813" s="171"/>
      <c r="B813" s="172"/>
      <c r="C813" s="160"/>
      <c r="D813" s="160"/>
      <c r="E813" s="173"/>
      <c r="F813" s="174"/>
      <c r="G813" s="175"/>
      <c r="H813" s="175"/>
      <c r="I813" s="171"/>
      <c r="J813" s="176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</row>
    <row r="814" spans="1:29" ht="13.2" x14ac:dyDescent="0.25">
      <c r="A814" s="171"/>
      <c r="B814" s="172"/>
      <c r="C814" s="160"/>
      <c r="D814" s="160"/>
      <c r="E814" s="173"/>
      <c r="F814" s="174"/>
      <c r="G814" s="175"/>
      <c r="H814" s="175"/>
      <c r="I814" s="171"/>
      <c r="J814" s="176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</row>
    <row r="815" spans="1:29" ht="13.2" x14ac:dyDescent="0.25">
      <c r="A815" s="171"/>
      <c r="B815" s="172"/>
      <c r="C815" s="160"/>
      <c r="D815" s="160"/>
      <c r="E815" s="173"/>
      <c r="F815" s="174"/>
      <c r="G815" s="175"/>
      <c r="H815" s="175"/>
      <c r="I815" s="171"/>
      <c r="J815" s="176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</row>
    <row r="816" spans="1:29" ht="13.2" x14ac:dyDescent="0.25">
      <c r="A816" s="171"/>
      <c r="B816" s="172"/>
      <c r="C816" s="160"/>
      <c r="D816" s="160"/>
      <c r="E816" s="173"/>
      <c r="F816" s="174"/>
      <c r="G816" s="175"/>
      <c r="H816" s="175"/>
      <c r="I816" s="171"/>
      <c r="J816" s="176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</row>
    <row r="817" spans="1:29" ht="13.2" x14ac:dyDescent="0.25">
      <c r="A817" s="171"/>
      <c r="B817" s="172"/>
      <c r="C817" s="160"/>
      <c r="D817" s="160"/>
      <c r="E817" s="173"/>
      <c r="F817" s="174"/>
      <c r="G817" s="175"/>
      <c r="H817" s="175"/>
      <c r="I817" s="171"/>
      <c r="J817" s="176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</row>
    <row r="818" spans="1:29" ht="13.2" x14ac:dyDescent="0.25">
      <c r="A818" s="171"/>
      <c r="B818" s="172"/>
      <c r="C818" s="160"/>
      <c r="D818" s="160"/>
      <c r="E818" s="173"/>
      <c r="F818" s="174"/>
      <c r="G818" s="175"/>
      <c r="H818" s="175"/>
      <c r="I818" s="171"/>
      <c r="J818" s="176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</row>
    <row r="819" spans="1:29" ht="13.2" x14ac:dyDescent="0.25">
      <c r="A819" s="171"/>
      <c r="B819" s="172"/>
      <c r="C819" s="160"/>
      <c r="D819" s="160"/>
      <c r="E819" s="173"/>
      <c r="F819" s="174"/>
      <c r="G819" s="175"/>
      <c r="H819" s="175"/>
      <c r="I819" s="171"/>
      <c r="J819" s="176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</row>
    <row r="820" spans="1:29" ht="13.2" x14ac:dyDescent="0.25">
      <c r="A820" s="171"/>
      <c r="B820" s="172"/>
      <c r="C820" s="160"/>
      <c r="D820" s="160"/>
      <c r="E820" s="173"/>
      <c r="F820" s="174"/>
      <c r="G820" s="175"/>
      <c r="H820" s="175"/>
      <c r="I820" s="171"/>
      <c r="J820" s="176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</row>
    <row r="821" spans="1:29" ht="13.2" x14ac:dyDescent="0.25">
      <c r="A821" s="171"/>
      <c r="B821" s="172"/>
      <c r="C821" s="160"/>
      <c r="D821" s="160"/>
      <c r="E821" s="173"/>
      <c r="F821" s="174"/>
      <c r="G821" s="175"/>
      <c r="H821" s="175"/>
      <c r="I821" s="171"/>
      <c r="J821" s="176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</row>
    <row r="822" spans="1:29" ht="13.2" x14ac:dyDescent="0.25">
      <c r="A822" s="171"/>
      <c r="B822" s="172"/>
      <c r="C822" s="160"/>
      <c r="D822" s="160"/>
      <c r="E822" s="173"/>
      <c r="F822" s="174"/>
      <c r="G822" s="175"/>
      <c r="H822" s="175"/>
      <c r="I822" s="171"/>
      <c r="J822" s="176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</row>
    <row r="823" spans="1:29" ht="13.2" x14ac:dyDescent="0.25">
      <c r="A823" s="171"/>
      <c r="B823" s="172"/>
      <c r="C823" s="160"/>
      <c r="D823" s="160"/>
      <c r="E823" s="173"/>
      <c r="F823" s="174"/>
      <c r="G823" s="175"/>
      <c r="H823" s="175"/>
      <c r="I823" s="171"/>
      <c r="J823" s="176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</row>
    <row r="824" spans="1:29" ht="13.2" x14ac:dyDescent="0.25">
      <c r="A824" s="171"/>
      <c r="B824" s="172"/>
      <c r="C824" s="160"/>
      <c r="D824" s="160"/>
      <c r="E824" s="173"/>
      <c r="F824" s="174"/>
      <c r="G824" s="175"/>
      <c r="H824" s="175"/>
      <c r="I824" s="171"/>
      <c r="J824" s="176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</row>
    <row r="825" spans="1:29" ht="13.2" x14ac:dyDescent="0.25">
      <c r="A825" s="171"/>
      <c r="B825" s="172"/>
      <c r="C825" s="160"/>
      <c r="D825" s="160"/>
      <c r="E825" s="173"/>
      <c r="F825" s="174"/>
      <c r="G825" s="175"/>
      <c r="H825" s="175"/>
      <c r="I825" s="171"/>
      <c r="J825" s="176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</row>
    <row r="826" spans="1:29" ht="13.2" x14ac:dyDescent="0.25">
      <c r="A826" s="171"/>
      <c r="B826" s="172"/>
      <c r="C826" s="160"/>
      <c r="D826" s="160"/>
      <c r="E826" s="173"/>
      <c r="F826" s="174"/>
      <c r="G826" s="175"/>
      <c r="H826" s="175"/>
      <c r="I826" s="171"/>
      <c r="J826" s="176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</row>
    <row r="827" spans="1:29" ht="13.2" x14ac:dyDescent="0.25">
      <c r="A827" s="171"/>
      <c r="B827" s="172"/>
      <c r="C827" s="160"/>
      <c r="D827" s="160"/>
      <c r="E827" s="173"/>
      <c r="F827" s="174"/>
      <c r="G827" s="175"/>
      <c r="H827" s="175"/>
      <c r="I827" s="171"/>
      <c r="J827" s="176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</row>
    <row r="828" spans="1:29" ht="13.2" x14ac:dyDescent="0.25">
      <c r="A828" s="171"/>
      <c r="B828" s="172"/>
      <c r="C828" s="160"/>
      <c r="D828" s="160"/>
      <c r="E828" s="173"/>
      <c r="F828" s="174"/>
      <c r="G828" s="175"/>
      <c r="H828" s="175"/>
      <c r="I828" s="171"/>
      <c r="J828" s="176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</row>
    <row r="829" spans="1:29" ht="13.2" x14ac:dyDescent="0.25">
      <c r="A829" s="171"/>
      <c r="B829" s="172"/>
      <c r="C829" s="160"/>
      <c r="D829" s="160"/>
      <c r="E829" s="173"/>
      <c r="F829" s="174"/>
      <c r="G829" s="175"/>
      <c r="H829" s="175"/>
      <c r="I829" s="171"/>
      <c r="J829" s="176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</row>
    <row r="830" spans="1:29" ht="13.2" x14ac:dyDescent="0.25">
      <c r="A830" s="171"/>
      <c r="B830" s="172"/>
      <c r="C830" s="160"/>
      <c r="D830" s="160"/>
      <c r="E830" s="173"/>
      <c r="F830" s="174"/>
      <c r="G830" s="175"/>
      <c r="H830" s="175"/>
      <c r="I830" s="171"/>
      <c r="J830" s="176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</row>
    <row r="831" spans="1:29" ht="13.2" x14ac:dyDescent="0.25">
      <c r="A831" s="171"/>
      <c r="B831" s="172"/>
      <c r="C831" s="160"/>
      <c r="D831" s="160"/>
      <c r="E831" s="173"/>
      <c r="F831" s="174"/>
      <c r="G831" s="175"/>
      <c r="H831" s="175"/>
      <c r="I831" s="171"/>
      <c r="J831" s="176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</row>
    <row r="832" spans="1:29" ht="13.2" x14ac:dyDescent="0.25">
      <c r="A832" s="171"/>
      <c r="B832" s="172"/>
      <c r="C832" s="160"/>
      <c r="D832" s="160"/>
      <c r="E832" s="173"/>
      <c r="F832" s="174"/>
      <c r="G832" s="175"/>
      <c r="H832" s="175"/>
      <c r="I832" s="171"/>
      <c r="J832" s="176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</row>
    <row r="833" spans="1:29" ht="13.2" x14ac:dyDescent="0.25">
      <c r="A833" s="171"/>
      <c r="B833" s="172"/>
      <c r="C833" s="160"/>
      <c r="D833" s="160"/>
      <c r="E833" s="173"/>
      <c r="F833" s="174"/>
      <c r="G833" s="175"/>
      <c r="H833" s="175"/>
      <c r="I833" s="171"/>
      <c r="J833" s="176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</row>
    <row r="834" spans="1:29" ht="13.2" x14ac:dyDescent="0.25">
      <c r="A834" s="171"/>
      <c r="B834" s="172"/>
      <c r="C834" s="160"/>
      <c r="D834" s="160"/>
      <c r="E834" s="173"/>
      <c r="F834" s="174"/>
      <c r="G834" s="175"/>
      <c r="H834" s="175"/>
      <c r="I834" s="171"/>
      <c r="J834" s="176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</row>
    <row r="835" spans="1:29" ht="13.2" x14ac:dyDescent="0.25">
      <c r="A835" s="171"/>
      <c r="B835" s="172"/>
      <c r="C835" s="160"/>
      <c r="D835" s="160"/>
      <c r="E835" s="173"/>
      <c r="F835" s="174"/>
      <c r="G835" s="175"/>
      <c r="H835" s="175"/>
      <c r="I835" s="171"/>
      <c r="J835" s="176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</row>
    <row r="836" spans="1:29" ht="13.2" x14ac:dyDescent="0.25">
      <c r="A836" s="171"/>
      <c r="B836" s="172"/>
      <c r="C836" s="160"/>
      <c r="D836" s="160"/>
      <c r="E836" s="173"/>
      <c r="F836" s="174"/>
      <c r="G836" s="175"/>
      <c r="H836" s="175"/>
      <c r="I836" s="171"/>
      <c r="J836" s="176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</row>
    <row r="837" spans="1:29" ht="13.2" x14ac:dyDescent="0.25">
      <c r="A837" s="171"/>
      <c r="B837" s="172"/>
      <c r="C837" s="160"/>
      <c r="D837" s="160"/>
      <c r="E837" s="173"/>
      <c r="F837" s="174"/>
      <c r="G837" s="175"/>
      <c r="H837" s="175"/>
      <c r="I837" s="171"/>
      <c r="J837" s="176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</row>
    <row r="838" spans="1:29" ht="13.2" x14ac:dyDescent="0.25">
      <c r="A838" s="171"/>
      <c r="B838" s="172"/>
      <c r="C838" s="160"/>
      <c r="D838" s="160"/>
      <c r="E838" s="173"/>
      <c r="F838" s="174"/>
      <c r="G838" s="175"/>
      <c r="H838" s="175"/>
      <c r="I838" s="171"/>
      <c r="J838" s="176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</row>
    <row r="839" spans="1:29" ht="13.2" x14ac:dyDescent="0.25">
      <c r="A839" s="171"/>
      <c r="B839" s="172"/>
      <c r="C839" s="160"/>
      <c r="D839" s="160"/>
      <c r="E839" s="173"/>
      <c r="F839" s="174"/>
      <c r="G839" s="175"/>
      <c r="H839" s="175"/>
      <c r="I839" s="171"/>
      <c r="J839" s="176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</row>
    <row r="840" spans="1:29" ht="13.2" x14ac:dyDescent="0.25">
      <c r="A840" s="171"/>
      <c r="B840" s="172"/>
      <c r="C840" s="160"/>
      <c r="D840" s="160"/>
      <c r="E840" s="173"/>
      <c r="F840" s="174"/>
      <c r="G840" s="175"/>
      <c r="H840" s="175"/>
      <c r="I840" s="171"/>
      <c r="J840" s="176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</row>
    <row r="841" spans="1:29" ht="13.2" x14ac:dyDescent="0.25">
      <c r="A841" s="171"/>
      <c r="B841" s="172"/>
      <c r="C841" s="160"/>
      <c r="D841" s="160"/>
      <c r="E841" s="173"/>
      <c r="F841" s="174"/>
      <c r="G841" s="175"/>
      <c r="H841" s="175"/>
      <c r="I841" s="171"/>
      <c r="J841" s="176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</row>
    <row r="842" spans="1:29" ht="13.2" x14ac:dyDescent="0.25">
      <c r="A842" s="171"/>
      <c r="B842" s="172"/>
      <c r="C842" s="160"/>
      <c r="D842" s="160"/>
      <c r="E842" s="173"/>
      <c r="F842" s="174"/>
      <c r="G842" s="175"/>
      <c r="H842" s="175"/>
      <c r="I842" s="171"/>
      <c r="J842" s="176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</row>
    <row r="843" spans="1:29" ht="13.2" x14ac:dyDescent="0.25">
      <c r="A843" s="171"/>
      <c r="B843" s="172"/>
      <c r="C843" s="160"/>
      <c r="D843" s="160"/>
      <c r="E843" s="173"/>
      <c r="F843" s="174"/>
      <c r="G843" s="175"/>
      <c r="H843" s="175"/>
      <c r="I843" s="171"/>
      <c r="J843" s="176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</row>
    <row r="844" spans="1:29" ht="13.2" x14ac:dyDescent="0.25">
      <c r="A844" s="171"/>
      <c r="B844" s="172"/>
      <c r="C844" s="160"/>
      <c r="D844" s="160"/>
      <c r="E844" s="173"/>
      <c r="F844" s="174"/>
      <c r="G844" s="175"/>
      <c r="H844" s="175"/>
      <c r="I844" s="171"/>
      <c r="J844" s="176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</row>
    <row r="845" spans="1:29" ht="13.2" x14ac:dyDescent="0.25">
      <c r="A845" s="171"/>
      <c r="B845" s="172"/>
      <c r="C845" s="160"/>
      <c r="D845" s="160"/>
      <c r="E845" s="173"/>
      <c r="F845" s="174"/>
      <c r="G845" s="175"/>
      <c r="H845" s="175"/>
      <c r="I845" s="171"/>
      <c r="J845" s="176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</row>
    <row r="846" spans="1:29" ht="13.2" x14ac:dyDescent="0.25">
      <c r="A846" s="171"/>
      <c r="B846" s="172"/>
      <c r="C846" s="160"/>
      <c r="D846" s="160"/>
      <c r="E846" s="173"/>
      <c r="F846" s="174"/>
      <c r="G846" s="175"/>
      <c r="H846" s="175"/>
      <c r="I846" s="171"/>
      <c r="J846" s="176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</row>
    <row r="847" spans="1:29" ht="13.2" x14ac:dyDescent="0.25">
      <c r="A847" s="171"/>
      <c r="B847" s="172"/>
      <c r="C847" s="160"/>
      <c r="D847" s="160"/>
      <c r="E847" s="173"/>
      <c r="F847" s="174"/>
      <c r="G847" s="175"/>
      <c r="H847" s="175"/>
      <c r="I847" s="171"/>
      <c r="J847" s="176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</row>
    <row r="848" spans="1:29" ht="13.2" x14ac:dyDescent="0.25">
      <c r="A848" s="171"/>
      <c r="B848" s="172"/>
      <c r="C848" s="160"/>
      <c r="D848" s="160"/>
      <c r="E848" s="173"/>
      <c r="F848" s="174"/>
      <c r="G848" s="175"/>
      <c r="H848" s="175"/>
      <c r="I848" s="171"/>
      <c r="J848" s="176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</row>
    <row r="849" spans="1:29" ht="13.2" x14ac:dyDescent="0.25">
      <c r="A849" s="171"/>
      <c r="B849" s="172"/>
      <c r="C849" s="160"/>
      <c r="D849" s="160"/>
      <c r="E849" s="173"/>
      <c r="F849" s="174"/>
      <c r="G849" s="175"/>
      <c r="H849" s="175"/>
      <c r="I849" s="171"/>
      <c r="J849" s="176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</row>
    <row r="850" spans="1:29" ht="13.2" x14ac:dyDescent="0.25">
      <c r="A850" s="171"/>
      <c r="B850" s="172"/>
      <c r="C850" s="160"/>
      <c r="D850" s="160"/>
      <c r="E850" s="173"/>
      <c r="F850" s="174"/>
      <c r="G850" s="175"/>
      <c r="H850" s="175"/>
      <c r="I850" s="171"/>
      <c r="J850" s="176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</row>
    <row r="851" spans="1:29" ht="13.2" x14ac:dyDescent="0.25">
      <c r="A851" s="171"/>
      <c r="B851" s="172"/>
      <c r="C851" s="160"/>
      <c r="D851" s="160"/>
      <c r="E851" s="173"/>
      <c r="F851" s="174"/>
      <c r="G851" s="175"/>
      <c r="H851" s="175"/>
      <c r="I851" s="171"/>
      <c r="J851" s="176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</row>
    <row r="852" spans="1:29" ht="13.2" x14ac:dyDescent="0.25">
      <c r="A852" s="171"/>
      <c r="B852" s="172"/>
      <c r="C852" s="160"/>
      <c r="D852" s="160"/>
      <c r="E852" s="173"/>
      <c r="F852" s="174"/>
      <c r="G852" s="175"/>
      <c r="H852" s="175"/>
      <c r="I852" s="171"/>
      <c r="J852" s="176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</row>
    <row r="853" spans="1:29" ht="13.2" x14ac:dyDescent="0.25">
      <c r="A853" s="171"/>
      <c r="B853" s="172"/>
      <c r="C853" s="160"/>
      <c r="D853" s="160"/>
      <c r="E853" s="173"/>
      <c r="F853" s="174"/>
      <c r="G853" s="175"/>
      <c r="H853" s="175"/>
      <c r="I853" s="171"/>
      <c r="J853" s="176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</row>
    <row r="854" spans="1:29" ht="13.2" x14ac:dyDescent="0.25">
      <c r="A854" s="171"/>
      <c r="B854" s="172"/>
      <c r="C854" s="160"/>
      <c r="D854" s="160"/>
      <c r="E854" s="173"/>
      <c r="F854" s="174"/>
      <c r="G854" s="175"/>
      <c r="H854" s="175"/>
      <c r="I854" s="171"/>
      <c r="J854" s="176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</row>
    <row r="855" spans="1:29" ht="13.2" x14ac:dyDescent="0.25">
      <c r="A855" s="171"/>
      <c r="B855" s="172"/>
      <c r="C855" s="160"/>
      <c r="D855" s="160"/>
      <c r="E855" s="173"/>
      <c r="F855" s="174"/>
      <c r="G855" s="175"/>
      <c r="H855" s="175"/>
      <c r="I855" s="171"/>
      <c r="J855" s="176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</row>
    <row r="856" spans="1:29" ht="13.2" x14ac:dyDescent="0.25">
      <c r="A856" s="171"/>
      <c r="B856" s="172"/>
      <c r="C856" s="160"/>
      <c r="D856" s="160"/>
      <c r="E856" s="173"/>
      <c r="F856" s="174"/>
      <c r="G856" s="175"/>
      <c r="H856" s="175"/>
      <c r="I856" s="171"/>
      <c r="J856" s="176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</row>
    <row r="857" spans="1:29" ht="13.2" x14ac:dyDescent="0.25">
      <c r="A857" s="171"/>
      <c r="B857" s="172"/>
      <c r="C857" s="160"/>
      <c r="D857" s="160"/>
      <c r="E857" s="173"/>
      <c r="F857" s="174"/>
      <c r="G857" s="175"/>
      <c r="H857" s="175"/>
      <c r="I857" s="171"/>
      <c r="J857" s="176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</row>
    <row r="858" spans="1:29" ht="13.2" x14ac:dyDescent="0.25">
      <c r="A858" s="171"/>
      <c r="B858" s="172"/>
      <c r="C858" s="160"/>
      <c r="D858" s="160"/>
      <c r="E858" s="173"/>
      <c r="F858" s="174"/>
      <c r="G858" s="175"/>
      <c r="H858" s="175"/>
      <c r="I858" s="171"/>
      <c r="J858" s="176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</row>
    <row r="859" spans="1:29" ht="13.2" x14ac:dyDescent="0.25">
      <c r="A859" s="171"/>
      <c r="B859" s="172"/>
      <c r="C859" s="160"/>
      <c r="D859" s="160"/>
      <c r="E859" s="173"/>
      <c r="F859" s="174"/>
      <c r="G859" s="175"/>
      <c r="H859" s="175"/>
      <c r="I859" s="171"/>
      <c r="J859" s="176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</row>
    <row r="860" spans="1:29" ht="13.2" x14ac:dyDescent="0.25">
      <c r="A860" s="171"/>
      <c r="B860" s="172"/>
      <c r="C860" s="160"/>
      <c r="D860" s="160"/>
      <c r="E860" s="173"/>
      <c r="F860" s="174"/>
      <c r="G860" s="175"/>
      <c r="H860" s="175"/>
      <c r="I860" s="171"/>
      <c r="J860" s="176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</row>
    <row r="861" spans="1:29" ht="13.2" x14ac:dyDescent="0.25">
      <c r="A861" s="171"/>
      <c r="B861" s="172"/>
      <c r="C861" s="160"/>
      <c r="D861" s="160"/>
      <c r="E861" s="173"/>
      <c r="F861" s="174"/>
      <c r="G861" s="175"/>
      <c r="H861" s="175"/>
      <c r="I861" s="171"/>
      <c r="J861" s="176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</row>
    <row r="862" spans="1:29" ht="13.2" x14ac:dyDescent="0.25">
      <c r="A862" s="171"/>
      <c r="B862" s="172"/>
      <c r="C862" s="160"/>
      <c r="D862" s="160"/>
      <c r="E862" s="173"/>
      <c r="F862" s="174"/>
      <c r="G862" s="175"/>
      <c r="H862" s="175"/>
      <c r="I862" s="171"/>
      <c r="J862" s="176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</row>
    <row r="863" spans="1:29" ht="13.2" x14ac:dyDescent="0.25">
      <c r="A863" s="171"/>
      <c r="B863" s="172"/>
      <c r="C863" s="160"/>
      <c r="D863" s="160"/>
      <c r="E863" s="173"/>
      <c r="F863" s="174"/>
      <c r="G863" s="175"/>
      <c r="H863" s="175"/>
      <c r="I863" s="171"/>
      <c r="J863" s="176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</row>
    <row r="864" spans="1:29" ht="13.2" x14ac:dyDescent="0.25">
      <c r="A864" s="171"/>
      <c r="B864" s="172"/>
      <c r="C864" s="160"/>
      <c r="D864" s="160"/>
      <c r="E864" s="173"/>
      <c r="F864" s="174"/>
      <c r="G864" s="175"/>
      <c r="H864" s="175"/>
      <c r="I864" s="171"/>
      <c r="J864" s="176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</row>
    <row r="865" spans="1:29" ht="13.2" x14ac:dyDescent="0.25">
      <c r="A865" s="171"/>
      <c r="B865" s="172"/>
      <c r="C865" s="160"/>
      <c r="D865" s="160"/>
      <c r="E865" s="173"/>
      <c r="F865" s="174"/>
      <c r="G865" s="175"/>
      <c r="H865" s="175"/>
      <c r="I865" s="171"/>
      <c r="J865" s="176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</row>
    <row r="866" spans="1:29" ht="13.2" x14ac:dyDescent="0.25">
      <c r="A866" s="171"/>
      <c r="B866" s="172"/>
      <c r="C866" s="160"/>
      <c r="D866" s="160"/>
      <c r="E866" s="173"/>
      <c r="F866" s="174"/>
      <c r="G866" s="175"/>
      <c r="H866" s="175"/>
      <c r="I866" s="171"/>
      <c r="J866" s="176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</row>
    <row r="867" spans="1:29" ht="13.2" x14ac:dyDescent="0.25">
      <c r="A867" s="171"/>
      <c r="B867" s="172"/>
      <c r="C867" s="160"/>
      <c r="D867" s="160"/>
      <c r="E867" s="173"/>
      <c r="F867" s="174"/>
      <c r="G867" s="175"/>
      <c r="H867" s="175"/>
      <c r="I867" s="171"/>
      <c r="J867" s="176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</row>
    <row r="868" spans="1:29" ht="13.2" x14ac:dyDescent="0.25">
      <c r="A868" s="171"/>
      <c r="B868" s="172"/>
      <c r="C868" s="160"/>
      <c r="D868" s="160"/>
      <c r="E868" s="173"/>
      <c r="F868" s="174"/>
      <c r="G868" s="175"/>
      <c r="H868" s="175"/>
      <c r="I868" s="171"/>
      <c r="J868" s="176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</row>
    <row r="869" spans="1:29" ht="13.2" x14ac:dyDescent="0.25">
      <c r="A869" s="171"/>
      <c r="B869" s="172"/>
      <c r="C869" s="160"/>
      <c r="D869" s="160"/>
      <c r="E869" s="173"/>
      <c r="F869" s="174"/>
      <c r="G869" s="175"/>
      <c r="H869" s="175"/>
      <c r="I869" s="171"/>
      <c r="J869" s="176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</row>
    <row r="870" spans="1:29" ht="13.2" x14ac:dyDescent="0.25">
      <c r="A870" s="171"/>
      <c r="B870" s="172"/>
      <c r="C870" s="160"/>
      <c r="D870" s="160"/>
      <c r="E870" s="173"/>
      <c r="F870" s="174"/>
      <c r="G870" s="175"/>
      <c r="H870" s="175"/>
      <c r="I870" s="171"/>
      <c r="J870" s="176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</row>
    <row r="871" spans="1:29" ht="13.2" x14ac:dyDescent="0.25">
      <c r="A871" s="171"/>
      <c r="B871" s="172"/>
      <c r="C871" s="160"/>
      <c r="D871" s="160"/>
      <c r="E871" s="173"/>
      <c r="F871" s="174"/>
      <c r="G871" s="175"/>
      <c r="H871" s="175"/>
      <c r="I871" s="171"/>
      <c r="J871" s="176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</row>
    <row r="872" spans="1:29" ht="13.2" x14ac:dyDescent="0.25">
      <c r="A872" s="171"/>
      <c r="B872" s="172"/>
      <c r="C872" s="160"/>
      <c r="D872" s="160"/>
      <c r="E872" s="173"/>
      <c r="F872" s="174"/>
      <c r="G872" s="175"/>
      <c r="H872" s="175"/>
      <c r="I872" s="171"/>
      <c r="J872" s="176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</row>
    <row r="873" spans="1:29" ht="13.2" x14ac:dyDescent="0.25">
      <c r="A873" s="171"/>
      <c r="B873" s="172"/>
      <c r="C873" s="160"/>
      <c r="D873" s="160"/>
      <c r="E873" s="173"/>
      <c r="F873" s="174"/>
      <c r="G873" s="175"/>
      <c r="H873" s="175"/>
      <c r="I873" s="171"/>
      <c r="J873" s="176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</row>
    <row r="874" spans="1:29" ht="13.2" x14ac:dyDescent="0.25">
      <c r="A874" s="171"/>
      <c r="B874" s="172"/>
      <c r="C874" s="160"/>
      <c r="D874" s="160"/>
      <c r="E874" s="173"/>
      <c r="F874" s="174"/>
      <c r="G874" s="175"/>
      <c r="H874" s="175"/>
      <c r="I874" s="171"/>
      <c r="J874" s="176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</row>
    <row r="875" spans="1:29" ht="13.2" x14ac:dyDescent="0.25">
      <c r="A875" s="171"/>
      <c r="B875" s="172"/>
      <c r="C875" s="160"/>
      <c r="D875" s="160"/>
      <c r="E875" s="173"/>
      <c r="F875" s="174"/>
      <c r="G875" s="175"/>
      <c r="H875" s="175"/>
      <c r="I875" s="171"/>
      <c r="J875" s="176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</row>
    <row r="876" spans="1:29" ht="13.2" x14ac:dyDescent="0.25">
      <c r="A876" s="171"/>
      <c r="B876" s="172"/>
      <c r="C876" s="160"/>
      <c r="D876" s="160"/>
      <c r="E876" s="173"/>
      <c r="F876" s="174"/>
      <c r="G876" s="175"/>
      <c r="H876" s="175"/>
      <c r="I876" s="171"/>
      <c r="J876" s="176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</row>
    <row r="877" spans="1:29" ht="13.2" x14ac:dyDescent="0.25">
      <c r="A877" s="171"/>
      <c r="B877" s="172"/>
      <c r="C877" s="160"/>
      <c r="D877" s="160"/>
      <c r="E877" s="173"/>
      <c r="F877" s="174"/>
      <c r="G877" s="175"/>
      <c r="H877" s="175"/>
      <c r="I877" s="171"/>
      <c r="J877" s="176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</row>
    <row r="878" spans="1:29" ht="13.2" x14ac:dyDescent="0.25">
      <c r="A878" s="171"/>
      <c r="B878" s="172"/>
      <c r="C878" s="160"/>
      <c r="D878" s="160"/>
      <c r="E878" s="173"/>
      <c r="F878" s="174"/>
      <c r="G878" s="175"/>
      <c r="H878" s="175"/>
      <c r="I878" s="171"/>
      <c r="J878" s="176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</row>
    <row r="879" spans="1:29" ht="13.2" x14ac:dyDescent="0.25">
      <c r="A879" s="171"/>
      <c r="B879" s="172"/>
      <c r="C879" s="160"/>
      <c r="D879" s="160"/>
      <c r="E879" s="173"/>
      <c r="F879" s="174"/>
      <c r="G879" s="175"/>
      <c r="H879" s="175"/>
      <c r="I879" s="171"/>
      <c r="J879" s="176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</row>
    <row r="880" spans="1:29" ht="13.2" x14ac:dyDescent="0.25">
      <c r="A880" s="171"/>
      <c r="B880" s="172"/>
      <c r="C880" s="160"/>
      <c r="D880" s="160"/>
      <c r="E880" s="173"/>
      <c r="F880" s="174"/>
      <c r="G880" s="175"/>
      <c r="H880" s="175"/>
      <c r="I880" s="171"/>
      <c r="J880" s="176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</row>
    <row r="881" spans="1:29" ht="13.2" x14ac:dyDescent="0.25">
      <c r="A881" s="171"/>
      <c r="B881" s="172"/>
      <c r="C881" s="160"/>
      <c r="D881" s="160"/>
      <c r="E881" s="173"/>
      <c r="F881" s="174"/>
      <c r="G881" s="175"/>
      <c r="H881" s="175"/>
      <c r="I881" s="171"/>
      <c r="J881" s="176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</row>
    <row r="882" spans="1:29" ht="13.2" x14ac:dyDescent="0.25">
      <c r="A882" s="171"/>
      <c r="B882" s="172"/>
      <c r="C882" s="160"/>
      <c r="D882" s="160"/>
      <c r="E882" s="173"/>
      <c r="F882" s="174"/>
      <c r="G882" s="175"/>
      <c r="H882" s="175"/>
      <c r="I882" s="171"/>
      <c r="J882" s="176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</row>
    <row r="883" spans="1:29" ht="13.2" x14ac:dyDescent="0.25">
      <c r="A883" s="171"/>
      <c r="B883" s="172"/>
      <c r="C883" s="160"/>
      <c r="D883" s="160"/>
      <c r="E883" s="173"/>
      <c r="F883" s="174"/>
      <c r="G883" s="175"/>
      <c r="H883" s="175"/>
      <c r="I883" s="171"/>
      <c r="J883" s="176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</row>
    <row r="884" spans="1:29" ht="13.2" x14ac:dyDescent="0.25">
      <c r="A884" s="171"/>
      <c r="B884" s="172"/>
      <c r="C884" s="160"/>
      <c r="D884" s="160"/>
      <c r="E884" s="173"/>
      <c r="F884" s="174"/>
      <c r="G884" s="175"/>
      <c r="H884" s="175"/>
      <c r="I884" s="171"/>
      <c r="J884" s="176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</row>
    <row r="885" spans="1:29" ht="13.2" x14ac:dyDescent="0.25">
      <c r="A885" s="171"/>
      <c r="B885" s="172"/>
      <c r="C885" s="160"/>
      <c r="D885" s="160"/>
      <c r="E885" s="173"/>
      <c r="F885" s="174"/>
      <c r="G885" s="175"/>
      <c r="H885" s="175"/>
      <c r="I885" s="171"/>
      <c r="J885" s="176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</row>
    <row r="886" spans="1:29" ht="13.2" x14ac:dyDescent="0.25">
      <c r="A886" s="171"/>
      <c r="B886" s="172"/>
      <c r="C886" s="160"/>
      <c r="D886" s="160"/>
      <c r="E886" s="173"/>
      <c r="F886" s="174"/>
      <c r="G886" s="175"/>
      <c r="H886" s="175"/>
      <c r="I886" s="171"/>
      <c r="J886" s="176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</row>
    <row r="887" spans="1:29" ht="13.2" x14ac:dyDescent="0.25">
      <c r="A887" s="171"/>
      <c r="B887" s="172"/>
      <c r="C887" s="160"/>
      <c r="D887" s="160"/>
      <c r="E887" s="173"/>
      <c r="F887" s="174"/>
      <c r="G887" s="175"/>
      <c r="H887" s="175"/>
      <c r="I887" s="171"/>
      <c r="J887" s="176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</row>
    <row r="888" spans="1:29" ht="13.2" x14ac:dyDescent="0.25">
      <c r="A888" s="171"/>
      <c r="B888" s="172"/>
      <c r="C888" s="160"/>
      <c r="D888" s="160"/>
      <c r="E888" s="173"/>
      <c r="F888" s="174"/>
      <c r="G888" s="175"/>
      <c r="H888" s="175"/>
      <c r="I888" s="171"/>
      <c r="J888" s="176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</row>
    <row r="889" spans="1:29" ht="13.2" x14ac:dyDescent="0.25">
      <c r="A889" s="171"/>
      <c r="B889" s="172"/>
      <c r="C889" s="160"/>
      <c r="D889" s="160"/>
      <c r="E889" s="173"/>
      <c r="F889" s="174"/>
      <c r="G889" s="175"/>
      <c r="H889" s="175"/>
      <c r="I889" s="171"/>
      <c r="J889" s="176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</row>
    <row r="890" spans="1:29" ht="13.2" x14ac:dyDescent="0.25">
      <c r="A890" s="171"/>
      <c r="B890" s="172"/>
      <c r="C890" s="160"/>
      <c r="D890" s="160"/>
      <c r="E890" s="173"/>
      <c r="F890" s="174"/>
      <c r="G890" s="175"/>
      <c r="H890" s="175"/>
      <c r="I890" s="171"/>
      <c r="J890" s="176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</row>
    <row r="891" spans="1:29" ht="13.2" x14ac:dyDescent="0.25">
      <c r="A891" s="171"/>
      <c r="B891" s="172"/>
      <c r="C891" s="160"/>
      <c r="D891" s="160"/>
      <c r="E891" s="173"/>
      <c r="F891" s="174"/>
      <c r="G891" s="175"/>
      <c r="H891" s="175"/>
      <c r="I891" s="171"/>
      <c r="J891" s="176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</row>
    <row r="892" spans="1:29" ht="13.2" x14ac:dyDescent="0.25">
      <c r="A892" s="171"/>
      <c r="B892" s="172"/>
      <c r="C892" s="160"/>
      <c r="D892" s="160"/>
      <c r="E892" s="173"/>
      <c r="F892" s="174"/>
      <c r="G892" s="175"/>
      <c r="H892" s="175"/>
      <c r="I892" s="171"/>
      <c r="J892" s="176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</row>
    <row r="893" spans="1:29" ht="13.2" x14ac:dyDescent="0.25">
      <c r="A893" s="171"/>
      <c r="B893" s="172"/>
      <c r="C893" s="160"/>
      <c r="D893" s="160"/>
      <c r="E893" s="173"/>
      <c r="F893" s="174"/>
      <c r="G893" s="175"/>
      <c r="H893" s="175"/>
      <c r="I893" s="171"/>
      <c r="J893" s="176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</row>
    <row r="894" spans="1:29" ht="13.2" x14ac:dyDescent="0.25">
      <c r="A894" s="171"/>
      <c r="B894" s="172"/>
      <c r="C894" s="160"/>
      <c r="D894" s="160"/>
      <c r="E894" s="173"/>
      <c r="F894" s="174"/>
      <c r="G894" s="175"/>
      <c r="H894" s="175"/>
      <c r="I894" s="171"/>
      <c r="J894" s="176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</row>
    <row r="895" spans="1:29" ht="13.2" x14ac:dyDescent="0.25">
      <c r="A895" s="171"/>
      <c r="B895" s="172"/>
      <c r="C895" s="160"/>
      <c r="D895" s="160"/>
      <c r="E895" s="173"/>
      <c r="F895" s="174"/>
      <c r="G895" s="175"/>
      <c r="H895" s="175"/>
      <c r="I895" s="171"/>
      <c r="J895" s="176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</row>
    <row r="896" spans="1:29" ht="13.2" x14ac:dyDescent="0.25">
      <c r="A896" s="171"/>
      <c r="B896" s="172"/>
      <c r="C896" s="160"/>
      <c r="D896" s="160"/>
      <c r="E896" s="173"/>
      <c r="F896" s="174"/>
      <c r="G896" s="175"/>
      <c r="H896" s="175"/>
      <c r="I896" s="171"/>
      <c r="J896" s="176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</row>
    <row r="897" spans="1:29" ht="13.2" x14ac:dyDescent="0.25">
      <c r="A897" s="171"/>
      <c r="B897" s="172"/>
      <c r="C897" s="160"/>
      <c r="D897" s="160"/>
      <c r="E897" s="173"/>
      <c r="F897" s="174"/>
      <c r="G897" s="175"/>
      <c r="H897" s="175"/>
      <c r="I897" s="171"/>
      <c r="J897" s="176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</row>
    <row r="898" spans="1:29" ht="13.2" x14ac:dyDescent="0.25">
      <c r="A898" s="171"/>
      <c r="B898" s="172"/>
      <c r="C898" s="160"/>
      <c r="D898" s="160"/>
      <c r="E898" s="173"/>
      <c r="F898" s="174"/>
      <c r="G898" s="175"/>
      <c r="H898" s="175"/>
      <c r="I898" s="171"/>
      <c r="J898" s="176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</row>
    <row r="899" spans="1:29" ht="13.2" x14ac:dyDescent="0.25">
      <c r="A899" s="171"/>
      <c r="B899" s="172"/>
      <c r="C899" s="160"/>
      <c r="D899" s="160"/>
      <c r="E899" s="173"/>
      <c r="F899" s="174"/>
      <c r="G899" s="175"/>
      <c r="H899" s="175"/>
      <c r="I899" s="171"/>
      <c r="J899" s="176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</row>
    <row r="900" spans="1:29" ht="13.2" x14ac:dyDescent="0.25">
      <c r="A900" s="171"/>
      <c r="B900" s="172"/>
      <c r="C900" s="160"/>
      <c r="D900" s="160"/>
      <c r="E900" s="173"/>
      <c r="F900" s="174"/>
      <c r="G900" s="175"/>
      <c r="H900" s="175"/>
      <c r="I900" s="171"/>
      <c r="J900" s="176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</row>
    <row r="901" spans="1:29" ht="13.2" x14ac:dyDescent="0.25">
      <c r="A901" s="171"/>
      <c r="B901" s="172"/>
      <c r="C901" s="160"/>
      <c r="D901" s="160"/>
      <c r="E901" s="173"/>
      <c r="F901" s="174"/>
      <c r="G901" s="175"/>
      <c r="H901" s="175"/>
      <c r="I901" s="171"/>
      <c r="J901" s="176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</row>
    <row r="902" spans="1:29" ht="13.2" x14ac:dyDescent="0.25">
      <c r="A902" s="171"/>
      <c r="B902" s="172"/>
      <c r="C902" s="160"/>
      <c r="D902" s="160"/>
      <c r="E902" s="173"/>
      <c r="F902" s="174"/>
      <c r="G902" s="175"/>
      <c r="H902" s="175"/>
      <c r="I902" s="171"/>
      <c r="J902" s="176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</row>
    <row r="903" spans="1:29" ht="13.2" x14ac:dyDescent="0.25">
      <c r="A903" s="171"/>
      <c r="B903" s="172"/>
      <c r="C903" s="160"/>
      <c r="D903" s="160"/>
      <c r="E903" s="173"/>
      <c r="F903" s="174"/>
      <c r="G903" s="175"/>
      <c r="H903" s="175"/>
      <c r="I903" s="171"/>
      <c r="J903" s="176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</row>
    <row r="904" spans="1:29" ht="13.2" x14ac:dyDescent="0.25">
      <c r="A904" s="171"/>
      <c r="B904" s="172"/>
      <c r="C904" s="160"/>
      <c r="D904" s="160"/>
      <c r="E904" s="173"/>
      <c r="F904" s="174"/>
      <c r="G904" s="175"/>
      <c r="H904" s="175"/>
      <c r="I904" s="171"/>
      <c r="J904" s="176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</row>
    <row r="905" spans="1:29" ht="13.2" x14ac:dyDescent="0.25">
      <c r="A905" s="171"/>
      <c r="B905" s="172"/>
      <c r="C905" s="160"/>
      <c r="D905" s="160"/>
      <c r="E905" s="173"/>
      <c r="F905" s="174"/>
      <c r="G905" s="175"/>
      <c r="H905" s="175"/>
      <c r="I905" s="171"/>
      <c r="J905" s="176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</row>
    <row r="906" spans="1:29" ht="13.2" x14ac:dyDescent="0.25">
      <c r="A906" s="171"/>
      <c r="B906" s="172"/>
      <c r="C906" s="160"/>
      <c r="D906" s="160"/>
      <c r="E906" s="173"/>
      <c r="F906" s="174"/>
      <c r="G906" s="175"/>
      <c r="H906" s="175"/>
      <c r="I906" s="171"/>
      <c r="J906" s="176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</row>
    <row r="907" spans="1:29" ht="13.2" x14ac:dyDescent="0.25">
      <c r="A907" s="171"/>
      <c r="B907" s="172"/>
      <c r="C907" s="160"/>
      <c r="D907" s="160"/>
      <c r="E907" s="173"/>
      <c r="F907" s="174"/>
      <c r="G907" s="175"/>
      <c r="H907" s="175"/>
      <c r="I907" s="171"/>
      <c r="J907" s="176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</row>
    <row r="908" spans="1:29" ht="13.2" x14ac:dyDescent="0.25">
      <c r="A908" s="171"/>
      <c r="B908" s="172"/>
      <c r="C908" s="160"/>
      <c r="D908" s="160"/>
      <c r="E908" s="173"/>
      <c r="F908" s="174"/>
      <c r="G908" s="175"/>
      <c r="H908" s="175"/>
      <c r="I908" s="171"/>
      <c r="J908" s="176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</row>
    <row r="909" spans="1:29" ht="13.2" x14ac:dyDescent="0.25">
      <c r="A909" s="171"/>
      <c r="B909" s="172"/>
      <c r="C909" s="160"/>
      <c r="D909" s="160"/>
      <c r="E909" s="173"/>
      <c r="F909" s="174"/>
      <c r="G909" s="175"/>
      <c r="H909" s="175"/>
      <c r="I909" s="171"/>
      <c r="J909" s="176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</row>
    <row r="910" spans="1:29" ht="13.2" x14ac:dyDescent="0.25">
      <c r="A910" s="171"/>
      <c r="B910" s="172"/>
      <c r="C910" s="160"/>
      <c r="D910" s="160"/>
      <c r="E910" s="173"/>
      <c r="F910" s="174"/>
      <c r="G910" s="175"/>
      <c r="H910" s="175"/>
      <c r="I910" s="171"/>
      <c r="J910" s="176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</row>
    <row r="911" spans="1:29" ht="13.2" x14ac:dyDescent="0.25">
      <c r="A911" s="171"/>
      <c r="B911" s="172"/>
      <c r="C911" s="160"/>
      <c r="D911" s="160"/>
      <c r="E911" s="173"/>
      <c r="F911" s="174"/>
      <c r="G911" s="175"/>
      <c r="H911" s="175"/>
      <c r="I911" s="171"/>
      <c r="J911" s="176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</row>
    <row r="912" spans="1:29" ht="13.2" x14ac:dyDescent="0.25">
      <c r="A912" s="171"/>
      <c r="B912" s="172"/>
      <c r="C912" s="160"/>
      <c r="D912" s="160"/>
      <c r="E912" s="173"/>
      <c r="F912" s="174"/>
      <c r="G912" s="175"/>
      <c r="H912" s="175"/>
      <c r="I912" s="171"/>
      <c r="J912" s="176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</row>
    <row r="913" spans="1:29" ht="13.2" x14ac:dyDescent="0.25">
      <c r="A913" s="171"/>
      <c r="B913" s="172"/>
      <c r="C913" s="160"/>
      <c r="D913" s="160"/>
      <c r="E913" s="173"/>
      <c r="F913" s="174"/>
      <c r="G913" s="175"/>
      <c r="H913" s="175"/>
      <c r="I913" s="171"/>
      <c r="J913" s="176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</row>
    <row r="914" spans="1:29" ht="13.2" x14ac:dyDescent="0.25">
      <c r="A914" s="171"/>
      <c r="B914" s="172"/>
      <c r="C914" s="160"/>
      <c r="D914" s="160"/>
      <c r="E914" s="173"/>
      <c r="F914" s="174"/>
      <c r="G914" s="175"/>
      <c r="H914" s="175"/>
      <c r="I914" s="171"/>
      <c r="J914" s="176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</row>
    <row r="915" spans="1:29" ht="13.2" x14ac:dyDescent="0.25">
      <c r="A915" s="171"/>
      <c r="B915" s="172"/>
      <c r="C915" s="160"/>
      <c r="D915" s="160"/>
      <c r="E915" s="173"/>
      <c r="F915" s="174"/>
      <c r="G915" s="175"/>
      <c r="H915" s="175"/>
      <c r="I915" s="171"/>
      <c r="J915" s="176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</row>
    <row r="916" spans="1:29" ht="13.2" x14ac:dyDescent="0.25">
      <c r="A916" s="171"/>
      <c r="B916" s="172"/>
      <c r="C916" s="160"/>
      <c r="D916" s="160"/>
      <c r="E916" s="173"/>
      <c r="F916" s="174"/>
      <c r="G916" s="175"/>
      <c r="H916" s="175"/>
      <c r="I916" s="171"/>
      <c r="J916" s="176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</row>
    <row r="917" spans="1:29" ht="13.2" x14ac:dyDescent="0.25">
      <c r="A917" s="171"/>
      <c r="B917" s="172"/>
      <c r="C917" s="160"/>
      <c r="D917" s="160"/>
      <c r="E917" s="173"/>
      <c r="F917" s="174"/>
      <c r="G917" s="175"/>
      <c r="H917" s="175"/>
      <c r="I917" s="171"/>
      <c r="J917" s="176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</row>
    <row r="918" spans="1:29" ht="13.2" x14ac:dyDescent="0.25">
      <c r="A918" s="171"/>
      <c r="B918" s="172"/>
      <c r="C918" s="160"/>
      <c r="D918" s="160"/>
      <c r="E918" s="173"/>
      <c r="F918" s="174"/>
      <c r="G918" s="175"/>
      <c r="H918" s="175"/>
      <c r="I918" s="171"/>
      <c r="J918" s="176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</row>
    <row r="919" spans="1:29" ht="13.2" x14ac:dyDescent="0.25">
      <c r="A919" s="171"/>
      <c r="B919" s="172"/>
      <c r="C919" s="160"/>
      <c r="D919" s="160"/>
      <c r="E919" s="173"/>
      <c r="F919" s="174"/>
      <c r="G919" s="175"/>
      <c r="H919" s="175"/>
      <c r="I919" s="171"/>
      <c r="J919" s="176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</row>
    <row r="920" spans="1:29" ht="13.2" x14ac:dyDescent="0.25">
      <c r="A920" s="171"/>
      <c r="B920" s="172"/>
      <c r="C920" s="160"/>
      <c r="D920" s="160"/>
      <c r="E920" s="173"/>
      <c r="F920" s="174"/>
      <c r="G920" s="175"/>
      <c r="H920" s="175"/>
      <c r="I920" s="171"/>
      <c r="J920" s="176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</row>
    <row r="921" spans="1:29" ht="13.2" x14ac:dyDescent="0.25">
      <c r="A921" s="171"/>
      <c r="B921" s="172"/>
      <c r="C921" s="160"/>
      <c r="D921" s="160"/>
      <c r="E921" s="173"/>
      <c r="F921" s="174"/>
      <c r="G921" s="175"/>
      <c r="H921" s="175"/>
      <c r="I921" s="171"/>
      <c r="J921" s="176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</row>
    <row r="922" spans="1:29" ht="13.2" x14ac:dyDescent="0.25">
      <c r="A922" s="171"/>
      <c r="B922" s="172"/>
      <c r="C922" s="160"/>
      <c r="D922" s="160"/>
      <c r="E922" s="173"/>
      <c r="F922" s="174"/>
      <c r="G922" s="175"/>
      <c r="H922" s="175"/>
      <c r="I922" s="171"/>
      <c r="J922" s="176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</row>
    <row r="923" spans="1:29" ht="13.2" x14ac:dyDescent="0.25">
      <c r="A923" s="171"/>
      <c r="B923" s="172"/>
      <c r="C923" s="160"/>
      <c r="D923" s="160"/>
      <c r="E923" s="173"/>
      <c r="F923" s="174"/>
      <c r="G923" s="175"/>
      <c r="H923" s="175"/>
      <c r="I923" s="171"/>
      <c r="J923" s="176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</row>
    <row r="924" spans="1:29" ht="13.2" x14ac:dyDescent="0.25">
      <c r="A924" s="171"/>
      <c r="B924" s="172"/>
      <c r="C924" s="160"/>
      <c r="D924" s="160"/>
      <c r="E924" s="173"/>
      <c r="F924" s="174"/>
      <c r="G924" s="175"/>
      <c r="H924" s="175"/>
      <c r="I924" s="171"/>
      <c r="J924" s="176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</row>
    <row r="925" spans="1:29" ht="13.2" x14ac:dyDescent="0.25">
      <c r="A925" s="171"/>
      <c r="B925" s="172"/>
      <c r="C925" s="160"/>
      <c r="D925" s="160"/>
      <c r="E925" s="173"/>
      <c r="F925" s="174"/>
      <c r="G925" s="175"/>
      <c r="H925" s="175"/>
      <c r="I925" s="171"/>
      <c r="J925" s="176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</row>
    <row r="926" spans="1:29" ht="13.2" x14ac:dyDescent="0.25">
      <c r="A926" s="171"/>
      <c r="B926" s="172"/>
      <c r="C926" s="160"/>
      <c r="D926" s="160"/>
      <c r="E926" s="173"/>
      <c r="F926" s="174"/>
      <c r="G926" s="175"/>
      <c r="H926" s="175"/>
      <c r="I926" s="171"/>
      <c r="J926" s="176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</row>
    <row r="927" spans="1:29" ht="13.2" x14ac:dyDescent="0.25">
      <c r="A927" s="171"/>
      <c r="B927" s="172"/>
      <c r="C927" s="160"/>
      <c r="D927" s="160"/>
      <c r="E927" s="173"/>
      <c r="F927" s="174"/>
      <c r="G927" s="175"/>
      <c r="H927" s="175"/>
      <c r="I927" s="171"/>
      <c r="J927" s="176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</row>
    <row r="928" spans="1:29" ht="13.2" x14ac:dyDescent="0.25">
      <c r="A928" s="171"/>
      <c r="B928" s="172"/>
      <c r="C928" s="160"/>
      <c r="D928" s="160"/>
      <c r="E928" s="173"/>
      <c r="F928" s="174"/>
      <c r="G928" s="175"/>
      <c r="H928" s="175"/>
      <c r="I928" s="171"/>
      <c r="J928" s="176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</row>
    <row r="929" spans="1:29" ht="13.2" x14ac:dyDescent="0.25">
      <c r="A929" s="171"/>
      <c r="B929" s="172"/>
      <c r="C929" s="160"/>
      <c r="D929" s="160"/>
      <c r="E929" s="173"/>
      <c r="F929" s="174"/>
      <c r="G929" s="175"/>
      <c r="H929" s="175"/>
      <c r="I929" s="171"/>
      <c r="J929" s="176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</row>
    <row r="930" spans="1:29" ht="13.2" x14ac:dyDescent="0.25">
      <c r="A930" s="171"/>
      <c r="B930" s="172"/>
      <c r="C930" s="160"/>
      <c r="D930" s="160"/>
      <c r="E930" s="173"/>
      <c r="F930" s="174"/>
      <c r="G930" s="175"/>
      <c r="H930" s="175"/>
      <c r="I930" s="171"/>
      <c r="J930" s="176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</row>
    <row r="931" spans="1:29" ht="13.2" x14ac:dyDescent="0.25">
      <c r="A931" s="171"/>
      <c r="B931" s="172"/>
      <c r="C931" s="160"/>
      <c r="D931" s="160"/>
      <c r="E931" s="173"/>
      <c r="F931" s="174"/>
      <c r="G931" s="175"/>
      <c r="H931" s="175"/>
      <c r="I931" s="171"/>
      <c r="J931" s="176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</row>
    <row r="932" spans="1:29" ht="13.2" x14ac:dyDescent="0.25">
      <c r="A932" s="171"/>
      <c r="B932" s="172"/>
      <c r="C932" s="160"/>
      <c r="D932" s="160"/>
      <c r="E932" s="173"/>
      <c r="F932" s="174"/>
      <c r="G932" s="175"/>
      <c r="H932" s="175"/>
      <c r="I932" s="171"/>
      <c r="J932" s="176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</row>
    <row r="933" spans="1:29" ht="13.2" x14ac:dyDescent="0.25">
      <c r="A933" s="171"/>
      <c r="B933" s="172"/>
      <c r="C933" s="160"/>
      <c r="D933" s="160"/>
      <c r="E933" s="173"/>
      <c r="F933" s="174"/>
      <c r="G933" s="175"/>
      <c r="H933" s="175"/>
      <c r="I933" s="171"/>
      <c r="J933" s="176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</row>
    <row r="934" spans="1:29" ht="13.2" x14ac:dyDescent="0.25">
      <c r="A934" s="171"/>
      <c r="B934" s="172"/>
      <c r="C934" s="160"/>
      <c r="D934" s="160"/>
      <c r="E934" s="173"/>
      <c r="F934" s="174"/>
      <c r="G934" s="175"/>
      <c r="H934" s="175"/>
      <c r="I934" s="171"/>
      <c r="J934" s="176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</row>
    <row r="935" spans="1:29" ht="13.2" x14ac:dyDescent="0.25">
      <c r="A935" s="171"/>
      <c r="B935" s="172"/>
      <c r="C935" s="160"/>
      <c r="D935" s="160"/>
      <c r="E935" s="173"/>
      <c r="F935" s="174"/>
      <c r="G935" s="175"/>
      <c r="H935" s="175"/>
      <c r="I935" s="171"/>
      <c r="J935" s="176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</row>
    <row r="936" spans="1:29" ht="13.2" x14ac:dyDescent="0.25">
      <c r="A936" s="171"/>
      <c r="B936" s="172"/>
      <c r="C936" s="160"/>
      <c r="D936" s="160"/>
      <c r="E936" s="173"/>
      <c r="F936" s="174"/>
      <c r="G936" s="175"/>
      <c r="H936" s="175"/>
      <c r="I936" s="171"/>
      <c r="J936" s="176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</row>
    <row r="937" spans="1:29" ht="13.2" x14ac:dyDescent="0.25">
      <c r="A937" s="171"/>
      <c r="B937" s="172"/>
      <c r="C937" s="160"/>
      <c r="D937" s="160"/>
      <c r="E937" s="173"/>
      <c r="F937" s="174"/>
      <c r="G937" s="175"/>
      <c r="H937" s="175"/>
      <c r="I937" s="171"/>
      <c r="J937" s="176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</row>
    <row r="938" spans="1:29" ht="13.2" x14ac:dyDescent="0.25">
      <c r="A938" s="171"/>
      <c r="B938" s="172"/>
      <c r="C938" s="160"/>
      <c r="D938" s="160"/>
      <c r="E938" s="173"/>
      <c r="F938" s="174"/>
      <c r="G938" s="175"/>
      <c r="H938" s="175"/>
      <c r="I938" s="171"/>
      <c r="J938" s="176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</row>
    <row r="939" spans="1:29" ht="13.2" x14ac:dyDescent="0.25">
      <c r="A939" s="171"/>
      <c r="B939" s="172"/>
      <c r="C939" s="160"/>
      <c r="D939" s="160"/>
      <c r="E939" s="173"/>
      <c r="F939" s="174"/>
      <c r="G939" s="175"/>
      <c r="H939" s="175"/>
      <c r="I939" s="171"/>
      <c r="J939" s="176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</row>
    <row r="940" spans="1:29" ht="13.2" x14ac:dyDescent="0.25">
      <c r="A940" s="171"/>
      <c r="B940" s="172"/>
      <c r="C940" s="160"/>
      <c r="D940" s="160"/>
      <c r="E940" s="173"/>
      <c r="F940" s="174"/>
      <c r="G940" s="175"/>
      <c r="H940" s="175"/>
      <c r="I940" s="171"/>
      <c r="J940" s="176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</row>
    <row r="941" spans="1:29" ht="13.2" x14ac:dyDescent="0.25">
      <c r="A941" s="171"/>
      <c r="B941" s="172"/>
      <c r="C941" s="160"/>
      <c r="D941" s="160"/>
      <c r="E941" s="173"/>
      <c r="F941" s="174"/>
      <c r="G941" s="175"/>
      <c r="H941" s="175"/>
      <c r="I941" s="171"/>
      <c r="J941" s="176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</row>
    <row r="942" spans="1:29" ht="13.2" x14ac:dyDescent="0.25">
      <c r="A942" s="171"/>
      <c r="B942" s="172"/>
      <c r="C942" s="160"/>
      <c r="D942" s="160"/>
      <c r="E942" s="173"/>
      <c r="F942" s="174"/>
      <c r="G942" s="175"/>
      <c r="H942" s="175"/>
      <c r="I942" s="171"/>
      <c r="J942" s="176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</row>
    <row r="943" spans="1:29" ht="13.2" x14ac:dyDescent="0.25">
      <c r="A943" s="171"/>
      <c r="B943" s="172"/>
      <c r="C943" s="160"/>
      <c r="D943" s="160"/>
      <c r="E943" s="173"/>
      <c r="F943" s="174"/>
      <c r="G943" s="175"/>
      <c r="H943" s="175"/>
      <c r="I943" s="171"/>
      <c r="J943" s="176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</row>
    <row r="944" spans="1:29" ht="13.2" x14ac:dyDescent="0.25">
      <c r="A944" s="171"/>
      <c r="B944" s="172"/>
      <c r="C944" s="160"/>
      <c r="D944" s="160"/>
      <c r="E944" s="173"/>
      <c r="F944" s="174"/>
      <c r="G944" s="175"/>
      <c r="H944" s="175"/>
      <c r="I944" s="171"/>
      <c r="J944" s="176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</row>
    <row r="945" spans="1:29" ht="13.2" x14ac:dyDescent="0.25">
      <c r="A945" s="171"/>
      <c r="B945" s="172"/>
      <c r="C945" s="160"/>
      <c r="D945" s="160"/>
      <c r="E945" s="173"/>
      <c r="F945" s="174"/>
      <c r="G945" s="175"/>
      <c r="H945" s="175"/>
      <c r="I945" s="171"/>
      <c r="J945" s="176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</row>
    <row r="946" spans="1:29" ht="13.2" x14ac:dyDescent="0.25">
      <c r="A946" s="171"/>
      <c r="B946" s="172"/>
      <c r="C946" s="160"/>
      <c r="D946" s="160"/>
      <c r="E946" s="173"/>
      <c r="F946" s="174"/>
      <c r="G946" s="175"/>
      <c r="H946" s="175"/>
      <c r="I946" s="171"/>
      <c r="J946" s="176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</row>
    <row r="947" spans="1:29" ht="13.2" x14ac:dyDescent="0.25">
      <c r="A947" s="171"/>
      <c r="B947" s="172"/>
      <c r="C947" s="160"/>
      <c r="D947" s="160"/>
      <c r="E947" s="173"/>
      <c r="F947" s="174"/>
      <c r="G947" s="175"/>
      <c r="H947" s="175"/>
      <c r="I947" s="171"/>
      <c r="J947" s="176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</row>
    <row r="948" spans="1:29" ht="13.2" x14ac:dyDescent="0.25">
      <c r="A948" s="171"/>
      <c r="B948" s="172"/>
      <c r="C948" s="160"/>
      <c r="D948" s="160"/>
      <c r="E948" s="173"/>
      <c r="F948" s="174"/>
      <c r="G948" s="175"/>
      <c r="H948" s="175"/>
      <c r="I948" s="171"/>
      <c r="J948" s="176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</row>
    <row r="949" spans="1:29" ht="13.2" x14ac:dyDescent="0.25">
      <c r="A949" s="171"/>
      <c r="B949" s="172"/>
      <c r="C949" s="160"/>
      <c r="D949" s="160"/>
      <c r="E949" s="173"/>
      <c r="F949" s="174"/>
      <c r="G949" s="175"/>
      <c r="H949" s="175"/>
      <c r="I949" s="171"/>
      <c r="J949" s="176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</row>
    <row r="950" spans="1:29" ht="13.2" x14ac:dyDescent="0.25">
      <c r="A950" s="171"/>
      <c r="B950" s="172"/>
      <c r="C950" s="160"/>
      <c r="D950" s="160"/>
      <c r="E950" s="173"/>
      <c r="F950" s="174"/>
      <c r="G950" s="175"/>
      <c r="H950" s="175"/>
      <c r="I950" s="171"/>
      <c r="J950" s="176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</row>
    <row r="951" spans="1:29" ht="13.2" x14ac:dyDescent="0.25">
      <c r="A951" s="171"/>
      <c r="B951" s="172"/>
      <c r="C951" s="160"/>
      <c r="D951" s="160"/>
      <c r="E951" s="173"/>
      <c r="F951" s="174"/>
      <c r="G951" s="175"/>
      <c r="H951" s="175"/>
      <c r="I951" s="171"/>
      <c r="J951" s="176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</row>
    <row r="952" spans="1:29" ht="13.2" x14ac:dyDescent="0.25">
      <c r="A952" s="171"/>
      <c r="B952" s="172"/>
      <c r="C952" s="160"/>
      <c r="D952" s="160"/>
      <c r="E952" s="173"/>
      <c r="F952" s="174"/>
      <c r="G952" s="175"/>
      <c r="H952" s="175"/>
      <c r="I952" s="171"/>
      <c r="J952" s="176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</row>
    <row r="953" spans="1:29" ht="13.2" x14ac:dyDescent="0.25">
      <c r="A953" s="171"/>
      <c r="B953" s="172"/>
      <c r="C953" s="160"/>
      <c r="D953" s="160"/>
      <c r="E953" s="173"/>
      <c r="F953" s="174"/>
      <c r="G953" s="175"/>
      <c r="H953" s="175"/>
      <c r="I953" s="171"/>
      <c r="J953" s="176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</row>
    <row r="954" spans="1:29" ht="13.2" x14ac:dyDescent="0.25">
      <c r="A954" s="171"/>
      <c r="B954" s="172"/>
      <c r="C954" s="160"/>
      <c r="D954" s="160"/>
      <c r="E954" s="173"/>
      <c r="F954" s="174"/>
      <c r="G954" s="175"/>
      <c r="H954" s="175"/>
      <c r="I954" s="171"/>
      <c r="J954" s="176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</row>
    <row r="955" spans="1:29" ht="13.2" x14ac:dyDescent="0.25">
      <c r="A955" s="171"/>
      <c r="B955" s="172"/>
      <c r="C955" s="160"/>
      <c r="D955" s="160"/>
      <c r="E955" s="173"/>
      <c r="F955" s="174"/>
      <c r="G955" s="175"/>
      <c r="H955" s="175"/>
      <c r="I955" s="171"/>
      <c r="J955" s="176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</row>
    <row r="956" spans="1:29" ht="13.2" x14ac:dyDescent="0.25">
      <c r="A956" s="171"/>
      <c r="B956" s="172"/>
      <c r="C956" s="160"/>
      <c r="D956" s="160"/>
      <c r="E956" s="173"/>
      <c r="F956" s="174"/>
      <c r="G956" s="175"/>
      <c r="H956" s="175"/>
      <c r="I956" s="171"/>
      <c r="J956" s="176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</row>
    <row r="957" spans="1:29" ht="13.2" x14ac:dyDescent="0.25">
      <c r="A957" s="171"/>
      <c r="B957" s="172"/>
      <c r="C957" s="160"/>
      <c r="D957" s="160"/>
      <c r="E957" s="173"/>
      <c r="F957" s="174"/>
      <c r="G957" s="175"/>
      <c r="H957" s="175"/>
      <c r="I957" s="171"/>
      <c r="J957" s="176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</row>
    <row r="958" spans="1:29" ht="13.2" x14ac:dyDescent="0.25">
      <c r="A958" s="171"/>
      <c r="B958" s="172"/>
      <c r="C958" s="160"/>
      <c r="D958" s="160"/>
      <c r="E958" s="173"/>
      <c r="F958" s="174"/>
      <c r="G958" s="175"/>
      <c r="H958" s="175"/>
      <c r="I958" s="171"/>
      <c r="J958" s="176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</row>
    <row r="959" spans="1:29" ht="13.2" x14ac:dyDescent="0.25">
      <c r="A959" s="171"/>
      <c r="B959" s="172"/>
      <c r="C959" s="160"/>
      <c r="D959" s="160"/>
      <c r="E959" s="173"/>
      <c r="F959" s="174"/>
      <c r="G959" s="175"/>
      <c r="H959" s="175"/>
      <c r="I959" s="171"/>
      <c r="J959" s="176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</row>
    <row r="960" spans="1:29" ht="13.2" x14ac:dyDescent="0.25">
      <c r="A960" s="171"/>
      <c r="B960" s="172"/>
      <c r="C960" s="160"/>
      <c r="D960" s="160"/>
      <c r="E960" s="173"/>
      <c r="F960" s="174"/>
      <c r="G960" s="175"/>
      <c r="H960" s="175"/>
      <c r="I960" s="171"/>
      <c r="J960" s="176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</row>
    <row r="961" spans="1:29" ht="13.2" x14ac:dyDescent="0.25">
      <c r="A961" s="171"/>
      <c r="B961" s="172"/>
      <c r="C961" s="160"/>
      <c r="D961" s="160"/>
      <c r="E961" s="173"/>
      <c r="F961" s="174"/>
      <c r="G961" s="175"/>
      <c r="H961" s="175"/>
      <c r="I961" s="171"/>
      <c r="J961" s="176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</row>
    <row r="962" spans="1:29" ht="13.2" x14ac:dyDescent="0.25">
      <c r="A962" s="171"/>
      <c r="B962" s="172"/>
      <c r="C962" s="160"/>
      <c r="D962" s="160"/>
      <c r="E962" s="173"/>
      <c r="F962" s="174"/>
      <c r="G962" s="175"/>
      <c r="H962" s="175"/>
      <c r="I962" s="171"/>
      <c r="J962" s="176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</row>
    <row r="963" spans="1:29" ht="13.2" x14ac:dyDescent="0.25">
      <c r="A963" s="171"/>
      <c r="B963" s="172"/>
      <c r="C963" s="160"/>
      <c r="D963" s="160"/>
      <c r="E963" s="173"/>
      <c r="F963" s="174"/>
      <c r="G963" s="175"/>
      <c r="H963" s="175"/>
      <c r="I963" s="171"/>
      <c r="J963" s="176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</row>
    <row r="964" spans="1:29" ht="13.2" x14ac:dyDescent="0.25">
      <c r="A964" s="171"/>
      <c r="B964" s="172"/>
      <c r="C964" s="160"/>
      <c r="D964" s="160"/>
      <c r="E964" s="173"/>
      <c r="F964" s="174"/>
      <c r="G964" s="175"/>
      <c r="H964" s="175"/>
      <c r="I964" s="171"/>
      <c r="J964" s="176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</row>
    <row r="965" spans="1:29" ht="13.2" x14ac:dyDescent="0.25">
      <c r="A965" s="171"/>
      <c r="B965" s="172"/>
      <c r="C965" s="160"/>
      <c r="D965" s="160"/>
      <c r="E965" s="173"/>
      <c r="F965" s="174"/>
      <c r="G965" s="175"/>
      <c r="H965" s="175"/>
      <c r="I965" s="171"/>
      <c r="J965" s="176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</row>
    <row r="966" spans="1:29" ht="13.2" x14ac:dyDescent="0.25">
      <c r="A966" s="171"/>
      <c r="B966" s="172"/>
      <c r="C966" s="160"/>
      <c r="D966" s="160"/>
      <c r="E966" s="173"/>
      <c r="F966" s="174"/>
      <c r="G966" s="175"/>
      <c r="H966" s="175"/>
      <c r="I966" s="171"/>
      <c r="J966" s="176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</row>
    <row r="967" spans="1:29" ht="13.2" x14ac:dyDescent="0.25">
      <c r="A967" s="171"/>
      <c r="B967" s="172"/>
      <c r="C967" s="160"/>
      <c r="D967" s="160"/>
      <c r="E967" s="173"/>
      <c r="F967" s="174"/>
      <c r="G967" s="175"/>
      <c r="H967" s="175"/>
      <c r="I967" s="171"/>
      <c r="J967" s="176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</row>
    <row r="968" spans="1:29" ht="13.2" x14ac:dyDescent="0.25">
      <c r="A968" s="171"/>
      <c r="B968" s="172"/>
      <c r="C968" s="160"/>
      <c r="D968" s="160"/>
      <c r="E968" s="173"/>
      <c r="F968" s="174"/>
      <c r="G968" s="175"/>
      <c r="H968" s="175"/>
      <c r="I968" s="171"/>
      <c r="J968" s="176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</row>
    <row r="969" spans="1:29" ht="13.2" x14ac:dyDescent="0.25">
      <c r="A969" s="171"/>
      <c r="B969" s="172"/>
      <c r="C969" s="160"/>
      <c r="D969" s="160"/>
      <c r="E969" s="173"/>
      <c r="F969" s="174"/>
      <c r="G969" s="175"/>
      <c r="H969" s="175"/>
      <c r="I969" s="171"/>
      <c r="J969" s="176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</row>
    <row r="970" spans="1:29" ht="13.2" x14ac:dyDescent="0.25">
      <c r="A970" s="171"/>
      <c r="B970" s="172"/>
      <c r="C970" s="160"/>
      <c r="D970" s="160"/>
      <c r="E970" s="173"/>
      <c r="F970" s="174"/>
      <c r="G970" s="175"/>
      <c r="H970" s="175"/>
      <c r="I970" s="171"/>
      <c r="J970" s="176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</row>
    <row r="971" spans="1:29" ht="13.2" x14ac:dyDescent="0.25">
      <c r="A971" s="171"/>
      <c r="B971" s="172"/>
      <c r="C971" s="160"/>
      <c r="D971" s="160"/>
      <c r="E971" s="173"/>
      <c r="F971" s="174"/>
      <c r="G971" s="175"/>
      <c r="H971" s="175"/>
      <c r="I971" s="171"/>
      <c r="J971" s="176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</row>
    <row r="972" spans="1:29" ht="13.2" x14ac:dyDescent="0.25">
      <c r="A972" s="171"/>
      <c r="B972" s="172"/>
      <c r="C972" s="160"/>
      <c r="D972" s="160"/>
      <c r="E972" s="173"/>
      <c r="F972" s="174"/>
      <c r="G972" s="175"/>
      <c r="H972" s="175"/>
      <c r="I972" s="171"/>
      <c r="J972" s="176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</row>
    <row r="973" spans="1:29" ht="13.2" x14ac:dyDescent="0.25">
      <c r="A973" s="171"/>
      <c r="B973" s="172"/>
      <c r="C973" s="160"/>
      <c r="D973" s="160"/>
      <c r="E973" s="173"/>
      <c r="F973" s="174"/>
      <c r="G973" s="175"/>
      <c r="H973" s="175"/>
      <c r="I973" s="171"/>
      <c r="J973" s="176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</row>
    <row r="974" spans="1:29" ht="13.2" x14ac:dyDescent="0.25">
      <c r="A974" s="171"/>
      <c r="B974" s="172"/>
      <c r="C974" s="160"/>
      <c r="D974" s="160"/>
      <c r="E974" s="173"/>
      <c r="F974" s="174"/>
      <c r="G974" s="175"/>
      <c r="H974" s="175"/>
      <c r="I974" s="171"/>
      <c r="J974" s="176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</row>
    <row r="975" spans="1:29" ht="13.2" x14ac:dyDescent="0.25">
      <c r="A975" s="171"/>
      <c r="B975" s="172"/>
      <c r="C975" s="160"/>
      <c r="D975" s="160"/>
      <c r="E975" s="173"/>
      <c r="F975" s="174"/>
      <c r="G975" s="175"/>
      <c r="H975" s="175"/>
      <c r="I975" s="171"/>
      <c r="J975" s="176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</row>
    <row r="976" spans="1:29" ht="13.2" x14ac:dyDescent="0.25">
      <c r="A976" s="171"/>
      <c r="B976" s="172"/>
      <c r="C976" s="160"/>
      <c r="D976" s="160"/>
      <c r="E976" s="173"/>
      <c r="F976" s="174"/>
      <c r="G976" s="175"/>
      <c r="H976" s="175"/>
      <c r="I976" s="171"/>
      <c r="J976" s="176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</row>
    <row r="977" spans="1:29" ht="13.2" x14ac:dyDescent="0.25">
      <c r="A977" s="171"/>
      <c r="B977" s="172"/>
      <c r="C977" s="160"/>
      <c r="D977" s="160"/>
      <c r="E977" s="173"/>
      <c r="F977" s="174"/>
      <c r="G977" s="175"/>
      <c r="H977" s="175"/>
      <c r="I977" s="171"/>
      <c r="J977" s="176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</row>
    <row r="978" spans="1:29" ht="13.2" x14ac:dyDescent="0.25">
      <c r="A978" s="171"/>
      <c r="B978" s="172"/>
      <c r="C978" s="160"/>
      <c r="D978" s="160"/>
      <c r="E978" s="173"/>
      <c r="F978" s="174"/>
      <c r="G978" s="175"/>
      <c r="H978" s="175"/>
      <c r="I978" s="171"/>
      <c r="J978" s="176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</row>
    <row r="979" spans="1:29" ht="13.2" x14ac:dyDescent="0.25">
      <c r="A979" s="171"/>
      <c r="B979" s="172"/>
      <c r="C979" s="160"/>
      <c r="D979" s="160"/>
      <c r="E979" s="173"/>
      <c r="F979" s="174"/>
      <c r="G979" s="175"/>
      <c r="H979" s="175"/>
      <c r="I979" s="171"/>
      <c r="J979" s="176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  <c r="AA979" s="160"/>
      <c r="AB979" s="160"/>
      <c r="AC979" s="160"/>
    </row>
    <row r="980" spans="1:29" ht="13.2" x14ac:dyDescent="0.25">
      <c r="A980" s="171"/>
      <c r="B980" s="172"/>
      <c r="C980" s="160"/>
      <c r="D980" s="160"/>
      <c r="E980" s="173"/>
      <c r="F980" s="174"/>
      <c r="G980" s="175"/>
      <c r="H980" s="175"/>
      <c r="I980" s="171"/>
      <c r="J980" s="176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0"/>
      <c r="AB980" s="160"/>
      <c r="AC980" s="160"/>
    </row>
  </sheetData>
  <autoFilter ref="A2:AC139">
    <sortState ref="A2:AC139">
      <sortCondition ref="C2:C139"/>
    </sortState>
  </autoFilter>
  <dataValidations count="3">
    <dataValidation type="list" allowBlank="1" sqref="H3:H321 H322:I980">
      <formula1>"Done,Progressing,Unpaid,Cancel"</formula1>
    </dataValidation>
    <dataValidation type="list" allowBlank="1" sqref="I3:I321">
      <formula1>"Có hiệu lực,Chờ,Hết hiệu lực,Cancel"</formula1>
    </dataValidation>
    <dataValidation type="list" allowBlank="1" showErrorMessage="1" sqref="G3:G980">
      <formula1>"Done,Progressing,Cancel"</formula1>
    </dataValidation>
  </dataValidations>
  <pageMargins left="0.25" right="0.25" top="0.75" bottom="0.75" header="0" footer="0"/>
  <pageSetup paperSize="9" scale="6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K9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9.88671875" customWidth="1"/>
    <col min="4" max="4" width="16" customWidth="1"/>
    <col min="5" max="5" width="14.77734375" customWidth="1"/>
    <col min="6" max="6" width="43.88671875" customWidth="1"/>
    <col min="7" max="7" width="17.21875" customWidth="1"/>
    <col min="8" max="8" width="7.88671875" customWidth="1"/>
    <col min="9" max="9" width="14.6640625" customWidth="1"/>
    <col min="10" max="10" width="8.109375" customWidth="1"/>
    <col min="11" max="11" width="14.6640625" customWidth="1"/>
    <col min="12" max="12" width="14.88671875" customWidth="1"/>
    <col min="13" max="13" width="13.88671875" customWidth="1"/>
    <col min="14" max="14" width="24.77734375" customWidth="1"/>
  </cols>
  <sheetData>
    <row r="1" spans="1:37" x14ac:dyDescent="0.25">
      <c r="A1" s="15" t="s">
        <v>0</v>
      </c>
      <c r="B1" s="15" t="s">
        <v>245</v>
      </c>
      <c r="C1" s="17"/>
      <c r="D1" s="17" t="s">
        <v>613</v>
      </c>
      <c r="E1" s="112" t="s">
        <v>595</v>
      </c>
      <c r="F1" s="18" t="s">
        <v>596</v>
      </c>
      <c r="G1" s="19" t="s">
        <v>6</v>
      </c>
      <c r="H1" s="20" t="s">
        <v>252</v>
      </c>
      <c r="I1" s="19" t="s">
        <v>614</v>
      </c>
      <c r="J1" s="19" t="s">
        <v>615</v>
      </c>
      <c r="K1" s="19" t="s">
        <v>616</v>
      </c>
      <c r="L1" s="21" t="s">
        <v>6</v>
      </c>
      <c r="M1" s="21" t="s">
        <v>256</v>
      </c>
      <c r="N1" s="16" t="s">
        <v>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x14ac:dyDescent="0.25">
      <c r="A2" s="15"/>
      <c r="B2" s="15"/>
      <c r="C2" s="17"/>
      <c r="D2" s="17"/>
      <c r="E2" s="112"/>
      <c r="F2" s="18"/>
      <c r="G2" s="19"/>
      <c r="H2" s="20"/>
      <c r="I2" s="19"/>
      <c r="J2" s="19"/>
      <c r="K2" s="19"/>
      <c r="L2" s="21" t="s">
        <v>598</v>
      </c>
      <c r="M2" s="21" t="s">
        <v>260</v>
      </c>
      <c r="N2" s="16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x14ac:dyDescent="0.25">
      <c r="A3" s="46">
        <f t="shared" ref="A3:A122" si="0">IF(C3="","",SUBTOTAL(3,$C$3:C3))</f>
        <v>1</v>
      </c>
      <c r="B3" s="129" t="s">
        <v>48</v>
      </c>
      <c r="C3" s="153" t="s">
        <v>18</v>
      </c>
      <c r="D3" s="177" t="str">
        <f t="shared" ref="D3:D76" si="1">C3 &amp;"/ST/2025"</f>
        <v>001/ST/2025</v>
      </c>
      <c r="E3" s="131">
        <v>45658</v>
      </c>
      <c r="F3" s="136" t="s">
        <v>261</v>
      </c>
      <c r="G3" s="178">
        <v>2000000</v>
      </c>
      <c r="H3" s="179">
        <v>0.08</v>
      </c>
      <c r="I3" s="178">
        <f t="shared" ref="I3:I16" si="2">G3*H3</f>
        <v>160000</v>
      </c>
      <c r="J3" s="55"/>
      <c r="K3" s="55">
        <f t="shared" ref="K3:K18" si="3">G3+I3-J3</f>
        <v>2160000</v>
      </c>
      <c r="L3" s="127" t="s">
        <v>600</v>
      </c>
      <c r="M3" s="127" t="s">
        <v>382</v>
      </c>
      <c r="N3" s="49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</row>
    <row r="4" spans="1:37" x14ac:dyDescent="0.25">
      <c r="A4" s="46">
        <f t="shared" si="0"/>
        <v>2</v>
      </c>
      <c r="B4" s="129" t="s">
        <v>50</v>
      </c>
      <c r="C4" s="153" t="s">
        <v>22</v>
      </c>
      <c r="D4" s="177" t="str">
        <f t="shared" si="1"/>
        <v>002/ST/2025</v>
      </c>
      <c r="E4" s="131">
        <v>45658</v>
      </c>
      <c r="F4" s="136" t="s">
        <v>262</v>
      </c>
      <c r="G4" s="178">
        <v>2000000</v>
      </c>
      <c r="H4" s="179">
        <v>0.08</v>
      </c>
      <c r="I4" s="178">
        <f t="shared" si="2"/>
        <v>160000</v>
      </c>
      <c r="J4" s="55"/>
      <c r="K4" s="55">
        <f t="shared" si="3"/>
        <v>2160000</v>
      </c>
      <c r="L4" s="127" t="s">
        <v>600</v>
      </c>
      <c r="M4" s="127" t="s">
        <v>382</v>
      </c>
      <c r="N4" s="49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</row>
    <row r="5" spans="1:37" x14ac:dyDescent="0.25">
      <c r="A5" s="46">
        <f t="shared" si="0"/>
        <v>3</v>
      </c>
      <c r="B5" s="129" t="s">
        <v>56</v>
      </c>
      <c r="C5" s="154" t="s">
        <v>24</v>
      </c>
      <c r="D5" s="177" t="str">
        <f t="shared" si="1"/>
        <v>003/ST/2025</v>
      </c>
      <c r="E5" s="131">
        <v>45658</v>
      </c>
      <c r="F5" s="136" t="s">
        <v>263</v>
      </c>
      <c r="G5" s="178">
        <v>3500000</v>
      </c>
      <c r="H5" s="179">
        <v>0.08</v>
      </c>
      <c r="I5" s="178">
        <f t="shared" si="2"/>
        <v>280000</v>
      </c>
      <c r="J5" s="55"/>
      <c r="K5" s="55">
        <f t="shared" si="3"/>
        <v>3780000</v>
      </c>
      <c r="L5" s="127" t="s">
        <v>600</v>
      </c>
      <c r="M5" s="127" t="s">
        <v>382</v>
      </c>
      <c r="N5" s="49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</row>
    <row r="6" spans="1:37" x14ac:dyDescent="0.25">
      <c r="A6" s="46">
        <f t="shared" si="0"/>
        <v>4</v>
      </c>
      <c r="B6" s="29" t="s">
        <v>264</v>
      </c>
      <c r="C6" s="154" t="s">
        <v>27</v>
      </c>
      <c r="D6" s="177" t="str">
        <f t="shared" si="1"/>
        <v>004/ST/2025</v>
      </c>
      <c r="E6" s="131">
        <v>45658</v>
      </c>
      <c r="F6" s="136" t="s">
        <v>261</v>
      </c>
      <c r="G6" s="30">
        <v>2000000</v>
      </c>
      <c r="H6" s="179">
        <v>0.08</v>
      </c>
      <c r="I6" s="178">
        <f t="shared" si="2"/>
        <v>160000</v>
      </c>
      <c r="J6" s="35"/>
      <c r="K6" s="55">
        <f t="shared" si="3"/>
        <v>2160000</v>
      </c>
      <c r="L6" s="127" t="s">
        <v>600</v>
      </c>
      <c r="M6" s="127" t="s">
        <v>382</v>
      </c>
      <c r="N6" s="41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7" x14ac:dyDescent="0.25">
      <c r="A7" s="46">
        <f t="shared" si="0"/>
        <v>5</v>
      </c>
      <c r="B7" s="129" t="s">
        <v>64</v>
      </c>
      <c r="C7" s="154" t="s">
        <v>29</v>
      </c>
      <c r="D7" s="177" t="str">
        <f t="shared" si="1"/>
        <v>005/ST/2025</v>
      </c>
      <c r="E7" s="131">
        <v>45658</v>
      </c>
      <c r="F7" s="136" t="s">
        <v>265</v>
      </c>
      <c r="G7" s="178">
        <v>2000000</v>
      </c>
      <c r="H7" s="179">
        <v>0.08</v>
      </c>
      <c r="I7" s="178">
        <f t="shared" si="2"/>
        <v>160000</v>
      </c>
      <c r="J7" s="55"/>
      <c r="K7" s="55">
        <f t="shared" si="3"/>
        <v>2160000</v>
      </c>
      <c r="L7" s="127" t="s">
        <v>600</v>
      </c>
      <c r="M7" s="127" t="s">
        <v>382</v>
      </c>
      <c r="N7" s="49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</row>
    <row r="8" spans="1:37" x14ac:dyDescent="0.25">
      <c r="A8" s="46">
        <f t="shared" si="0"/>
        <v>6</v>
      </c>
      <c r="B8" s="129" t="s">
        <v>166</v>
      </c>
      <c r="C8" s="154" t="s">
        <v>31</v>
      </c>
      <c r="D8" s="177" t="str">
        <f t="shared" si="1"/>
        <v>006/ST/2025</v>
      </c>
      <c r="E8" s="131">
        <v>45658</v>
      </c>
      <c r="F8" s="136" t="s">
        <v>262</v>
      </c>
      <c r="G8" s="178">
        <v>3500000</v>
      </c>
      <c r="H8" s="179">
        <v>0.08</v>
      </c>
      <c r="I8" s="178">
        <f t="shared" si="2"/>
        <v>280000</v>
      </c>
      <c r="J8" s="55"/>
      <c r="K8" s="55">
        <f t="shared" si="3"/>
        <v>3780000</v>
      </c>
      <c r="L8" s="127" t="s">
        <v>600</v>
      </c>
      <c r="M8" s="127" t="s">
        <v>382</v>
      </c>
      <c r="N8" s="49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</row>
    <row r="9" spans="1:37" x14ac:dyDescent="0.25">
      <c r="A9" s="46">
        <f t="shared" si="0"/>
        <v>7</v>
      </c>
      <c r="B9" s="129" t="s">
        <v>266</v>
      </c>
      <c r="C9" s="154" t="s">
        <v>33</v>
      </c>
      <c r="D9" s="177" t="str">
        <f t="shared" si="1"/>
        <v>007/ST/2025</v>
      </c>
      <c r="E9" s="131">
        <v>45658</v>
      </c>
      <c r="F9" s="136" t="s">
        <v>265</v>
      </c>
      <c r="G9" s="178">
        <v>2000000</v>
      </c>
      <c r="H9" s="179">
        <v>0.08</v>
      </c>
      <c r="I9" s="178">
        <f t="shared" si="2"/>
        <v>160000</v>
      </c>
      <c r="J9" s="55"/>
      <c r="K9" s="55">
        <f t="shared" si="3"/>
        <v>2160000</v>
      </c>
      <c r="L9" s="127" t="s">
        <v>600</v>
      </c>
      <c r="M9" s="127" t="s">
        <v>382</v>
      </c>
      <c r="N9" s="49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</row>
    <row r="10" spans="1:37" x14ac:dyDescent="0.25">
      <c r="A10" s="46">
        <f t="shared" si="0"/>
        <v>8</v>
      </c>
      <c r="B10" s="180" t="s">
        <v>44</v>
      </c>
      <c r="C10" s="154" t="s">
        <v>35</v>
      </c>
      <c r="D10" s="177" t="str">
        <f t="shared" si="1"/>
        <v>008/ST/2025</v>
      </c>
      <c r="E10" s="131">
        <v>45658</v>
      </c>
      <c r="F10" s="136" t="s">
        <v>261</v>
      </c>
      <c r="G10" s="178">
        <v>2000000</v>
      </c>
      <c r="H10" s="179">
        <v>0.08</v>
      </c>
      <c r="I10" s="178">
        <f t="shared" si="2"/>
        <v>160000</v>
      </c>
      <c r="J10" s="55"/>
      <c r="K10" s="55">
        <f t="shared" si="3"/>
        <v>2160000</v>
      </c>
      <c r="L10" s="127" t="s">
        <v>600</v>
      </c>
      <c r="M10" s="127" t="s">
        <v>382</v>
      </c>
      <c r="N10" s="49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</row>
    <row r="11" spans="1:37" x14ac:dyDescent="0.25">
      <c r="A11" s="46">
        <f t="shared" si="0"/>
        <v>9</v>
      </c>
      <c r="B11" s="181" t="s">
        <v>32</v>
      </c>
      <c r="C11" s="154" t="s">
        <v>37</v>
      </c>
      <c r="D11" s="177" t="str">
        <f t="shared" si="1"/>
        <v>009/ST/2025</v>
      </c>
      <c r="E11" s="182">
        <v>45665</v>
      </c>
      <c r="F11" s="183" t="s">
        <v>267</v>
      </c>
      <c r="G11" s="184">
        <f>2191000+643000</f>
        <v>2834000</v>
      </c>
      <c r="H11" s="179">
        <v>0</v>
      </c>
      <c r="I11" s="178">
        <f t="shared" si="2"/>
        <v>0</v>
      </c>
      <c r="J11" s="55"/>
      <c r="K11" s="55">
        <f t="shared" si="3"/>
        <v>2834000</v>
      </c>
      <c r="L11" s="127" t="s">
        <v>600</v>
      </c>
      <c r="M11" s="127" t="s">
        <v>382</v>
      </c>
      <c r="N11" s="185"/>
      <c r="O11" s="18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</row>
    <row r="12" spans="1:37" x14ac:dyDescent="0.25">
      <c r="A12" s="46">
        <f t="shared" si="0"/>
        <v>10</v>
      </c>
      <c r="B12" s="181" t="s">
        <v>68</v>
      </c>
      <c r="C12" s="154" t="s">
        <v>39</v>
      </c>
      <c r="D12" s="177" t="str">
        <f t="shared" si="1"/>
        <v>010/ST/2025</v>
      </c>
      <c r="E12" s="182">
        <v>45665</v>
      </c>
      <c r="F12" s="183" t="s">
        <v>268</v>
      </c>
      <c r="G12" s="187">
        <v>1276000</v>
      </c>
      <c r="H12" s="179">
        <v>0</v>
      </c>
      <c r="I12" s="178">
        <f t="shared" si="2"/>
        <v>0</v>
      </c>
      <c r="J12" s="55"/>
      <c r="K12" s="55">
        <f t="shared" si="3"/>
        <v>1276000</v>
      </c>
      <c r="L12" s="127" t="s">
        <v>600</v>
      </c>
      <c r="M12" s="127" t="s">
        <v>382</v>
      </c>
      <c r="N12" s="49"/>
      <c r="O12" s="18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</row>
    <row r="13" spans="1:37" x14ac:dyDescent="0.25">
      <c r="A13" s="46">
        <f t="shared" si="0"/>
        <v>11</v>
      </c>
      <c r="B13" s="181" t="s">
        <v>44</v>
      </c>
      <c r="C13" s="154" t="s">
        <v>41</v>
      </c>
      <c r="D13" s="177" t="str">
        <f t="shared" si="1"/>
        <v>011/ST/2025</v>
      </c>
      <c r="E13" s="182">
        <v>45666</v>
      </c>
      <c r="F13" s="183" t="s">
        <v>268</v>
      </c>
      <c r="G13" s="187">
        <v>1276000</v>
      </c>
      <c r="H13" s="179">
        <v>0</v>
      </c>
      <c r="I13" s="178">
        <f t="shared" si="2"/>
        <v>0</v>
      </c>
      <c r="J13" s="55"/>
      <c r="K13" s="55">
        <f t="shared" si="3"/>
        <v>1276000</v>
      </c>
      <c r="L13" s="127" t="s">
        <v>600</v>
      </c>
      <c r="M13" s="127" t="s">
        <v>382</v>
      </c>
      <c r="N13" s="49"/>
      <c r="O13" s="18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</row>
    <row r="14" spans="1:37" x14ac:dyDescent="0.25">
      <c r="A14" s="46">
        <f t="shared" si="0"/>
        <v>12</v>
      </c>
      <c r="B14" s="181" t="s">
        <v>42</v>
      </c>
      <c r="C14" s="154" t="s">
        <v>43</v>
      </c>
      <c r="D14" s="177" t="str">
        <f t="shared" si="1"/>
        <v>012/ST/2025</v>
      </c>
      <c r="E14" s="182">
        <v>45666</v>
      </c>
      <c r="F14" s="183" t="s">
        <v>269</v>
      </c>
      <c r="G14" s="187">
        <v>700000</v>
      </c>
      <c r="H14" s="179">
        <v>0</v>
      </c>
      <c r="I14" s="178">
        <f t="shared" si="2"/>
        <v>0</v>
      </c>
      <c r="J14" s="178"/>
      <c r="K14" s="55">
        <f t="shared" si="3"/>
        <v>700000</v>
      </c>
      <c r="L14" s="127" t="s">
        <v>600</v>
      </c>
      <c r="M14" s="127" t="s">
        <v>382</v>
      </c>
      <c r="N14" s="49"/>
      <c r="O14" s="186"/>
      <c r="P14" s="18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</row>
    <row r="15" spans="1:37" x14ac:dyDescent="0.25">
      <c r="A15" s="46">
        <f t="shared" si="0"/>
        <v>13</v>
      </c>
      <c r="B15" s="181" t="s">
        <v>40</v>
      </c>
      <c r="C15" s="154" t="s">
        <v>45</v>
      </c>
      <c r="D15" s="177" t="str">
        <f t="shared" si="1"/>
        <v>013/ST/2025</v>
      </c>
      <c r="E15" s="182">
        <v>45666</v>
      </c>
      <c r="F15" s="183" t="s">
        <v>268</v>
      </c>
      <c r="G15" s="187">
        <v>1276000</v>
      </c>
      <c r="H15" s="179">
        <v>0</v>
      </c>
      <c r="I15" s="178">
        <f t="shared" si="2"/>
        <v>0</v>
      </c>
      <c r="J15" s="55"/>
      <c r="K15" s="55">
        <f t="shared" si="3"/>
        <v>1276000</v>
      </c>
      <c r="L15" s="127" t="s">
        <v>600</v>
      </c>
      <c r="M15" s="127" t="s">
        <v>382</v>
      </c>
      <c r="N15" s="49"/>
      <c r="O15" s="186"/>
      <c r="P15" s="18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</row>
    <row r="16" spans="1:37" x14ac:dyDescent="0.25">
      <c r="A16" s="46">
        <f t="shared" si="0"/>
        <v>14</v>
      </c>
      <c r="B16" s="181" t="s">
        <v>21</v>
      </c>
      <c r="C16" s="154" t="s">
        <v>47</v>
      </c>
      <c r="D16" s="177" t="str">
        <f t="shared" si="1"/>
        <v>014/ST/2025</v>
      </c>
      <c r="E16" s="155">
        <v>45670</v>
      </c>
      <c r="F16" s="183" t="s">
        <v>269</v>
      </c>
      <c r="G16" s="178">
        <v>700000</v>
      </c>
      <c r="H16" s="179">
        <v>0</v>
      </c>
      <c r="I16" s="178">
        <f t="shared" si="2"/>
        <v>0</v>
      </c>
      <c r="J16" s="55"/>
      <c r="K16" s="55">
        <f t="shared" si="3"/>
        <v>700000</v>
      </c>
      <c r="L16" s="127" t="s">
        <v>600</v>
      </c>
      <c r="M16" s="127" t="s">
        <v>382</v>
      </c>
      <c r="N16" s="185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</row>
    <row r="17" spans="1:37" x14ac:dyDescent="0.25">
      <c r="A17" s="46">
        <f t="shared" si="0"/>
        <v>15</v>
      </c>
      <c r="B17" s="181" t="s">
        <v>112</v>
      </c>
      <c r="C17" s="154" t="s">
        <v>49</v>
      </c>
      <c r="D17" s="177" t="str">
        <f t="shared" si="1"/>
        <v>015/ST/2025</v>
      </c>
      <c r="E17" s="182">
        <v>45673</v>
      </c>
      <c r="F17" s="183" t="s">
        <v>270</v>
      </c>
      <c r="G17" s="184">
        <v>4233000</v>
      </c>
      <c r="H17" s="179">
        <v>0.08</v>
      </c>
      <c r="I17" s="178">
        <v>160000</v>
      </c>
      <c r="J17" s="55"/>
      <c r="K17" s="55">
        <f t="shared" si="3"/>
        <v>4393000</v>
      </c>
      <c r="L17" s="127" t="s">
        <v>600</v>
      </c>
      <c r="M17" s="127" t="s">
        <v>382</v>
      </c>
      <c r="N17" s="49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</row>
    <row r="18" spans="1:37" x14ac:dyDescent="0.25">
      <c r="A18" s="46">
        <f t="shared" si="0"/>
        <v>16</v>
      </c>
      <c r="B18" s="154" t="s">
        <v>124</v>
      </c>
      <c r="C18" s="154" t="s">
        <v>51</v>
      </c>
      <c r="D18" s="177" t="str">
        <f t="shared" si="1"/>
        <v>016/ST/2025</v>
      </c>
      <c r="E18" s="182">
        <v>45673</v>
      </c>
      <c r="F18" s="183" t="s">
        <v>271</v>
      </c>
      <c r="G18" s="184">
        <v>7000000</v>
      </c>
      <c r="H18" s="179">
        <v>0.08</v>
      </c>
      <c r="I18" s="178">
        <f>G18*H18</f>
        <v>560000</v>
      </c>
      <c r="J18" s="55"/>
      <c r="K18" s="55">
        <f t="shared" si="3"/>
        <v>7560000</v>
      </c>
      <c r="L18" s="127" t="s">
        <v>25</v>
      </c>
      <c r="M18" s="127" t="s">
        <v>25</v>
      </c>
      <c r="N18" s="49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</row>
    <row r="19" spans="1:37" x14ac:dyDescent="0.25">
      <c r="A19" s="46">
        <f t="shared" si="0"/>
        <v>17</v>
      </c>
      <c r="B19" s="154" t="s">
        <v>78</v>
      </c>
      <c r="C19" s="154" t="s">
        <v>53</v>
      </c>
      <c r="D19" s="177" t="str">
        <f t="shared" si="1"/>
        <v>017/ST/2025</v>
      </c>
      <c r="E19" s="155">
        <v>45677</v>
      </c>
      <c r="F19" s="183" t="s">
        <v>268</v>
      </c>
      <c r="G19" s="178">
        <v>1276000</v>
      </c>
      <c r="H19" s="179">
        <v>0</v>
      </c>
      <c r="I19" s="178">
        <v>0</v>
      </c>
      <c r="J19" s="55"/>
      <c r="K19" s="55">
        <v>1276000</v>
      </c>
      <c r="L19" s="127" t="s">
        <v>600</v>
      </c>
      <c r="M19" s="127"/>
      <c r="N19" s="49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</row>
    <row r="20" spans="1:37" x14ac:dyDescent="0.25">
      <c r="A20" s="46">
        <f t="shared" si="0"/>
        <v>18</v>
      </c>
      <c r="B20" s="188" t="s">
        <v>96</v>
      </c>
      <c r="C20" s="154" t="s">
        <v>55</v>
      </c>
      <c r="D20" s="177" t="str">
        <f t="shared" si="1"/>
        <v>018/ST/2025</v>
      </c>
      <c r="E20" s="182">
        <v>45698</v>
      </c>
      <c r="F20" s="189" t="s">
        <v>272</v>
      </c>
      <c r="G20" s="184">
        <v>3000000</v>
      </c>
      <c r="H20" s="179">
        <v>0</v>
      </c>
      <c r="I20" s="178">
        <f t="shared" ref="I20:I24" si="4">G20*H20</f>
        <v>0</v>
      </c>
      <c r="J20" s="55"/>
      <c r="K20" s="55">
        <f t="shared" ref="K20:K24" si="5">G20+I20-J20</f>
        <v>3000000</v>
      </c>
      <c r="L20" s="127" t="s">
        <v>600</v>
      </c>
      <c r="M20" s="127" t="s">
        <v>382</v>
      </c>
      <c r="N20" s="185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</row>
    <row r="21" spans="1:37" x14ac:dyDescent="0.25">
      <c r="A21" s="46">
        <f t="shared" si="0"/>
        <v>19</v>
      </c>
      <c r="B21" s="188" t="s">
        <v>96</v>
      </c>
      <c r="C21" s="154" t="s">
        <v>57</v>
      </c>
      <c r="D21" s="177" t="str">
        <f t="shared" si="1"/>
        <v>019/ST/2025</v>
      </c>
      <c r="E21" s="182">
        <v>45698</v>
      </c>
      <c r="F21" s="183" t="s">
        <v>268</v>
      </c>
      <c r="G21" s="184">
        <v>1276000</v>
      </c>
      <c r="H21" s="179">
        <v>0</v>
      </c>
      <c r="I21" s="178">
        <f t="shared" si="4"/>
        <v>0</v>
      </c>
      <c r="J21" s="55"/>
      <c r="K21" s="55">
        <f t="shared" si="5"/>
        <v>1276000</v>
      </c>
      <c r="L21" s="127" t="s">
        <v>600</v>
      </c>
      <c r="M21" s="127" t="s">
        <v>382</v>
      </c>
      <c r="N21" s="49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</row>
    <row r="22" spans="1:37" x14ac:dyDescent="0.25">
      <c r="A22" s="46">
        <f t="shared" si="0"/>
        <v>20</v>
      </c>
      <c r="B22" s="181" t="s">
        <v>140</v>
      </c>
      <c r="C22" s="154" t="s">
        <v>59</v>
      </c>
      <c r="D22" s="177" t="str">
        <f t="shared" si="1"/>
        <v>020/ST/2025</v>
      </c>
      <c r="E22" s="182">
        <v>45698</v>
      </c>
      <c r="F22" s="183" t="s">
        <v>273</v>
      </c>
      <c r="G22" s="184">
        <v>1500000</v>
      </c>
      <c r="H22" s="179">
        <v>0.08</v>
      </c>
      <c r="I22" s="178">
        <f t="shared" si="4"/>
        <v>120000</v>
      </c>
      <c r="J22" s="55"/>
      <c r="K22" s="55">
        <f t="shared" si="5"/>
        <v>1620000</v>
      </c>
      <c r="L22" s="127" t="s">
        <v>600</v>
      </c>
      <c r="M22" s="127" t="s">
        <v>382</v>
      </c>
      <c r="N22" s="49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</row>
    <row r="23" spans="1:37" x14ac:dyDescent="0.25">
      <c r="A23" s="46">
        <f t="shared" si="0"/>
        <v>21</v>
      </c>
      <c r="B23" s="154" t="s">
        <v>60</v>
      </c>
      <c r="C23" s="154" t="s">
        <v>61</v>
      </c>
      <c r="D23" s="177" t="str">
        <f t="shared" si="1"/>
        <v>021/ST/2025</v>
      </c>
      <c r="E23" s="155">
        <v>45714</v>
      </c>
      <c r="F23" s="183" t="s">
        <v>274</v>
      </c>
      <c r="G23" s="184">
        <v>3000000</v>
      </c>
      <c r="H23" s="179">
        <v>0.08</v>
      </c>
      <c r="I23" s="178">
        <f t="shared" si="4"/>
        <v>240000</v>
      </c>
      <c r="J23" s="55"/>
      <c r="K23" s="55">
        <f t="shared" si="5"/>
        <v>3240000</v>
      </c>
      <c r="L23" s="127" t="s">
        <v>25</v>
      </c>
      <c r="M23" s="127" t="s">
        <v>25</v>
      </c>
      <c r="N23" s="49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</row>
    <row r="24" spans="1:37" x14ac:dyDescent="0.25">
      <c r="A24" s="46">
        <f t="shared" si="0"/>
        <v>22</v>
      </c>
      <c r="B24" s="154" t="s">
        <v>617</v>
      </c>
      <c r="C24" s="154" t="s">
        <v>63</v>
      </c>
      <c r="D24" s="177" t="str">
        <f t="shared" si="1"/>
        <v>022/ST/2025</v>
      </c>
      <c r="E24" s="155">
        <v>45719</v>
      </c>
      <c r="F24" s="183" t="s">
        <v>275</v>
      </c>
      <c r="G24" s="178">
        <v>880000</v>
      </c>
      <c r="H24" s="179">
        <v>0.08</v>
      </c>
      <c r="I24" s="178">
        <f t="shared" si="4"/>
        <v>70400</v>
      </c>
      <c r="J24" s="55"/>
      <c r="K24" s="55">
        <f t="shared" si="5"/>
        <v>950400</v>
      </c>
      <c r="L24" s="127" t="s">
        <v>600</v>
      </c>
      <c r="M24" s="127" t="s">
        <v>382</v>
      </c>
      <c r="N24" s="49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</row>
    <row r="25" spans="1:37" x14ac:dyDescent="0.25">
      <c r="A25" s="46">
        <f t="shared" si="0"/>
        <v>23</v>
      </c>
      <c r="B25" s="154" t="s">
        <v>174</v>
      </c>
      <c r="C25" s="154" t="s">
        <v>65</v>
      </c>
      <c r="D25" s="177" t="str">
        <f t="shared" si="1"/>
        <v>023/ST/2025</v>
      </c>
      <c r="E25" s="155">
        <v>45719</v>
      </c>
      <c r="F25" s="183" t="s">
        <v>276</v>
      </c>
      <c r="G25" s="178">
        <v>1650000</v>
      </c>
      <c r="H25" s="179"/>
      <c r="I25" s="178"/>
      <c r="J25" s="55"/>
      <c r="K25" s="55"/>
      <c r="L25" s="127"/>
      <c r="M25" s="127"/>
      <c r="N25" s="49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</row>
    <row r="26" spans="1:37" x14ac:dyDescent="0.25">
      <c r="A26" s="46">
        <f t="shared" si="0"/>
        <v>24</v>
      </c>
      <c r="B26" s="154" t="s">
        <v>52</v>
      </c>
      <c r="C26" s="154" t="s">
        <v>67</v>
      </c>
      <c r="D26" s="177" t="str">
        <f t="shared" si="1"/>
        <v>024/ST/2025</v>
      </c>
      <c r="E26" s="155">
        <v>45726</v>
      </c>
      <c r="F26" s="183" t="s">
        <v>268</v>
      </c>
      <c r="G26" s="178">
        <v>1276000</v>
      </c>
      <c r="H26" s="179">
        <v>0</v>
      </c>
      <c r="I26" s="178">
        <v>0</v>
      </c>
      <c r="J26" s="55"/>
      <c r="K26" s="55">
        <v>1276000</v>
      </c>
      <c r="L26" s="127" t="s">
        <v>600</v>
      </c>
      <c r="M26" s="127"/>
      <c r="N26" s="49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</row>
    <row r="27" spans="1:37" x14ac:dyDescent="0.25">
      <c r="A27" s="46">
        <f t="shared" si="0"/>
        <v>25</v>
      </c>
      <c r="B27" s="181" t="s">
        <v>140</v>
      </c>
      <c r="C27" s="154" t="s">
        <v>69</v>
      </c>
      <c r="D27" s="177" t="str">
        <f t="shared" si="1"/>
        <v>025/ST/2025</v>
      </c>
      <c r="E27" s="190">
        <v>45740</v>
      </c>
      <c r="F27" s="183" t="s">
        <v>268</v>
      </c>
      <c r="G27" s="184">
        <v>1276000</v>
      </c>
      <c r="H27" s="179">
        <v>0</v>
      </c>
      <c r="I27" s="178">
        <f>G27*H27</f>
        <v>0</v>
      </c>
      <c r="J27" s="55"/>
      <c r="K27" s="55">
        <f t="shared" ref="K27:K31" si="6">G27+I27-J27</f>
        <v>1276000</v>
      </c>
      <c r="L27" s="127" t="s">
        <v>600</v>
      </c>
      <c r="M27" s="127" t="s">
        <v>382</v>
      </c>
      <c r="N27" s="49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</row>
    <row r="28" spans="1:37" x14ac:dyDescent="0.25">
      <c r="A28" s="46">
        <f t="shared" si="0"/>
        <v>26</v>
      </c>
      <c r="B28" s="154" t="s">
        <v>94</v>
      </c>
      <c r="C28" s="154" t="s">
        <v>71</v>
      </c>
      <c r="D28" s="177" t="str">
        <f t="shared" si="1"/>
        <v>026/ST/2025</v>
      </c>
      <c r="E28" s="155">
        <v>45742</v>
      </c>
      <c r="F28" s="183" t="s">
        <v>277</v>
      </c>
      <c r="G28" s="178">
        <v>2909000</v>
      </c>
      <c r="H28" s="179">
        <v>0</v>
      </c>
      <c r="I28" s="178"/>
      <c r="J28" s="55"/>
      <c r="K28" s="55">
        <f t="shared" si="6"/>
        <v>2909000</v>
      </c>
      <c r="L28" s="127" t="s">
        <v>600</v>
      </c>
      <c r="M28" s="127"/>
      <c r="N28" s="49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</row>
    <row r="29" spans="1:37" x14ac:dyDescent="0.25">
      <c r="A29" s="46">
        <f t="shared" si="0"/>
        <v>27</v>
      </c>
      <c r="B29" s="154" t="s">
        <v>70</v>
      </c>
      <c r="C29" s="154" t="s">
        <v>73</v>
      </c>
      <c r="D29" s="177" t="str">
        <f t="shared" si="1"/>
        <v>027/ST/2025</v>
      </c>
      <c r="E29" s="155">
        <v>45743</v>
      </c>
      <c r="F29" s="183" t="s">
        <v>278</v>
      </c>
      <c r="G29" s="178">
        <v>786000</v>
      </c>
      <c r="H29" s="179">
        <v>0.08</v>
      </c>
      <c r="I29" s="178">
        <f t="shared" ref="I29:I31" si="7">G29*H29</f>
        <v>62880</v>
      </c>
      <c r="J29" s="55"/>
      <c r="K29" s="55">
        <f t="shared" si="6"/>
        <v>848880</v>
      </c>
      <c r="L29" s="127" t="s">
        <v>600</v>
      </c>
      <c r="M29" s="127" t="s">
        <v>382</v>
      </c>
      <c r="N29" s="49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</row>
    <row r="30" spans="1:37" x14ac:dyDescent="0.25">
      <c r="A30" s="46">
        <f t="shared" si="0"/>
        <v>28</v>
      </c>
      <c r="B30" s="154" t="s">
        <v>88</v>
      </c>
      <c r="C30" s="154" t="s">
        <v>75</v>
      </c>
      <c r="D30" s="177" t="str">
        <f t="shared" si="1"/>
        <v>028/ST/2025</v>
      </c>
      <c r="E30" s="155">
        <v>45744</v>
      </c>
      <c r="F30" s="183" t="s">
        <v>268</v>
      </c>
      <c r="G30" s="55">
        <v>1276000</v>
      </c>
      <c r="H30" s="179">
        <v>0</v>
      </c>
      <c r="I30" s="178">
        <f t="shared" si="7"/>
        <v>0</v>
      </c>
      <c r="J30" s="178"/>
      <c r="K30" s="55">
        <f t="shared" si="6"/>
        <v>1276000</v>
      </c>
      <c r="L30" s="127" t="s">
        <v>600</v>
      </c>
      <c r="M30" s="127" t="s">
        <v>382</v>
      </c>
      <c r="N30" s="49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</row>
    <row r="31" spans="1:37" x14ac:dyDescent="0.25">
      <c r="A31" s="46">
        <f t="shared" si="0"/>
        <v>29</v>
      </c>
      <c r="B31" s="154" t="s">
        <v>279</v>
      </c>
      <c r="C31" s="154" t="s">
        <v>77</v>
      </c>
      <c r="D31" s="177" t="str">
        <f t="shared" si="1"/>
        <v>029/ST/2025</v>
      </c>
      <c r="E31" s="155">
        <v>45744</v>
      </c>
      <c r="F31" s="183" t="s">
        <v>269</v>
      </c>
      <c r="G31" s="178">
        <v>700000</v>
      </c>
      <c r="H31" s="179">
        <v>0</v>
      </c>
      <c r="I31" s="178">
        <f t="shared" si="7"/>
        <v>0</v>
      </c>
      <c r="J31" s="55"/>
      <c r="K31" s="55">
        <f t="shared" si="6"/>
        <v>700000</v>
      </c>
      <c r="L31" s="127" t="s">
        <v>600</v>
      </c>
      <c r="M31" s="127"/>
      <c r="N31" s="49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</row>
    <row r="32" spans="1:37" x14ac:dyDescent="0.25">
      <c r="A32" s="46">
        <f t="shared" si="0"/>
        <v>30</v>
      </c>
      <c r="B32" s="154" t="s">
        <v>74</v>
      </c>
      <c r="C32" s="154" t="s">
        <v>79</v>
      </c>
      <c r="D32" s="177" t="str">
        <f t="shared" si="1"/>
        <v>030/ST/2025</v>
      </c>
      <c r="E32" s="155">
        <v>45747</v>
      </c>
      <c r="F32" s="183" t="s">
        <v>268</v>
      </c>
      <c r="G32" s="55">
        <v>1276000</v>
      </c>
      <c r="H32" s="179">
        <v>0</v>
      </c>
      <c r="I32" s="178">
        <v>0</v>
      </c>
      <c r="J32" s="55"/>
      <c r="K32" s="55">
        <v>1276000</v>
      </c>
      <c r="L32" s="127" t="s">
        <v>600</v>
      </c>
      <c r="M32" s="127" t="s">
        <v>382</v>
      </c>
      <c r="N32" s="49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</row>
    <row r="33" spans="1:37" x14ac:dyDescent="0.25">
      <c r="A33" s="46">
        <f t="shared" si="0"/>
        <v>31</v>
      </c>
      <c r="B33" s="154" t="s">
        <v>280</v>
      </c>
      <c r="C33" s="154" t="s">
        <v>81</v>
      </c>
      <c r="D33" s="177" t="str">
        <f t="shared" si="1"/>
        <v>031/ST/2025</v>
      </c>
      <c r="E33" s="155">
        <v>45749</v>
      </c>
      <c r="F33" s="136" t="s">
        <v>281</v>
      </c>
      <c r="G33" s="178">
        <v>5579000</v>
      </c>
      <c r="H33" s="179">
        <v>0.08</v>
      </c>
      <c r="I33" s="178">
        <f t="shared" ref="I33:I35" si="8">G33*H33</f>
        <v>446320</v>
      </c>
      <c r="J33" s="55"/>
      <c r="K33" s="55">
        <f t="shared" ref="K33:K35" si="9">G33+I33-J33</f>
        <v>6025320</v>
      </c>
      <c r="L33" s="127" t="s">
        <v>600</v>
      </c>
      <c r="M33" s="127" t="s">
        <v>382</v>
      </c>
      <c r="N33" s="49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</row>
    <row r="34" spans="1:37" x14ac:dyDescent="0.25">
      <c r="A34" s="46">
        <f t="shared" si="0"/>
        <v>32</v>
      </c>
      <c r="B34" s="154" t="s">
        <v>280</v>
      </c>
      <c r="C34" s="154" t="s">
        <v>83</v>
      </c>
      <c r="D34" s="177" t="str">
        <f t="shared" si="1"/>
        <v>032/ST/2025</v>
      </c>
      <c r="E34" s="155">
        <v>45749</v>
      </c>
      <c r="F34" s="136" t="s">
        <v>281</v>
      </c>
      <c r="G34" s="178">
        <v>5579000</v>
      </c>
      <c r="H34" s="179">
        <v>0.08</v>
      </c>
      <c r="I34" s="178">
        <f t="shared" si="8"/>
        <v>446320</v>
      </c>
      <c r="J34" s="55"/>
      <c r="K34" s="55">
        <f t="shared" si="9"/>
        <v>6025320</v>
      </c>
      <c r="L34" s="127" t="s">
        <v>600</v>
      </c>
      <c r="M34" s="127" t="s">
        <v>382</v>
      </c>
      <c r="N34" s="49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</row>
    <row r="35" spans="1:37" x14ac:dyDescent="0.25">
      <c r="A35" s="46">
        <f t="shared" si="0"/>
        <v>33</v>
      </c>
      <c r="B35" s="154" t="s">
        <v>282</v>
      </c>
      <c r="C35" s="154" t="s">
        <v>85</v>
      </c>
      <c r="D35" s="177" t="str">
        <f t="shared" si="1"/>
        <v>033/ST/2025</v>
      </c>
      <c r="E35" s="155">
        <v>45749</v>
      </c>
      <c r="F35" s="136" t="s">
        <v>281</v>
      </c>
      <c r="G35" s="178">
        <v>5579000</v>
      </c>
      <c r="H35" s="179">
        <v>0.08</v>
      </c>
      <c r="I35" s="178">
        <f t="shared" si="8"/>
        <v>446320</v>
      </c>
      <c r="J35" s="55"/>
      <c r="K35" s="55">
        <f t="shared" si="9"/>
        <v>6025320</v>
      </c>
      <c r="L35" s="127" t="s">
        <v>600</v>
      </c>
      <c r="M35" s="127" t="s">
        <v>382</v>
      </c>
      <c r="N35" s="49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</row>
    <row r="36" spans="1:37" x14ac:dyDescent="0.25">
      <c r="A36" s="46">
        <f t="shared" si="0"/>
        <v>34</v>
      </c>
      <c r="B36" s="154" t="s">
        <v>106</v>
      </c>
      <c r="C36" s="154" t="s">
        <v>87</v>
      </c>
      <c r="D36" s="177" t="str">
        <f t="shared" si="1"/>
        <v>034/ST/2025</v>
      </c>
      <c r="E36" s="155">
        <v>45751</v>
      </c>
      <c r="F36" s="183" t="s">
        <v>618</v>
      </c>
      <c r="G36" s="178">
        <v>1500000</v>
      </c>
      <c r="H36" s="179"/>
      <c r="I36" s="178"/>
      <c r="J36" s="55"/>
      <c r="K36" s="55"/>
      <c r="L36" s="127" t="s">
        <v>600</v>
      </c>
      <c r="M36" s="127" t="s">
        <v>382</v>
      </c>
      <c r="N36" s="49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</row>
    <row r="37" spans="1:37" x14ac:dyDescent="0.25">
      <c r="A37" s="46">
        <f t="shared" si="0"/>
        <v>35</v>
      </c>
      <c r="B37" s="154" t="s">
        <v>176</v>
      </c>
      <c r="C37" s="154" t="s">
        <v>89</v>
      </c>
      <c r="D37" s="177" t="str">
        <f t="shared" si="1"/>
        <v>035/ST/2025</v>
      </c>
      <c r="E37" s="155">
        <v>45756</v>
      </c>
      <c r="F37" s="183" t="s">
        <v>619</v>
      </c>
      <c r="G37" s="178">
        <v>1276000</v>
      </c>
      <c r="H37" s="179">
        <v>0</v>
      </c>
      <c r="I37" s="178">
        <f t="shared" ref="I37:I39" si="10">G37*H37</f>
        <v>0</v>
      </c>
      <c r="J37" s="55"/>
      <c r="K37" s="55">
        <f t="shared" ref="K37:K48" si="11">G37+I37-J37</f>
        <v>1276000</v>
      </c>
      <c r="L37" s="127" t="s">
        <v>600</v>
      </c>
      <c r="M37" s="127" t="s">
        <v>382</v>
      </c>
      <c r="N37" s="49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</row>
    <row r="38" spans="1:37" x14ac:dyDescent="0.25">
      <c r="A38" s="46">
        <f t="shared" si="0"/>
        <v>36</v>
      </c>
      <c r="B38" s="154" t="s">
        <v>190</v>
      </c>
      <c r="C38" s="154" t="s">
        <v>91</v>
      </c>
      <c r="D38" s="177" t="str">
        <f t="shared" si="1"/>
        <v>036/ST/2025</v>
      </c>
      <c r="E38" s="155">
        <v>45757</v>
      </c>
      <c r="F38" s="183" t="s">
        <v>285</v>
      </c>
      <c r="G38" s="178">
        <v>4374000</v>
      </c>
      <c r="H38" s="179">
        <v>0</v>
      </c>
      <c r="I38" s="178">
        <f t="shared" si="10"/>
        <v>0</v>
      </c>
      <c r="J38" s="55"/>
      <c r="K38" s="55">
        <f t="shared" si="11"/>
        <v>4374000</v>
      </c>
      <c r="L38" s="127" t="s">
        <v>600</v>
      </c>
      <c r="M38" s="127" t="s">
        <v>382</v>
      </c>
      <c r="N38" s="49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</row>
    <row r="39" spans="1:37" x14ac:dyDescent="0.25">
      <c r="A39" s="46">
        <f t="shared" si="0"/>
        <v>37</v>
      </c>
      <c r="B39" s="154" t="s">
        <v>158</v>
      </c>
      <c r="C39" s="154" t="s">
        <v>93</v>
      </c>
      <c r="D39" s="177" t="str">
        <f t="shared" si="1"/>
        <v>037/ST/2025</v>
      </c>
      <c r="E39" s="155">
        <v>45758</v>
      </c>
      <c r="F39" s="183" t="s">
        <v>620</v>
      </c>
      <c r="G39" s="178">
        <v>1276000</v>
      </c>
      <c r="H39" s="179">
        <v>0</v>
      </c>
      <c r="I39" s="178">
        <f t="shared" si="10"/>
        <v>0</v>
      </c>
      <c r="J39" s="178"/>
      <c r="K39" s="55">
        <f t="shared" si="11"/>
        <v>1276000</v>
      </c>
      <c r="L39" s="127" t="s">
        <v>600</v>
      </c>
      <c r="M39" s="127" t="s">
        <v>382</v>
      </c>
      <c r="N39" s="185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</row>
    <row r="40" spans="1:37" x14ac:dyDescent="0.25">
      <c r="A40" s="46">
        <f t="shared" si="0"/>
        <v>38</v>
      </c>
      <c r="B40" s="154" t="s">
        <v>184</v>
      </c>
      <c r="C40" s="154" t="s">
        <v>95</v>
      </c>
      <c r="D40" s="177" t="str">
        <f t="shared" si="1"/>
        <v>038/ST/2025</v>
      </c>
      <c r="E40" s="155">
        <v>45761</v>
      </c>
      <c r="F40" s="136" t="s">
        <v>281</v>
      </c>
      <c r="G40" s="178">
        <v>8000000</v>
      </c>
      <c r="H40" s="179">
        <v>0.08</v>
      </c>
      <c r="I40" s="178">
        <v>393680</v>
      </c>
      <c r="J40" s="178">
        <v>400000</v>
      </c>
      <c r="K40" s="55">
        <f t="shared" si="11"/>
        <v>7993680</v>
      </c>
      <c r="L40" s="127" t="s">
        <v>600</v>
      </c>
      <c r="M40" s="127" t="s">
        <v>382</v>
      </c>
      <c r="N40" s="49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</row>
    <row r="41" spans="1:37" x14ac:dyDescent="0.25">
      <c r="A41" s="46">
        <f t="shared" si="0"/>
        <v>39</v>
      </c>
      <c r="B41" s="154" t="s">
        <v>181</v>
      </c>
      <c r="C41" s="154" t="s">
        <v>97</v>
      </c>
      <c r="D41" s="177" t="str">
        <f t="shared" si="1"/>
        <v>039/ST/2025</v>
      </c>
      <c r="E41" s="155">
        <v>45761</v>
      </c>
      <c r="F41" s="136" t="s">
        <v>287</v>
      </c>
      <c r="G41" s="178">
        <v>8000000</v>
      </c>
      <c r="H41" s="179">
        <v>0.08</v>
      </c>
      <c r="I41" s="178">
        <v>393680</v>
      </c>
      <c r="J41" s="178">
        <v>400000</v>
      </c>
      <c r="K41" s="55">
        <f t="shared" si="11"/>
        <v>7993680</v>
      </c>
      <c r="L41" s="127" t="s">
        <v>600</v>
      </c>
      <c r="M41" s="127" t="s">
        <v>382</v>
      </c>
      <c r="N41" s="185"/>
      <c r="O41" s="186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</row>
    <row r="42" spans="1:37" x14ac:dyDescent="0.25">
      <c r="A42" s="46">
        <f t="shared" si="0"/>
        <v>40</v>
      </c>
      <c r="B42" s="154" t="s">
        <v>288</v>
      </c>
      <c r="C42" s="154" t="s">
        <v>99</v>
      </c>
      <c r="D42" s="177" t="str">
        <f t="shared" si="1"/>
        <v>040/ST/2025</v>
      </c>
      <c r="E42" s="155">
        <v>45762</v>
      </c>
      <c r="F42" s="136" t="s">
        <v>379</v>
      </c>
      <c r="G42" s="178">
        <v>8000000</v>
      </c>
      <c r="H42" s="179">
        <v>0.08</v>
      </c>
      <c r="I42" s="178">
        <v>393680</v>
      </c>
      <c r="J42" s="178">
        <v>400000</v>
      </c>
      <c r="K42" s="55">
        <f t="shared" si="11"/>
        <v>7993680</v>
      </c>
      <c r="L42" s="127" t="s">
        <v>600</v>
      </c>
      <c r="M42" s="127" t="s">
        <v>382</v>
      </c>
      <c r="N42" s="185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</row>
    <row r="43" spans="1:37" x14ac:dyDescent="0.25">
      <c r="A43" s="46">
        <f t="shared" si="0"/>
        <v>41</v>
      </c>
      <c r="B43" s="154" t="s">
        <v>290</v>
      </c>
      <c r="C43" s="154" t="s">
        <v>101</v>
      </c>
      <c r="D43" s="177" t="str">
        <f t="shared" si="1"/>
        <v>041/ST/2025</v>
      </c>
      <c r="E43" s="155">
        <v>45771</v>
      </c>
      <c r="F43" s="136" t="s">
        <v>621</v>
      </c>
      <c r="G43" s="178">
        <v>1500000</v>
      </c>
      <c r="H43" s="179">
        <v>0.08</v>
      </c>
      <c r="I43" s="178">
        <f t="shared" ref="I43:I46" si="12">G43*H43</f>
        <v>120000</v>
      </c>
      <c r="J43" s="178"/>
      <c r="K43" s="55">
        <f t="shared" si="11"/>
        <v>1620000</v>
      </c>
      <c r="L43" s="127" t="s">
        <v>600</v>
      </c>
      <c r="M43" s="127" t="s">
        <v>382</v>
      </c>
      <c r="N43" s="185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</row>
    <row r="44" spans="1:37" x14ac:dyDescent="0.25">
      <c r="A44" s="46">
        <f t="shared" si="0"/>
        <v>42</v>
      </c>
      <c r="B44" s="154" t="s">
        <v>150</v>
      </c>
      <c r="C44" s="154" t="s">
        <v>103</v>
      </c>
      <c r="D44" s="177" t="str">
        <f t="shared" si="1"/>
        <v>042/ST/2025</v>
      </c>
      <c r="E44" s="155">
        <v>45771</v>
      </c>
      <c r="F44" s="136" t="s">
        <v>622</v>
      </c>
      <c r="G44" s="178">
        <v>4374000</v>
      </c>
      <c r="H44" s="54"/>
      <c r="I44" s="178">
        <f t="shared" si="12"/>
        <v>0</v>
      </c>
      <c r="J44" s="55"/>
      <c r="K44" s="55">
        <f t="shared" si="11"/>
        <v>4374000</v>
      </c>
      <c r="L44" s="127" t="s">
        <v>600</v>
      </c>
      <c r="M44" s="127" t="s">
        <v>382</v>
      </c>
      <c r="N44" s="49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</row>
    <row r="45" spans="1:37" x14ac:dyDescent="0.25">
      <c r="A45" s="46">
        <f t="shared" si="0"/>
        <v>43</v>
      </c>
      <c r="B45" s="154" t="s">
        <v>64</v>
      </c>
      <c r="C45" s="154" t="s">
        <v>105</v>
      </c>
      <c r="D45" s="177" t="str">
        <f t="shared" si="1"/>
        <v>043/ST/2025</v>
      </c>
      <c r="E45" s="155">
        <v>45775</v>
      </c>
      <c r="F45" s="136" t="s">
        <v>621</v>
      </c>
      <c r="G45" s="178">
        <v>1500000</v>
      </c>
      <c r="H45" s="179">
        <v>0.08</v>
      </c>
      <c r="I45" s="178">
        <f t="shared" si="12"/>
        <v>120000</v>
      </c>
      <c r="J45" s="55"/>
      <c r="K45" s="55">
        <f t="shared" si="11"/>
        <v>1620000</v>
      </c>
      <c r="L45" s="127" t="s">
        <v>600</v>
      </c>
      <c r="M45" s="127" t="s">
        <v>382</v>
      </c>
      <c r="N45" s="49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</row>
    <row r="46" spans="1:37" x14ac:dyDescent="0.25">
      <c r="A46" s="46">
        <f t="shared" si="0"/>
        <v>44</v>
      </c>
      <c r="B46" s="154" t="s">
        <v>128</v>
      </c>
      <c r="C46" s="154" t="s">
        <v>107</v>
      </c>
      <c r="D46" s="177" t="str">
        <f t="shared" si="1"/>
        <v>044/ST/2025</v>
      </c>
      <c r="E46" s="155">
        <v>45775</v>
      </c>
      <c r="F46" s="136" t="s">
        <v>261</v>
      </c>
      <c r="G46" s="178">
        <v>2000000</v>
      </c>
      <c r="H46" s="179">
        <v>0.08</v>
      </c>
      <c r="I46" s="178">
        <f t="shared" si="12"/>
        <v>160000</v>
      </c>
      <c r="J46" s="55"/>
      <c r="K46" s="55">
        <f t="shared" si="11"/>
        <v>2160000</v>
      </c>
      <c r="L46" s="127" t="s">
        <v>600</v>
      </c>
      <c r="M46" s="127" t="s">
        <v>382</v>
      </c>
      <c r="N46" s="185" t="s">
        <v>292</v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</row>
    <row r="47" spans="1:37" x14ac:dyDescent="0.25">
      <c r="A47" s="46">
        <f t="shared" si="0"/>
        <v>45</v>
      </c>
      <c r="B47" s="154" t="s">
        <v>140</v>
      </c>
      <c r="C47" s="154" t="s">
        <v>109</v>
      </c>
      <c r="D47" s="177" t="str">
        <f t="shared" si="1"/>
        <v>045/ST/2025</v>
      </c>
      <c r="E47" s="155">
        <v>45775</v>
      </c>
      <c r="F47" s="136" t="s">
        <v>293</v>
      </c>
      <c r="G47" s="178">
        <v>2000000</v>
      </c>
      <c r="H47" s="54"/>
      <c r="I47" s="178">
        <v>1273000</v>
      </c>
      <c r="J47" s="178">
        <v>750000</v>
      </c>
      <c r="K47" s="55">
        <f t="shared" si="11"/>
        <v>2523000</v>
      </c>
      <c r="L47" s="127" t="s">
        <v>600</v>
      </c>
      <c r="M47" s="127" t="s">
        <v>382</v>
      </c>
      <c r="N47" s="185" t="s">
        <v>294</v>
      </c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</row>
    <row r="48" spans="1:37" x14ac:dyDescent="0.25">
      <c r="A48" s="46">
        <f t="shared" si="0"/>
        <v>46</v>
      </c>
      <c r="B48" s="154" t="s">
        <v>295</v>
      </c>
      <c r="C48" s="154" t="s">
        <v>111</v>
      </c>
      <c r="D48" s="177" t="str">
        <f t="shared" si="1"/>
        <v>046/ST/2025</v>
      </c>
      <c r="E48" s="155">
        <v>45775</v>
      </c>
      <c r="F48" s="136" t="s">
        <v>261</v>
      </c>
      <c r="G48" s="178">
        <v>2000000</v>
      </c>
      <c r="H48" s="179">
        <v>0.08</v>
      </c>
      <c r="I48" s="178">
        <f>G48*H48</f>
        <v>160000</v>
      </c>
      <c r="J48" s="55"/>
      <c r="K48" s="55">
        <f t="shared" si="11"/>
        <v>2160000</v>
      </c>
      <c r="L48" s="127" t="s">
        <v>600</v>
      </c>
      <c r="M48" s="127" t="s">
        <v>382</v>
      </c>
      <c r="N48" s="49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</row>
    <row r="49" spans="1:37" x14ac:dyDescent="0.25">
      <c r="A49" s="46">
        <f t="shared" si="0"/>
        <v>47</v>
      </c>
      <c r="B49" s="129" t="s">
        <v>42</v>
      </c>
      <c r="C49" s="154" t="s">
        <v>113</v>
      </c>
      <c r="D49" s="177" t="str">
        <f t="shared" si="1"/>
        <v>047/ST/2025</v>
      </c>
      <c r="E49" s="131">
        <v>45789</v>
      </c>
      <c r="F49" s="136" t="s">
        <v>379</v>
      </c>
      <c r="G49" s="178"/>
      <c r="H49" s="54"/>
      <c r="I49" s="55"/>
      <c r="J49" s="55"/>
      <c r="K49" s="35"/>
      <c r="L49" s="127" t="s">
        <v>600</v>
      </c>
      <c r="M49" s="127" t="s">
        <v>382</v>
      </c>
      <c r="N49" s="49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</row>
    <row r="50" spans="1:37" x14ac:dyDescent="0.25">
      <c r="A50" s="46">
        <f t="shared" si="0"/>
        <v>48</v>
      </c>
      <c r="B50" s="129" t="s">
        <v>108</v>
      </c>
      <c r="C50" s="154" t="s">
        <v>115</v>
      </c>
      <c r="D50" s="177" t="str">
        <f t="shared" si="1"/>
        <v>048/ST/2025</v>
      </c>
      <c r="E50" s="131">
        <v>45789</v>
      </c>
      <c r="F50" s="136" t="s">
        <v>623</v>
      </c>
      <c r="G50" s="178">
        <v>1500000</v>
      </c>
      <c r="H50" s="179">
        <v>0.08</v>
      </c>
      <c r="I50" s="178">
        <f t="shared" ref="I50:I76" si="13">G50*H50</f>
        <v>120000</v>
      </c>
      <c r="J50" s="55"/>
      <c r="K50" s="55">
        <f t="shared" ref="K50:K61" si="14">G50+I50-J50</f>
        <v>1620000</v>
      </c>
      <c r="L50" s="127" t="s">
        <v>600</v>
      </c>
      <c r="M50" s="127" t="s">
        <v>382</v>
      </c>
      <c r="N50" s="49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</row>
    <row r="51" spans="1:37" x14ac:dyDescent="0.25">
      <c r="A51" s="46">
        <f t="shared" si="0"/>
        <v>49</v>
      </c>
      <c r="B51" s="129" t="s">
        <v>38</v>
      </c>
      <c r="C51" s="154" t="s">
        <v>117</v>
      </c>
      <c r="D51" s="177" t="str">
        <f t="shared" si="1"/>
        <v>049/ST/2025</v>
      </c>
      <c r="E51" s="131">
        <v>45789</v>
      </c>
      <c r="F51" s="136" t="s">
        <v>624</v>
      </c>
      <c r="G51" s="178"/>
      <c r="H51" s="54"/>
      <c r="I51" s="178">
        <f t="shared" si="13"/>
        <v>0</v>
      </c>
      <c r="J51" s="55"/>
      <c r="K51" s="55">
        <f t="shared" si="14"/>
        <v>0</v>
      </c>
      <c r="L51" s="127" t="s">
        <v>600</v>
      </c>
      <c r="M51" s="127" t="s">
        <v>382</v>
      </c>
      <c r="N51" s="49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</row>
    <row r="52" spans="1:37" x14ac:dyDescent="0.25">
      <c r="A52" s="46">
        <f t="shared" si="0"/>
        <v>50</v>
      </c>
      <c r="B52" s="129" t="s">
        <v>38</v>
      </c>
      <c r="C52" s="154" t="s">
        <v>119</v>
      </c>
      <c r="D52" s="177" t="str">
        <f t="shared" si="1"/>
        <v>050/ST/2025</v>
      </c>
      <c r="E52" s="131">
        <v>45789</v>
      </c>
      <c r="F52" s="136" t="s">
        <v>271</v>
      </c>
      <c r="G52" s="178"/>
      <c r="H52" s="54"/>
      <c r="I52" s="178">
        <f t="shared" si="13"/>
        <v>0</v>
      </c>
      <c r="J52" s="55"/>
      <c r="K52" s="55">
        <f t="shared" si="14"/>
        <v>0</v>
      </c>
      <c r="L52" s="127" t="s">
        <v>600</v>
      </c>
      <c r="M52" s="127" t="s">
        <v>382</v>
      </c>
      <c r="N52" s="49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</row>
    <row r="53" spans="1:37" x14ac:dyDescent="0.25">
      <c r="A53" s="46">
        <f t="shared" si="0"/>
        <v>51</v>
      </c>
      <c r="B53" s="129" t="s">
        <v>298</v>
      </c>
      <c r="C53" s="154" t="s">
        <v>121</v>
      </c>
      <c r="D53" s="177" t="str">
        <f t="shared" si="1"/>
        <v>051/ST/2025</v>
      </c>
      <c r="E53" s="131">
        <v>45789</v>
      </c>
      <c r="F53" s="136" t="s">
        <v>625</v>
      </c>
      <c r="G53" s="178"/>
      <c r="H53" s="54"/>
      <c r="I53" s="178">
        <f t="shared" si="13"/>
        <v>0</v>
      </c>
      <c r="J53" s="55"/>
      <c r="K53" s="55">
        <f t="shared" si="14"/>
        <v>0</v>
      </c>
      <c r="L53" s="127" t="s">
        <v>600</v>
      </c>
      <c r="M53" s="127" t="s">
        <v>382</v>
      </c>
      <c r="N53" s="185" t="s">
        <v>300</v>
      </c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</row>
    <row r="54" spans="1:37" x14ac:dyDescent="0.25">
      <c r="A54" s="46">
        <f t="shared" si="0"/>
        <v>52</v>
      </c>
      <c r="B54" s="129" t="s">
        <v>112</v>
      </c>
      <c r="C54" s="154" t="s">
        <v>123</v>
      </c>
      <c r="D54" s="177" t="str">
        <f t="shared" si="1"/>
        <v>052/ST/2025</v>
      </c>
      <c r="E54" s="131">
        <v>45791</v>
      </c>
      <c r="F54" s="136" t="s">
        <v>394</v>
      </c>
      <c r="G54" s="178">
        <v>1500000</v>
      </c>
      <c r="H54" s="179">
        <v>0.08</v>
      </c>
      <c r="I54" s="178">
        <f t="shared" si="13"/>
        <v>120000</v>
      </c>
      <c r="J54" s="55"/>
      <c r="K54" s="55">
        <f t="shared" si="14"/>
        <v>1620000</v>
      </c>
      <c r="L54" s="127" t="s">
        <v>600</v>
      </c>
      <c r="M54" s="127" t="s">
        <v>382</v>
      </c>
      <c r="N54" s="49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</row>
    <row r="55" spans="1:37" x14ac:dyDescent="0.25">
      <c r="A55" s="46">
        <f t="shared" si="0"/>
        <v>53</v>
      </c>
      <c r="B55" s="129" t="s">
        <v>302</v>
      </c>
      <c r="C55" s="154" t="s">
        <v>125</v>
      </c>
      <c r="D55" s="177" t="str">
        <f t="shared" si="1"/>
        <v>053/ST/2025</v>
      </c>
      <c r="E55" s="131">
        <v>45793</v>
      </c>
      <c r="F55" s="136" t="s">
        <v>433</v>
      </c>
      <c r="G55" s="178"/>
      <c r="H55" s="54"/>
      <c r="I55" s="178">
        <f t="shared" si="13"/>
        <v>0</v>
      </c>
      <c r="J55" s="55"/>
      <c r="K55" s="55">
        <f t="shared" si="14"/>
        <v>0</v>
      </c>
      <c r="L55" s="127" t="s">
        <v>600</v>
      </c>
      <c r="M55" s="127" t="s">
        <v>382</v>
      </c>
      <c r="N55" s="49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</row>
    <row r="56" spans="1:37" x14ac:dyDescent="0.25">
      <c r="A56" s="46">
        <f t="shared" si="0"/>
        <v>54</v>
      </c>
      <c r="B56" s="129" t="s">
        <v>128</v>
      </c>
      <c r="C56" s="154" t="s">
        <v>127</v>
      </c>
      <c r="D56" s="177" t="str">
        <f t="shared" si="1"/>
        <v>054/ST/2025</v>
      </c>
      <c r="E56" s="131">
        <v>45793</v>
      </c>
      <c r="F56" s="136" t="s">
        <v>304</v>
      </c>
      <c r="G56" s="178">
        <v>3000000</v>
      </c>
      <c r="H56" s="179">
        <v>0.08</v>
      </c>
      <c r="I56" s="178">
        <f t="shared" si="13"/>
        <v>240000</v>
      </c>
      <c r="J56" s="55"/>
      <c r="K56" s="55">
        <f t="shared" si="14"/>
        <v>3240000</v>
      </c>
      <c r="L56" s="127" t="s">
        <v>600</v>
      </c>
      <c r="M56" s="127" t="s">
        <v>382</v>
      </c>
      <c r="N56" s="49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</row>
    <row r="57" spans="1:37" x14ac:dyDescent="0.25">
      <c r="A57" s="46">
        <f t="shared" si="0"/>
        <v>55</v>
      </c>
      <c r="B57" s="129" t="s">
        <v>164</v>
      </c>
      <c r="C57" s="154" t="s">
        <v>129</v>
      </c>
      <c r="D57" s="177" t="str">
        <f t="shared" si="1"/>
        <v>055/ST/2025</v>
      </c>
      <c r="E57" s="131">
        <v>45793</v>
      </c>
      <c r="F57" s="136" t="s">
        <v>379</v>
      </c>
      <c r="G57" s="178">
        <v>1500000</v>
      </c>
      <c r="H57" s="179">
        <v>0.08</v>
      </c>
      <c r="I57" s="178">
        <f t="shared" si="13"/>
        <v>120000</v>
      </c>
      <c r="J57" s="55"/>
      <c r="K57" s="55">
        <f t="shared" si="14"/>
        <v>1620000</v>
      </c>
      <c r="L57" s="127" t="s">
        <v>600</v>
      </c>
      <c r="M57" s="127" t="s">
        <v>382</v>
      </c>
      <c r="N57" s="49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</row>
    <row r="58" spans="1:37" x14ac:dyDescent="0.25">
      <c r="A58" s="46">
        <f t="shared" si="0"/>
        <v>56</v>
      </c>
      <c r="B58" s="129" t="s">
        <v>32</v>
      </c>
      <c r="C58" s="154" t="s">
        <v>131</v>
      </c>
      <c r="D58" s="177" t="str">
        <f t="shared" si="1"/>
        <v>056/ST/2025</v>
      </c>
      <c r="E58" s="131">
        <v>45793</v>
      </c>
      <c r="F58" s="136" t="s">
        <v>379</v>
      </c>
      <c r="G58" s="178">
        <v>1500000</v>
      </c>
      <c r="H58" s="179">
        <v>0.08</v>
      </c>
      <c r="I58" s="178">
        <f t="shared" si="13"/>
        <v>120000</v>
      </c>
      <c r="J58" s="55"/>
      <c r="K58" s="55">
        <f t="shared" si="14"/>
        <v>1620000</v>
      </c>
      <c r="L58" s="127" t="s">
        <v>25</v>
      </c>
      <c r="M58" s="127" t="s">
        <v>382</v>
      </c>
      <c r="N58" s="49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</row>
    <row r="59" spans="1:37" x14ac:dyDescent="0.25">
      <c r="A59" s="46">
        <f t="shared" si="0"/>
        <v>57</v>
      </c>
      <c r="B59" s="129" t="s">
        <v>156</v>
      </c>
      <c r="C59" s="154" t="s">
        <v>133</v>
      </c>
      <c r="D59" s="177" t="str">
        <f t="shared" si="1"/>
        <v>057/ST/2025</v>
      </c>
      <c r="E59" s="131">
        <v>45798</v>
      </c>
      <c r="F59" s="136" t="s">
        <v>305</v>
      </c>
      <c r="G59" s="178">
        <v>1650000</v>
      </c>
      <c r="H59" s="179">
        <v>0</v>
      </c>
      <c r="I59" s="178">
        <f t="shared" si="13"/>
        <v>0</v>
      </c>
      <c r="J59" s="55"/>
      <c r="K59" s="55">
        <f t="shared" si="14"/>
        <v>1650000</v>
      </c>
      <c r="L59" s="127" t="s">
        <v>600</v>
      </c>
      <c r="M59" s="127" t="s">
        <v>382</v>
      </c>
      <c r="N59" s="49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</row>
    <row r="60" spans="1:37" x14ac:dyDescent="0.25">
      <c r="A60" s="46">
        <f t="shared" si="0"/>
        <v>58</v>
      </c>
      <c r="B60" s="129" t="s">
        <v>56</v>
      </c>
      <c r="C60" s="154" t="s">
        <v>135</v>
      </c>
      <c r="D60" s="177" t="str">
        <f t="shared" si="1"/>
        <v>058/ST/2025</v>
      </c>
      <c r="E60" s="131">
        <v>45799</v>
      </c>
      <c r="F60" s="136" t="s">
        <v>433</v>
      </c>
      <c r="G60" s="178">
        <v>1500000</v>
      </c>
      <c r="H60" s="179">
        <v>0.08</v>
      </c>
      <c r="I60" s="178">
        <f t="shared" si="13"/>
        <v>120000</v>
      </c>
      <c r="J60" s="55"/>
      <c r="K60" s="55">
        <f t="shared" si="14"/>
        <v>1620000</v>
      </c>
      <c r="L60" s="127" t="s">
        <v>600</v>
      </c>
      <c r="M60" s="127" t="s">
        <v>382</v>
      </c>
      <c r="N60" s="49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</row>
    <row r="61" spans="1:37" x14ac:dyDescent="0.25">
      <c r="A61" s="46">
        <f t="shared" si="0"/>
        <v>59</v>
      </c>
      <c r="B61" s="129" t="s">
        <v>104</v>
      </c>
      <c r="C61" s="154" t="s">
        <v>137</v>
      </c>
      <c r="D61" s="177" t="str">
        <f t="shared" si="1"/>
        <v>059/ST/2025</v>
      </c>
      <c r="E61" s="131">
        <v>45799</v>
      </c>
      <c r="F61" s="128" t="s">
        <v>306</v>
      </c>
      <c r="G61" s="178">
        <v>1429000</v>
      </c>
      <c r="H61" s="179">
        <v>0</v>
      </c>
      <c r="I61" s="178">
        <f t="shared" si="13"/>
        <v>0</v>
      </c>
      <c r="J61" s="55"/>
      <c r="K61" s="55">
        <f t="shared" si="14"/>
        <v>1429000</v>
      </c>
      <c r="L61" s="127" t="s">
        <v>600</v>
      </c>
      <c r="M61" s="127" t="s">
        <v>382</v>
      </c>
      <c r="N61" s="49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</row>
    <row r="62" spans="1:37" x14ac:dyDescent="0.25">
      <c r="A62" s="46">
        <f t="shared" si="0"/>
        <v>60</v>
      </c>
      <c r="B62" s="129" t="s">
        <v>162</v>
      </c>
      <c r="C62" s="154" t="s">
        <v>139</v>
      </c>
      <c r="D62" s="177" t="str">
        <f t="shared" si="1"/>
        <v>060/ST/2025</v>
      </c>
      <c r="E62" s="131">
        <v>45803</v>
      </c>
      <c r="F62" s="136" t="s">
        <v>379</v>
      </c>
      <c r="G62" s="178">
        <v>1500000</v>
      </c>
      <c r="H62" s="179">
        <v>0.08</v>
      </c>
      <c r="I62" s="178">
        <f t="shared" si="13"/>
        <v>120000</v>
      </c>
      <c r="J62" s="55"/>
      <c r="K62" s="55">
        <v>1620000</v>
      </c>
      <c r="L62" s="127" t="s">
        <v>600</v>
      </c>
      <c r="M62" s="127" t="s">
        <v>382</v>
      </c>
      <c r="N62" s="49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</row>
    <row r="63" spans="1:37" x14ac:dyDescent="0.25">
      <c r="A63" s="46">
        <f t="shared" si="0"/>
        <v>61</v>
      </c>
      <c r="B63" s="129" t="s">
        <v>86</v>
      </c>
      <c r="C63" s="154" t="s">
        <v>141</v>
      </c>
      <c r="D63" s="177" t="str">
        <f t="shared" si="1"/>
        <v>061/ST/2025</v>
      </c>
      <c r="E63" s="131">
        <v>45805</v>
      </c>
      <c r="F63" s="136" t="s">
        <v>304</v>
      </c>
      <c r="G63" s="178">
        <v>3000000</v>
      </c>
      <c r="H63" s="179">
        <v>0.08</v>
      </c>
      <c r="I63" s="178">
        <f t="shared" si="13"/>
        <v>240000</v>
      </c>
      <c r="J63" s="55"/>
      <c r="K63" s="55">
        <f t="shared" ref="K63:K76" si="15">G63+I63</f>
        <v>3240000</v>
      </c>
      <c r="L63" s="127" t="s">
        <v>600</v>
      </c>
      <c r="M63" s="127"/>
      <c r="N63" s="49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</row>
    <row r="64" spans="1:37" x14ac:dyDescent="0.25">
      <c r="A64" s="46">
        <f t="shared" si="0"/>
        <v>62</v>
      </c>
      <c r="B64" s="129" t="s">
        <v>307</v>
      </c>
      <c r="C64" s="154" t="s">
        <v>143</v>
      </c>
      <c r="D64" s="177" t="str">
        <f t="shared" si="1"/>
        <v>062/ST/2025</v>
      </c>
      <c r="E64" s="131">
        <v>45805</v>
      </c>
      <c r="F64" s="136" t="s">
        <v>626</v>
      </c>
      <c r="G64" s="178">
        <v>429000</v>
      </c>
      <c r="H64" s="179">
        <v>0</v>
      </c>
      <c r="I64" s="178">
        <f t="shared" si="13"/>
        <v>0</v>
      </c>
      <c r="J64" s="55"/>
      <c r="K64" s="55">
        <f t="shared" si="15"/>
        <v>429000</v>
      </c>
      <c r="L64" s="127" t="s">
        <v>600</v>
      </c>
      <c r="M64" s="127"/>
      <c r="N64" s="49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</row>
    <row r="65" spans="1:37" x14ac:dyDescent="0.25">
      <c r="A65" s="46">
        <f t="shared" si="0"/>
        <v>63</v>
      </c>
      <c r="B65" s="129" t="s">
        <v>134</v>
      </c>
      <c r="C65" s="154" t="s">
        <v>145</v>
      </c>
      <c r="D65" s="177" t="str">
        <f t="shared" si="1"/>
        <v>063/ST/2025</v>
      </c>
      <c r="E65" s="131">
        <v>45805</v>
      </c>
      <c r="F65" s="136" t="s">
        <v>261</v>
      </c>
      <c r="G65" s="178">
        <v>1000000</v>
      </c>
      <c r="H65" s="179">
        <v>0</v>
      </c>
      <c r="I65" s="178">
        <f t="shared" si="13"/>
        <v>0</v>
      </c>
      <c r="J65" s="55"/>
      <c r="K65" s="55">
        <f t="shared" si="15"/>
        <v>1000000</v>
      </c>
      <c r="L65" s="127" t="s">
        <v>25</v>
      </c>
      <c r="M65" s="127"/>
      <c r="N65" s="49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</row>
    <row r="66" spans="1:37" x14ac:dyDescent="0.25">
      <c r="A66" s="46">
        <f t="shared" si="0"/>
        <v>64</v>
      </c>
      <c r="B66" s="129" t="s">
        <v>188</v>
      </c>
      <c r="C66" s="154" t="s">
        <v>147</v>
      </c>
      <c r="D66" s="177" t="str">
        <f t="shared" si="1"/>
        <v>064/ST/2025</v>
      </c>
      <c r="E66" s="131">
        <v>45810</v>
      </c>
      <c r="F66" s="136" t="s">
        <v>379</v>
      </c>
      <c r="G66" s="178">
        <v>1500000</v>
      </c>
      <c r="H66" s="179">
        <v>0.08</v>
      </c>
      <c r="I66" s="178">
        <f t="shared" si="13"/>
        <v>120000</v>
      </c>
      <c r="J66" s="55"/>
      <c r="K66" s="55">
        <f t="shared" si="15"/>
        <v>1620000</v>
      </c>
      <c r="L66" s="127" t="s">
        <v>600</v>
      </c>
      <c r="M66" s="127"/>
      <c r="N66" s="49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</row>
    <row r="67" spans="1:37" x14ac:dyDescent="0.25">
      <c r="A67" s="46">
        <f t="shared" si="0"/>
        <v>65</v>
      </c>
      <c r="B67" s="129" t="s">
        <v>102</v>
      </c>
      <c r="C67" s="154" t="s">
        <v>149</v>
      </c>
      <c r="D67" s="177" t="str">
        <f t="shared" si="1"/>
        <v>065/ST/2025</v>
      </c>
      <c r="E67" s="131">
        <v>45813</v>
      </c>
      <c r="F67" s="136" t="s">
        <v>308</v>
      </c>
      <c r="G67" s="178">
        <v>643000</v>
      </c>
      <c r="H67" s="179">
        <v>0</v>
      </c>
      <c r="I67" s="178">
        <f t="shared" si="13"/>
        <v>0</v>
      </c>
      <c r="J67" s="55"/>
      <c r="K67" s="55">
        <f t="shared" si="15"/>
        <v>643000</v>
      </c>
      <c r="L67" s="127" t="s">
        <v>600</v>
      </c>
      <c r="M67" s="127"/>
      <c r="N67" s="49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</row>
    <row r="68" spans="1:37" x14ac:dyDescent="0.25">
      <c r="A68" s="46">
        <f t="shared" si="0"/>
        <v>66</v>
      </c>
      <c r="B68" s="129" t="s">
        <v>64</v>
      </c>
      <c r="C68" s="154" t="s">
        <v>151</v>
      </c>
      <c r="D68" s="177" t="str">
        <f t="shared" si="1"/>
        <v>066/ST/2025</v>
      </c>
      <c r="E68" s="131">
        <v>45818</v>
      </c>
      <c r="F68" s="183" t="s">
        <v>268</v>
      </c>
      <c r="G68" s="178">
        <v>1276000</v>
      </c>
      <c r="H68" s="179">
        <v>0</v>
      </c>
      <c r="I68" s="178">
        <f t="shared" si="13"/>
        <v>0</v>
      </c>
      <c r="J68" s="55"/>
      <c r="K68" s="55">
        <f t="shared" si="15"/>
        <v>1276000</v>
      </c>
      <c r="L68" s="127" t="s">
        <v>600</v>
      </c>
      <c r="M68" s="127"/>
      <c r="N68" s="49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</row>
    <row r="69" spans="1:37" x14ac:dyDescent="0.25">
      <c r="A69" s="46">
        <f t="shared" si="0"/>
        <v>67</v>
      </c>
      <c r="B69" s="129" t="s">
        <v>70</v>
      </c>
      <c r="C69" s="154" t="s">
        <v>153</v>
      </c>
      <c r="D69" s="177" t="str">
        <f t="shared" si="1"/>
        <v>067/ST/2025</v>
      </c>
      <c r="E69" s="131">
        <v>45818</v>
      </c>
      <c r="F69" s="183" t="s">
        <v>268</v>
      </c>
      <c r="G69" s="178">
        <v>1276000</v>
      </c>
      <c r="H69" s="179">
        <v>0</v>
      </c>
      <c r="I69" s="178">
        <f t="shared" si="13"/>
        <v>0</v>
      </c>
      <c r="J69" s="55"/>
      <c r="K69" s="55">
        <f t="shared" si="15"/>
        <v>1276000</v>
      </c>
      <c r="L69" s="127" t="s">
        <v>600</v>
      </c>
      <c r="M69" s="127"/>
      <c r="N69" s="49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</row>
    <row r="70" spans="1:37" x14ac:dyDescent="0.25">
      <c r="A70" s="46">
        <f t="shared" si="0"/>
        <v>68</v>
      </c>
      <c r="B70" s="129" t="s">
        <v>16</v>
      </c>
      <c r="C70" s="154" t="s">
        <v>155</v>
      </c>
      <c r="D70" s="177" t="str">
        <f t="shared" si="1"/>
        <v>068/ST/2025</v>
      </c>
      <c r="E70" s="131">
        <v>45819</v>
      </c>
      <c r="F70" s="183" t="s">
        <v>627</v>
      </c>
      <c r="G70" s="178">
        <v>5000000</v>
      </c>
      <c r="H70" s="179">
        <v>0.08</v>
      </c>
      <c r="I70" s="178">
        <f t="shared" si="13"/>
        <v>400000</v>
      </c>
      <c r="J70" s="55"/>
      <c r="K70" s="55">
        <f t="shared" si="15"/>
        <v>5400000</v>
      </c>
      <c r="L70" s="127" t="s">
        <v>600</v>
      </c>
      <c r="M70" s="127"/>
      <c r="N70" s="49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</row>
    <row r="71" spans="1:37" x14ac:dyDescent="0.25">
      <c r="A71" s="46">
        <f t="shared" si="0"/>
        <v>69</v>
      </c>
      <c r="B71" s="129" t="s">
        <v>628</v>
      </c>
      <c r="C71" s="154" t="s">
        <v>157</v>
      </c>
      <c r="D71" s="177" t="str">
        <f t="shared" si="1"/>
        <v>069/ST/2025</v>
      </c>
      <c r="E71" s="131">
        <v>45825</v>
      </c>
      <c r="F71" s="183" t="s">
        <v>379</v>
      </c>
      <c r="G71" s="178">
        <v>1500000</v>
      </c>
      <c r="H71" s="179">
        <v>0.08</v>
      </c>
      <c r="I71" s="178">
        <f t="shared" si="13"/>
        <v>120000</v>
      </c>
      <c r="J71" s="55"/>
      <c r="K71" s="55">
        <f t="shared" si="15"/>
        <v>1620000</v>
      </c>
      <c r="L71" s="127" t="s">
        <v>600</v>
      </c>
      <c r="M71" s="127"/>
      <c r="N71" s="49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</row>
    <row r="72" spans="1:37" x14ac:dyDescent="0.25">
      <c r="A72" s="46">
        <f t="shared" si="0"/>
        <v>70</v>
      </c>
      <c r="B72" s="129" t="s">
        <v>68</v>
      </c>
      <c r="C72" s="154" t="s">
        <v>159</v>
      </c>
      <c r="D72" s="177" t="str">
        <f t="shared" si="1"/>
        <v>070/ST/2025</v>
      </c>
      <c r="E72" s="131">
        <v>45825</v>
      </c>
      <c r="F72" s="183" t="s">
        <v>629</v>
      </c>
      <c r="G72" s="178">
        <v>3500000</v>
      </c>
      <c r="H72" s="179">
        <v>0.08</v>
      </c>
      <c r="I72" s="178">
        <f t="shared" si="13"/>
        <v>280000</v>
      </c>
      <c r="J72" s="55"/>
      <c r="K72" s="55">
        <f t="shared" si="15"/>
        <v>3780000</v>
      </c>
      <c r="L72" s="127" t="s">
        <v>600</v>
      </c>
      <c r="M72" s="127"/>
      <c r="N72" s="49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</row>
    <row r="73" spans="1:37" x14ac:dyDescent="0.25">
      <c r="A73" s="46">
        <f t="shared" si="0"/>
        <v>71</v>
      </c>
      <c r="B73" s="129" t="s">
        <v>44</v>
      </c>
      <c r="C73" s="154" t="s">
        <v>161</v>
      </c>
      <c r="D73" s="177" t="str">
        <f t="shared" si="1"/>
        <v>071/ST/2025</v>
      </c>
      <c r="E73" s="131">
        <v>45825</v>
      </c>
      <c r="F73" s="183" t="s">
        <v>630</v>
      </c>
      <c r="G73" s="178">
        <v>1500000</v>
      </c>
      <c r="H73" s="179">
        <v>0.08</v>
      </c>
      <c r="I73" s="178">
        <f t="shared" si="13"/>
        <v>120000</v>
      </c>
      <c r="J73" s="55"/>
      <c r="K73" s="55">
        <f t="shared" si="15"/>
        <v>1620000</v>
      </c>
      <c r="L73" s="127" t="s">
        <v>600</v>
      </c>
      <c r="M73" s="127"/>
      <c r="N73" s="49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</row>
    <row r="74" spans="1:37" x14ac:dyDescent="0.25">
      <c r="A74" s="46">
        <f t="shared" si="0"/>
        <v>72</v>
      </c>
      <c r="B74" s="129" t="s">
        <v>136</v>
      </c>
      <c r="C74" s="154" t="s">
        <v>163</v>
      </c>
      <c r="D74" s="177" t="str">
        <f t="shared" si="1"/>
        <v>072/ST/2025</v>
      </c>
      <c r="E74" s="131">
        <v>45825</v>
      </c>
      <c r="F74" s="183" t="s">
        <v>379</v>
      </c>
      <c r="G74" s="178">
        <v>1500000</v>
      </c>
      <c r="H74" s="179">
        <v>0.08</v>
      </c>
      <c r="I74" s="178">
        <f t="shared" si="13"/>
        <v>120000</v>
      </c>
      <c r="J74" s="55"/>
      <c r="K74" s="55">
        <f t="shared" si="15"/>
        <v>1620000</v>
      </c>
      <c r="L74" s="127" t="s">
        <v>600</v>
      </c>
      <c r="M74" s="127"/>
      <c r="N74" s="49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</row>
    <row r="75" spans="1:37" x14ac:dyDescent="0.25">
      <c r="A75" s="46">
        <f t="shared" si="0"/>
        <v>73</v>
      </c>
      <c r="B75" s="129" t="s">
        <v>136</v>
      </c>
      <c r="C75" s="154" t="s">
        <v>165</v>
      </c>
      <c r="D75" s="177" t="str">
        <f t="shared" si="1"/>
        <v>073/ST/2025</v>
      </c>
      <c r="E75" s="131">
        <v>45825</v>
      </c>
      <c r="F75" s="183" t="s">
        <v>379</v>
      </c>
      <c r="G75" s="178">
        <v>1500000</v>
      </c>
      <c r="H75" s="179">
        <v>0.08</v>
      </c>
      <c r="I75" s="178">
        <f t="shared" si="13"/>
        <v>120000</v>
      </c>
      <c r="J75" s="55"/>
      <c r="K75" s="55">
        <f t="shared" si="15"/>
        <v>1620000</v>
      </c>
      <c r="L75" s="127" t="s">
        <v>600</v>
      </c>
      <c r="M75" s="127"/>
      <c r="N75" s="49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</row>
    <row r="76" spans="1:37" x14ac:dyDescent="0.25">
      <c r="A76" s="46">
        <f t="shared" si="0"/>
        <v>74</v>
      </c>
      <c r="B76" s="129" t="s">
        <v>136</v>
      </c>
      <c r="C76" s="154" t="s">
        <v>167</v>
      </c>
      <c r="D76" s="177" t="str">
        <f t="shared" si="1"/>
        <v>074/ST/2025</v>
      </c>
      <c r="E76" s="131">
        <v>45825</v>
      </c>
      <c r="F76" s="183" t="s">
        <v>379</v>
      </c>
      <c r="G76" s="178">
        <v>1500000</v>
      </c>
      <c r="H76" s="179">
        <v>0.08</v>
      </c>
      <c r="I76" s="178">
        <f t="shared" si="13"/>
        <v>120000</v>
      </c>
      <c r="J76" s="55"/>
      <c r="K76" s="55">
        <f t="shared" si="15"/>
        <v>1620000</v>
      </c>
      <c r="L76" s="127" t="s">
        <v>600</v>
      </c>
      <c r="M76" s="127"/>
      <c r="N76" s="49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</row>
    <row r="77" spans="1:37" x14ac:dyDescent="0.25">
      <c r="A77" s="46" t="str">
        <f t="shared" si="0"/>
        <v/>
      </c>
      <c r="B77" s="114"/>
      <c r="C77" s="191"/>
      <c r="D77" s="191"/>
      <c r="E77" s="116"/>
      <c r="F77" s="128"/>
      <c r="G77" s="55"/>
      <c r="H77" s="54"/>
      <c r="I77" s="55"/>
      <c r="J77" s="55"/>
      <c r="K77" s="55"/>
      <c r="L77" s="56"/>
      <c r="M77" s="56"/>
      <c r="N77" s="49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</row>
    <row r="78" spans="1:37" x14ac:dyDescent="0.25">
      <c r="A78" s="46" t="str">
        <f t="shared" si="0"/>
        <v/>
      </c>
      <c r="B78" s="114"/>
      <c r="C78" s="191"/>
      <c r="D78" s="191"/>
      <c r="E78" s="116"/>
      <c r="F78" s="128"/>
      <c r="G78" s="55"/>
      <c r="H78" s="54"/>
      <c r="I78" s="55"/>
      <c r="J78" s="55"/>
      <c r="K78" s="55"/>
      <c r="L78" s="56"/>
      <c r="M78" s="56"/>
      <c r="N78" s="49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</row>
    <row r="79" spans="1:37" x14ac:dyDescent="0.25">
      <c r="A79" s="46" t="str">
        <f t="shared" si="0"/>
        <v/>
      </c>
      <c r="B79" s="114"/>
      <c r="C79" s="191"/>
      <c r="D79" s="191"/>
      <c r="E79" s="116"/>
      <c r="F79" s="128"/>
      <c r="G79" s="55"/>
      <c r="H79" s="54"/>
      <c r="I79" s="55"/>
      <c r="J79" s="55"/>
      <c r="K79" s="55"/>
      <c r="L79" s="56"/>
      <c r="M79" s="56"/>
      <c r="N79" s="49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</row>
    <row r="80" spans="1:37" x14ac:dyDescent="0.25">
      <c r="A80" s="46" t="str">
        <f t="shared" si="0"/>
        <v/>
      </c>
      <c r="B80" s="114"/>
      <c r="C80" s="191"/>
      <c r="D80" s="191"/>
      <c r="E80" s="116"/>
      <c r="F80" s="128"/>
      <c r="G80" s="55"/>
      <c r="H80" s="54"/>
      <c r="I80" s="55"/>
      <c r="J80" s="55"/>
      <c r="K80" s="55"/>
      <c r="L80" s="56"/>
      <c r="M80" s="56"/>
      <c r="N80" s="49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</row>
    <row r="81" spans="1:37" x14ac:dyDescent="0.25">
      <c r="A81" s="46" t="str">
        <f t="shared" si="0"/>
        <v/>
      </c>
      <c r="B81" s="114"/>
      <c r="C81" s="191"/>
      <c r="D81" s="191"/>
      <c r="E81" s="116"/>
      <c r="F81" s="128"/>
      <c r="G81" s="55"/>
      <c r="H81" s="54"/>
      <c r="I81" s="55"/>
      <c r="J81" s="55"/>
      <c r="K81" s="55"/>
      <c r="L81" s="56"/>
      <c r="M81" s="56"/>
      <c r="N81" s="49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</row>
    <row r="82" spans="1:37" x14ac:dyDescent="0.25">
      <c r="A82" s="46" t="str">
        <f t="shared" si="0"/>
        <v/>
      </c>
      <c r="B82" s="114"/>
      <c r="C82" s="191"/>
      <c r="D82" s="191"/>
      <c r="E82" s="116"/>
      <c r="F82" s="128"/>
      <c r="G82" s="55"/>
      <c r="H82" s="54"/>
      <c r="I82" s="55"/>
      <c r="J82" s="55"/>
      <c r="K82" s="55"/>
      <c r="L82" s="56"/>
      <c r="M82" s="56"/>
      <c r="N82" s="49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</row>
    <row r="83" spans="1:37" x14ac:dyDescent="0.25">
      <c r="A83" s="46" t="str">
        <f t="shared" si="0"/>
        <v/>
      </c>
      <c r="B83" s="114"/>
      <c r="C83" s="191"/>
      <c r="D83" s="191"/>
      <c r="E83" s="116"/>
      <c r="F83" s="128"/>
      <c r="G83" s="55"/>
      <c r="H83" s="54"/>
      <c r="I83" s="55"/>
      <c r="J83" s="55"/>
      <c r="K83" s="55"/>
      <c r="L83" s="56"/>
      <c r="M83" s="56"/>
      <c r="N83" s="49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</row>
    <row r="84" spans="1:37" x14ac:dyDescent="0.25">
      <c r="A84" s="46" t="str">
        <f t="shared" si="0"/>
        <v/>
      </c>
      <c r="B84" s="114"/>
      <c r="C84" s="191"/>
      <c r="D84" s="191"/>
      <c r="E84" s="116"/>
      <c r="F84" s="128"/>
      <c r="G84" s="55"/>
      <c r="H84" s="54"/>
      <c r="I84" s="55"/>
      <c r="J84" s="55"/>
      <c r="K84" s="55"/>
      <c r="L84" s="56"/>
      <c r="M84" s="56"/>
      <c r="N84" s="49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</row>
    <row r="85" spans="1:37" x14ac:dyDescent="0.25">
      <c r="A85" s="46" t="str">
        <f t="shared" si="0"/>
        <v/>
      </c>
      <c r="B85" s="114"/>
      <c r="C85" s="191"/>
      <c r="D85" s="191"/>
      <c r="E85" s="116"/>
      <c r="F85" s="128"/>
      <c r="G85" s="55"/>
      <c r="H85" s="54"/>
      <c r="I85" s="55"/>
      <c r="J85" s="55"/>
      <c r="K85" s="55"/>
      <c r="L85" s="56"/>
      <c r="M85" s="56"/>
      <c r="N85" s="49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</row>
    <row r="86" spans="1:37" x14ac:dyDescent="0.25">
      <c r="A86" s="46" t="str">
        <f t="shared" si="0"/>
        <v/>
      </c>
      <c r="B86" s="114"/>
      <c r="C86" s="191"/>
      <c r="D86" s="191"/>
      <c r="E86" s="116"/>
      <c r="F86" s="128"/>
      <c r="G86" s="55"/>
      <c r="H86" s="54"/>
      <c r="I86" s="55"/>
      <c r="J86" s="55"/>
      <c r="K86" s="55"/>
      <c r="L86" s="56"/>
      <c r="M86" s="56"/>
      <c r="N86" s="49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</row>
    <row r="87" spans="1:37" x14ac:dyDescent="0.25">
      <c r="A87" s="46" t="str">
        <f t="shared" si="0"/>
        <v/>
      </c>
      <c r="B87" s="114"/>
      <c r="C87" s="191"/>
      <c r="D87" s="191"/>
      <c r="E87" s="116"/>
      <c r="F87" s="128"/>
      <c r="G87" s="55"/>
      <c r="H87" s="54"/>
      <c r="I87" s="55"/>
      <c r="J87" s="55"/>
      <c r="K87" s="55"/>
      <c r="L87" s="56"/>
      <c r="M87" s="56"/>
      <c r="N87" s="49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</row>
    <row r="88" spans="1:37" x14ac:dyDescent="0.25">
      <c r="A88" s="46" t="str">
        <f t="shared" si="0"/>
        <v/>
      </c>
      <c r="B88" s="114"/>
      <c r="C88" s="191"/>
      <c r="D88" s="191"/>
      <c r="E88" s="116"/>
      <c r="F88" s="128"/>
      <c r="G88" s="55"/>
      <c r="H88" s="54"/>
      <c r="I88" s="55"/>
      <c r="J88" s="55"/>
      <c r="K88" s="55"/>
      <c r="L88" s="56"/>
      <c r="M88" s="56"/>
      <c r="N88" s="49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</row>
    <row r="89" spans="1:37" x14ac:dyDescent="0.25">
      <c r="A89" s="46" t="str">
        <f t="shared" si="0"/>
        <v/>
      </c>
      <c r="B89" s="114"/>
      <c r="C89" s="191"/>
      <c r="D89" s="191"/>
      <c r="E89" s="116"/>
      <c r="F89" s="128"/>
      <c r="G89" s="55"/>
      <c r="H89" s="54"/>
      <c r="I89" s="55"/>
      <c r="J89" s="55"/>
      <c r="K89" s="55"/>
      <c r="L89" s="56"/>
      <c r="M89" s="56"/>
      <c r="N89" s="49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</row>
    <row r="90" spans="1:37" x14ac:dyDescent="0.25">
      <c r="A90" s="46" t="str">
        <f t="shared" si="0"/>
        <v/>
      </c>
      <c r="B90" s="114"/>
      <c r="C90" s="191"/>
      <c r="D90" s="191"/>
      <c r="E90" s="116"/>
      <c r="F90" s="128"/>
      <c r="G90" s="55"/>
      <c r="H90" s="54"/>
      <c r="I90" s="55"/>
      <c r="J90" s="55"/>
      <c r="K90" s="55"/>
      <c r="L90" s="56"/>
      <c r="M90" s="56"/>
      <c r="N90" s="49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</row>
    <row r="91" spans="1:37" x14ac:dyDescent="0.25">
      <c r="A91" s="46" t="str">
        <f t="shared" si="0"/>
        <v/>
      </c>
      <c r="B91" s="114"/>
      <c r="C91" s="191"/>
      <c r="D91" s="191"/>
      <c r="E91" s="116"/>
      <c r="F91" s="128"/>
      <c r="G91" s="55"/>
      <c r="H91" s="54"/>
      <c r="I91" s="55"/>
      <c r="J91" s="55"/>
      <c r="K91" s="55"/>
      <c r="L91" s="56"/>
      <c r="M91" s="56"/>
      <c r="N91" s="49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</row>
    <row r="92" spans="1:37" x14ac:dyDescent="0.25">
      <c r="A92" s="46" t="str">
        <f t="shared" si="0"/>
        <v/>
      </c>
      <c r="B92" s="114"/>
      <c r="C92" s="191"/>
      <c r="D92" s="191"/>
      <c r="E92" s="116"/>
      <c r="F92" s="128"/>
      <c r="G92" s="55"/>
      <c r="H92" s="54"/>
      <c r="I92" s="55"/>
      <c r="J92" s="55"/>
      <c r="K92" s="55"/>
      <c r="L92" s="56"/>
      <c r="M92" s="56"/>
      <c r="N92" s="49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</row>
    <row r="93" spans="1:37" x14ac:dyDescent="0.25">
      <c r="A93" s="46" t="str">
        <f t="shared" si="0"/>
        <v/>
      </c>
      <c r="B93" s="114"/>
      <c r="C93" s="191"/>
      <c r="D93" s="191"/>
      <c r="E93" s="116"/>
      <c r="F93" s="128"/>
      <c r="G93" s="55"/>
      <c r="H93" s="54"/>
      <c r="I93" s="55"/>
      <c r="J93" s="55"/>
      <c r="K93" s="55"/>
      <c r="L93" s="56"/>
      <c r="M93" s="56"/>
      <c r="N93" s="49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</row>
    <row r="94" spans="1:37" x14ac:dyDescent="0.25">
      <c r="A94" s="46" t="str">
        <f t="shared" si="0"/>
        <v/>
      </c>
      <c r="B94" s="114"/>
      <c r="C94" s="191"/>
      <c r="D94" s="191"/>
      <c r="E94" s="116"/>
      <c r="F94" s="128"/>
      <c r="G94" s="55"/>
      <c r="H94" s="54"/>
      <c r="I94" s="55"/>
      <c r="J94" s="55"/>
      <c r="K94" s="55"/>
      <c r="L94" s="56"/>
      <c r="M94" s="56"/>
      <c r="N94" s="49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</row>
    <row r="95" spans="1:37" x14ac:dyDescent="0.25">
      <c r="A95" s="46" t="str">
        <f t="shared" si="0"/>
        <v/>
      </c>
      <c r="B95" s="114"/>
      <c r="C95" s="191"/>
      <c r="D95" s="191"/>
      <c r="E95" s="116"/>
      <c r="F95" s="128"/>
      <c r="G95" s="55"/>
      <c r="H95" s="54"/>
      <c r="I95" s="55"/>
      <c r="J95" s="55"/>
      <c r="K95" s="55"/>
      <c r="L95" s="56"/>
      <c r="M95" s="56"/>
      <c r="N95" s="49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</row>
    <row r="96" spans="1:37" x14ac:dyDescent="0.25">
      <c r="A96" s="46" t="str">
        <f t="shared" si="0"/>
        <v/>
      </c>
      <c r="B96" s="114"/>
      <c r="C96" s="191"/>
      <c r="D96" s="191"/>
      <c r="E96" s="116"/>
      <c r="F96" s="128"/>
      <c r="G96" s="55"/>
      <c r="H96" s="54"/>
      <c r="I96" s="55"/>
      <c r="J96" s="55"/>
      <c r="K96" s="55"/>
      <c r="L96" s="56"/>
      <c r="M96" s="56"/>
      <c r="N96" s="49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</row>
    <row r="97" spans="1:37" x14ac:dyDescent="0.25">
      <c r="A97" s="46" t="str">
        <f t="shared" si="0"/>
        <v/>
      </c>
      <c r="B97" s="114"/>
      <c r="C97" s="191"/>
      <c r="D97" s="191"/>
      <c r="E97" s="116"/>
      <c r="F97" s="128"/>
      <c r="G97" s="55"/>
      <c r="H97" s="54"/>
      <c r="I97" s="55"/>
      <c r="J97" s="55"/>
      <c r="K97" s="55"/>
      <c r="L97" s="56"/>
      <c r="M97" s="56"/>
      <c r="N97" s="49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</row>
    <row r="98" spans="1:37" x14ac:dyDescent="0.25">
      <c r="A98" s="46" t="str">
        <f t="shared" si="0"/>
        <v/>
      </c>
      <c r="B98" s="114"/>
      <c r="C98" s="191"/>
      <c r="D98" s="191"/>
      <c r="E98" s="116"/>
      <c r="F98" s="52"/>
      <c r="G98" s="55"/>
      <c r="H98" s="54"/>
      <c r="I98" s="55"/>
      <c r="J98" s="55"/>
      <c r="K98" s="55"/>
      <c r="L98" s="56"/>
      <c r="M98" s="56"/>
      <c r="N98" s="49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</row>
    <row r="99" spans="1:37" x14ac:dyDescent="0.25">
      <c r="A99" s="46" t="str">
        <f t="shared" si="0"/>
        <v/>
      </c>
      <c r="B99" s="114"/>
      <c r="C99" s="191"/>
      <c r="D99" s="191"/>
      <c r="E99" s="116"/>
      <c r="F99" s="52"/>
      <c r="G99" s="55"/>
      <c r="H99" s="54"/>
      <c r="I99" s="55"/>
      <c r="J99" s="55"/>
      <c r="K99" s="55"/>
      <c r="L99" s="56"/>
      <c r="M99" s="56"/>
      <c r="N99" s="49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</row>
    <row r="100" spans="1:37" x14ac:dyDescent="0.25">
      <c r="A100" s="46" t="str">
        <f t="shared" si="0"/>
        <v/>
      </c>
      <c r="B100" s="114"/>
      <c r="C100" s="191"/>
      <c r="D100" s="191"/>
      <c r="E100" s="116"/>
      <c r="F100" s="52"/>
      <c r="G100" s="55"/>
      <c r="H100" s="54"/>
      <c r="I100" s="55"/>
      <c r="J100" s="55"/>
      <c r="K100" s="55"/>
      <c r="L100" s="56"/>
      <c r="M100" s="56"/>
      <c r="N100" s="49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</row>
    <row r="101" spans="1:37" x14ac:dyDescent="0.25">
      <c r="A101" s="46" t="str">
        <f t="shared" si="0"/>
        <v/>
      </c>
      <c r="B101" s="114"/>
      <c r="C101" s="191"/>
      <c r="D101" s="191"/>
      <c r="E101" s="116"/>
      <c r="F101" s="52"/>
      <c r="G101" s="55"/>
      <c r="H101" s="54"/>
      <c r="I101" s="55"/>
      <c r="J101" s="55"/>
      <c r="K101" s="55"/>
      <c r="L101" s="56"/>
      <c r="M101" s="56"/>
      <c r="N101" s="49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</row>
    <row r="102" spans="1:37" x14ac:dyDescent="0.25">
      <c r="A102" s="46" t="str">
        <f t="shared" si="0"/>
        <v/>
      </c>
      <c r="B102" s="114"/>
      <c r="C102" s="191"/>
      <c r="D102" s="191"/>
      <c r="E102" s="116"/>
      <c r="F102" s="52"/>
      <c r="G102" s="55"/>
      <c r="H102" s="54"/>
      <c r="I102" s="55"/>
      <c r="J102" s="55"/>
      <c r="K102" s="55"/>
      <c r="L102" s="56"/>
      <c r="M102" s="56"/>
      <c r="N102" s="49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</row>
    <row r="103" spans="1:37" x14ac:dyDescent="0.25">
      <c r="A103" s="46" t="str">
        <f t="shared" si="0"/>
        <v/>
      </c>
      <c r="B103" s="114"/>
      <c r="C103" s="191"/>
      <c r="D103" s="191"/>
      <c r="E103" s="116"/>
      <c r="F103" s="52"/>
      <c r="G103" s="55"/>
      <c r="H103" s="54"/>
      <c r="I103" s="55"/>
      <c r="J103" s="55"/>
      <c r="K103" s="55"/>
      <c r="L103" s="56"/>
      <c r="M103" s="56"/>
      <c r="N103" s="49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</row>
    <row r="104" spans="1:37" x14ac:dyDescent="0.25">
      <c r="A104" s="46" t="str">
        <f t="shared" si="0"/>
        <v/>
      </c>
      <c r="B104" s="114"/>
      <c r="C104" s="191"/>
      <c r="D104" s="191"/>
      <c r="E104" s="116"/>
      <c r="F104" s="52"/>
      <c r="G104" s="55"/>
      <c r="H104" s="54"/>
      <c r="I104" s="55"/>
      <c r="J104" s="55"/>
      <c r="K104" s="55"/>
      <c r="L104" s="56"/>
      <c r="M104" s="56"/>
      <c r="N104" s="49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</row>
    <row r="105" spans="1:37" x14ac:dyDescent="0.25">
      <c r="A105" s="46" t="str">
        <f t="shared" si="0"/>
        <v/>
      </c>
      <c r="B105" s="114"/>
      <c r="C105" s="191"/>
      <c r="D105" s="191"/>
      <c r="E105" s="116"/>
      <c r="F105" s="52"/>
      <c r="G105" s="55"/>
      <c r="H105" s="54"/>
      <c r="I105" s="55"/>
      <c r="J105" s="55"/>
      <c r="K105" s="55"/>
      <c r="L105" s="56"/>
      <c r="M105" s="56"/>
      <c r="N105" s="49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</row>
    <row r="106" spans="1:37" x14ac:dyDescent="0.25">
      <c r="A106" s="46" t="str">
        <f t="shared" si="0"/>
        <v/>
      </c>
      <c r="B106" s="114"/>
      <c r="C106" s="191"/>
      <c r="D106" s="191"/>
      <c r="E106" s="116"/>
      <c r="F106" s="52"/>
      <c r="G106" s="55"/>
      <c r="H106" s="54"/>
      <c r="I106" s="55"/>
      <c r="J106" s="55"/>
      <c r="K106" s="55"/>
      <c r="L106" s="56"/>
      <c r="M106" s="56"/>
      <c r="N106" s="49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</row>
    <row r="107" spans="1:37" x14ac:dyDescent="0.25">
      <c r="A107" s="46" t="str">
        <f t="shared" si="0"/>
        <v/>
      </c>
      <c r="B107" s="114"/>
      <c r="C107" s="191"/>
      <c r="D107" s="191"/>
      <c r="E107" s="116"/>
      <c r="F107" s="52"/>
      <c r="G107" s="55"/>
      <c r="H107" s="54"/>
      <c r="I107" s="55"/>
      <c r="J107" s="55"/>
      <c r="K107" s="55"/>
      <c r="L107" s="56"/>
      <c r="M107" s="56"/>
      <c r="N107" s="49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</row>
    <row r="108" spans="1:37" x14ac:dyDescent="0.25">
      <c r="A108" s="46" t="str">
        <f t="shared" si="0"/>
        <v/>
      </c>
      <c r="B108" s="114"/>
      <c r="C108" s="191"/>
      <c r="D108" s="191"/>
      <c r="E108" s="116"/>
      <c r="F108" s="52"/>
      <c r="G108" s="55"/>
      <c r="H108" s="54"/>
      <c r="I108" s="55"/>
      <c r="J108" s="55"/>
      <c r="K108" s="55"/>
      <c r="L108" s="56"/>
      <c r="M108" s="56"/>
      <c r="N108" s="49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</row>
    <row r="109" spans="1:37" x14ac:dyDescent="0.25">
      <c r="A109" s="46" t="str">
        <f t="shared" si="0"/>
        <v/>
      </c>
      <c r="B109" s="114"/>
      <c r="C109" s="191"/>
      <c r="D109" s="191"/>
      <c r="E109" s="116"/>
      <c r="F109" s="52"/>
      <c r="G109" s="55"/>
      <c r="H109" s="54"/>
      <c r="I109" s="55"/>
      <c r="J109" s="55"/>
      <c r="K109" s="55"/>
      <c r="L109" s="56"/>
      <c r="M109" s="56"/>
      <c r="N109" s="49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</row>
    <row r="110" spans="1:37" x14ac:dyDescent="0.25">
      <c r="A110" s="46" t="str">
        <f t="shared" si="0"/>
        <v/>
      </c>
      <c r="B110" s="114"/>
      <c r="C110" s="191"/>
      <c r="D110" s="191"/>
      <c r="E110" s="116"/>
      <c r="F110" s="52"/>
      <c r="G110" s="55"/>
      <c r="H110" s="54"/>
      <c r="I110" s="55"/>
      <c r="J110" s="55"/>
      <c r="K110" s="55"/>
      <c r="L110" s="56"/>
      <c r="M110" s="56"/>
      <c r="N110" s="49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</row>
    <row r="111" spans="1:37" x14ac:dyDescent="0.25">
      <c r="A111" s="46" t="str">
        <f t="shared" si="0"/>
        <v/>
      </c>
      <c r="B111" s="114"/>
      <c r="C111" s="191"/>
      <c r="D111" s="191"/>
      <c r="E111" s="116"/>
      <c r="F111" s="52"/>
      <c r="G111" s="55"/>
      <c r="H111" s="54"/>
      <c r="I111" s="55"/>
      <c r="J111" s="55"/>
      <c r="K111" s="55"/>
      <c r="L111" s="56"/>
      <c r="M111" s="56"/>
      <c r="N111" s="49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</row>
    <row r="112" spans="1:37" x14ac:dyDescent="0.25">
      <c r="A112" s="46" t="str">
        <f t="shared" si="0"/>
        <v/>
      </c>
      <c r="B112" s="114"/>
      <c r="C112" s="191"/>
      <c r="D112" s="191"/>
      <c r="E112" s="116"/>
      <c r="F112" s="52"/>
      <c r="G112" s="55"/>
      <c r="H112" s="54"/>
      <c r="I112" s="55"/>
      <c r="J112" s="55"/>
      <c r="K112" s="55"/>
      <c r="L112" s="56"/>
      <c r="M112" s="56"/>
      <c r="N112" s="49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</row>
    <row r="113" spans="1:37" x14ac:dyDescent="0.25">
      <c r="A113" s="46" t="str">
        <f t="shared" si="0"/>
        <v/>
      </c>
      <c r="B113" s="114"/>
      <c r="C113" s="191"/>
      <c r="D113" s="191"/>
      <c r="E113" s="116"/>
      <c r="F113" s="52"/>
      <c r="G113" s="55"/>
      <c r="H113" s="54"/>
      <c r="I113" s="55"/>
      <c r="J113" s="55"/>
      <c r="K113" s="55"/>
      <c r="L113" s="56"/>
      <c r="M113" s="56"/>
      <c r="N113" s="49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</row>
    <row r="114" spans="1:37" x14ac:dyDescent="0.25">
      <c r="A114" s="46" t="str">
        <f t="shared" si="0"/>
        <v/>
      </c>
      <c r="B114" s="114"/>
      <c r="C114" s="191"/>
      <c r="D114" s="191"/>
      <c r="E114" s="116"/>
      <c r="F114" s="52"/>
      <c r="G114" s="55"/>
      <c r="H114" s="54"/>
      <c r="I114" s="55"/>
      <c r="J114" s="55"/>
      <c r="K114" s="55"/>
      <c r="L114" s="56"/>
      <c r="M114" s="56"/>
      <c r="N114" s="49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</row>
    <row r="115" spans="1:37" x14ac:dyDescent="0.25">
      <c r="A115" s="46" t="str">
        <f t="shared" si="0"/>
        <v/>
      </c>
      <c r="B115" s="114"/>
      <c r="C115" s="191"/>
      <c r="D115" s="191"/>
      <c r="E115" s="116"/>
      <c r="F115" s="52"/>
      <c r="G115" s="55"/>
      <c r="H115" s="54"/>
      <c r="I115" s="55"/>
      <c r="J115" s="55"/>
      <c r="K115" s="55"/>
      <c r="L115" s="56"/>
      <c r="M115" s="56"/>
      <c r="N115" s="49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</row>
    <row r="116" spans="1:37" x14ac:dyDescent="0.25">
      <c r="A116" s="46" t="str">
        <f t="shared" si="0"/>
        <v/>
      </c>
      <c r="B116" s="114"/>
      <c r="C116" s="191"/>
      <c r="D116" s="191"/>
      <c r="E116" s="116"/>
      <c r="F116" s="52"/>
      <c r="G116" s="55"/>
      <c r="H116" s="54"/>
      <c r="I116" s="55"/>
      <c r="J116" s="55"/>
      <c r="K116" s="55"/>
      <c r="L116" s="56"/>
      <c r="M116" s="56"/>
      <c r="N116" s="49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</row>
    <row r="117" spans="1:37" x14ac:dyDescent="0.25">
      <c r="A117" s="46" t="str">
        <f t="shared" si="0"/>
        <v/>
      </c>
      <c r="B117" s="114"/>
      <c r="C117" s="191"/>
      <c r="D117" s="191"/>
      <c r="E117" s="116"/>
      <c r="F117" s="52"/>
      <c r="G117" s="55"/>
      <c r="H117" s="54"/>
      <c r="I117" s="55"/>
      <c r="J117" s="55"/>
      <c r="K117" s="55"/>
      <c r="L117" s="56"/>
      <c r="M117" s="56"/>
      <c r="N117" s="49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</row>
    <row r="118" spans="1:37" x14ac:dyDescent="0.25">
      <c r="A118" s="46" t="str">
        <f t="shared" si="0"/>
        <v/>
      </c>
      <c r="B118" s="114"/>
      <c r="C118" s="191"/>
      <c r="D118" s="191"/>
      <c r="E118" s="116"/>
      <c r="F118" s="52"/>
      <c r="G118" s="55"/>
      <c r="H118" s="54"/>
      <c r="I118" s="55"/>
      <c r="J118" s="55"/>
      <c r="K118" s="55"/>
      <c r="L118" s="56"/>
      <c r="M118" s="56"/>
      <c r="N118" s="49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</row>
    <row r="119" spans="1:37" x14ac:dyDescent="0.25">
      <c r="A119" s="46" t="str">
        <f t="shared" si="0"/>
        <v/>
      </c>
      <c r="B119" s="114"/>
      <c r="C119" s="191"/>
      <c r="D119" s="191"/>
      <c r="E119" s="116"/>
      <c r="F119" s="52"/>
      <c r="G119" s="55"/>
      <c r="H119" s="54"/>
      <c r="I119" s="55"/>
      <c r="J119" s="55"/>
      <c r="K119" s="55"/>
      <c r="L119" s="56"/>
      <c r="M119" s="56"/>
      <c r="N119" s="49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</row>
    <row r="120" spans="1:37" x14ac:dyDescent="0.25">
      <c r="A120" s="46" t="str">
        <f t="shared" si="0"/>
        <v/>
      </c>
      <c r="B120" s="114"/>
      <c r="C120" s="191"/>
      <c r="D120" s="191"/>
      <c r="E120" s="116"/>
      <c r="F120" s="52"/>
      <c r="G120" s="55"/>
      <c r="H120" s="54"/>
      <c r="I120" s="55"/>
      <c r="J120" s="55"/>
      <c r="K120" s="55"/>
      <c r="L120" s="56"/>
      <c r="M120" s="56"/>
      <c r="N120" s="49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</row>
    <row r="121" spans="1:37" x14ac:dyDescent="0.25">
      <c r="A121" s="46" t="str">
        <f t="shared" si="0"/>
        <v/>
      </c>
      <c r="B121" s="114"/>
      <c r="C121" s="191"/>
      <c r="D121" s="191"/>
      <c r="E121" s="116"/>
      <c r="F121" s="52"/>
      <c r="G121" s="55"/>
      <c r="H121" s="54"/>
      <c r="I121" s="55"/>
      <c r="J121" s="55"/>
      <c r="K121" s="55"/>
      <c r="L121" s="56"/>
      <c r="M121" s="56"/>
      <c r="N121" s="49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</row>
    <row r="122" spans="1:37" x14ac:dyDescent="0.25">
      <c r="A122" s="46" t="str">
        <f t="shared" si="0"/>
        <v/>
      </c>
      <c r="B122" s="114"/>
      <c r="C122" s="191"/>
      <c r="D122" s="191"/>
      <c r="E122" s="116"/>
      <c r="F122" s="52"/>
      <c r="G122" s="55"/>
      <c r="H122" s="54"/>
      <c r="I122" s="55"/>
      <c r="J122" s="55"/>
      <c r="K122" s="55"/>
      <c r="L122" s="56"/>
      <c r="M122" s="56"/>
      <c r="N122" s="49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</row>
    <row r="123" spans="1:37" x14ac:dyDescent="0.25">
      <c r="A123" s="46"/>
      <c r="B123" s="114"/>
      <c r="C123" s="191"/>
      <c r="D123" s="191"/>
      <c r="E123" s="116"/>
      <c r="F123" s="52"/>
      <c r="G123" s="55"/>
      <c r="H123" s="54"/>
      <c r="I123" s="55"/>
      <c r="J123" s="55"/>
      <c r="K123" s="55"/>
      <c r="L123" s="56"/>
      <c r="M123" s="56"/>
      <c r="N123" s="49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</row>
    <row r="124" spans="1:37" x14ac:dyDescent="0.25">
      <c r="A124" s="46"/>
      <c r="B124" s="114"/>
      <c r="C124" s="191"/>
      <c r="D124" s="191"/>
      <c r="E124" s="116"/>
      <c r="F124" s="52"/>
      <c r="G124" s="55"/>
      <c r="H124" s="54"/>
      <c r="I124" s="55"/>
      <c r="J124" s="55"/>
      <c r="K124" s="55"/>
      <c r="L124" s="56"/>
      <c r="M124" s="56"/>
      <c r="N124" s="49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</row>
    <row r="125" spans="1:37" x14ac:dyDescent="0.25">
      <c r="A125" s="46"/>
      <c r="B125" s="114"/>
      <c r="C125" s="191"/>
      <c r="D125" s="191"/>
      <c r="E125" s="116"/>
      <c r="F125" s="52"/>
      <c r="G125" s="55"/>
      <c r="H125" s="54"/>
      <c r="I125" s="55"/>
      <c r="J125" s="55"/>
      <c r="K125" s="55"/>
      <c r="L125" s="56"/>
      <c r="M125" s="56"/>
      <c r="N125" s="49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</row>
    <row r="126" spans="1:37" x14ac:dyDescent="0.25">
      <c r="A126" s="46"/>
      <c r="B126" s="114"/>
      <c r="C126" s="191"/>
      <c r="D126" s="191"/>
      <c r="E126" s="116"/>
      <c r="F126" s="52"/>
      <c r="G126" s="55"/>
      <c r="H126" s="54"/>
      <c r="I126" s="55"/>
      <c r="J126" s="55"/>
      <c r="K126" s="55"/>
      <c r="L126" s="56"/>
      <c r="M126" s="56"/>
      <c r="N126" s="49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</row>
    <row r="127" spans="1:37" x14ac:dyDescent="0.25">
      <c r="A127" s="46"/>
      <c r="B127" s="114"/>
      <c r="C127" s="191"/>
      <c r="D127" s="191"/>
      <c r="E127" s="116"/>
      <c r="F127" s="52"/>
      <c r="G127" s="55"/>
      <c r="H127" s="54"/>
      <c r="I127" s="55"/>
      <c r="J127" s="55"/>
      <c r="K127" s="55"/>
      <c r="L127" s="56"/>
      <c r="M127" s="56"/>
      <c r="N127" s="49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</row>
    <row r="128" spans="1:37" x14ac:dyDescent="0.25">
      <c r="A128" s="46"/>
      <c r="B128" s="114"/>
      <c r="C128" s="191"/>
      <c r="D128" s="191"/>
      <c r="E128" s="116"/>
      <c r="F128" s="52"/>
      <c r="G128" s="55"/>
      <c r="H128" s="54"/>
      <c r="I128" s="55"/>
      <c r="J128" s="55"/>
      <c r="K128" s="55"/>
      <c r="L128" s="56"/>
      <c r="M128" s="56"/>
      <c r="N128" s="49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</row>
    <row r="129" spans="1:37" x14ac:dyDescent="0.25">
      <c r="A129" s="46"/>
      <c r="B129" s="114"/>
      <c r="C129" s="191"/>
      <c r="D129" s="191"/>
      <c r="E129" s="116"/>
      <c r="F129" s="52"/>
      <c r="G129" s="55"/>
      <c r="H129" s="54"/>
      <c r="I129" s="55"/>
      <c r="J129" s="55"/>
      <c r="K129" s="55"/>
      <c r="L129" s="56"/>
      <c r="M129" s="56"/>
      <c r="N129" s="49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</row>
    <row r="130" spans="1:37" x14ac:dyDescent="0.25">
      <c r="A130" s="46"/>
      <c r="B130" s="114"/>
      <c r="C130" s="191"/>
      <c r="D130" s="191"/>
      <c r="E130" s="116"/>
      <c r="F130" s="52"/>
      <c r="G130" s="55"/>
      <c r="H130" s="54"/>
      <c r="I130" s="55"/>
      <c r="J130" s="55"/>
      <c r="K130" s="55"/>
      <c r="L130" s="56"/>
      <c r="M130" s="56"/>
      <c r="N130" s="49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</row>
    <row r="131" spans="1:37" x14ac:dyDescent="0.25">
      <c r="A131" s="46"/>
      <c r="B131" s="114"/>
      <c r="C131" s="191"/>
      <c r="D131" s="191"/>
      <c r="E131" s="116"/>
      <c r="F131" s="52"/>
      <c r="G131" s="55"/>
      <c r="H131" s="54"/>
      <c r="I131" s="55"/>
      <c r="J131" s="55"/>
      <c r="K131" s="55"/>
      <c r="L131" s="56"/>
      <c r="M131" s="56"/>
      <c r="N131" s="49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</row>
    <row r="132" spans="1:37" x14ac:dyDescent="0.25">
      <c r="A132" s="46"/>
      <c r="B132" s="114"/>
      <c r="C132" s="191"/>
      <c r="D132" s="191"/>
      <c r="E132" s="116"/>
      <c r="F132" s="52"/>
      <c r="G132" s="55"/>
      <c r="H132" s="54"/>
      <c r="I132" s="55"/>
      <c r="J132" s="55"/>
      <c r="K132" s="55"/>
      <c r="L132" s="56"/>
      <c r="M132" s="56"/>
      <c r="N132" s="49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</row>
    <row r="133" spans="1:37" x14ac:dyDescent="0.25">
      <c r="A133" s="46"/>
      <c r="B133" s="114"/>
      <c r="C133" s="191"/>
      <c r="D133" s="191"/>
      <c r="E133" s="116"/>
      <c r="F133" s="52"/>
      <c r="G133" s="55"/>
      <c r="H133" s="54"/>
      <c r="I133" s="55"/>
      <c r="J133" s="55"/>
      <c r="K133" s="55"/>
      <c r="L133" s="56"/>
      <c r="M133" s="56"/>
      <c r="N133" s="49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</row>
    <row r="134" spans="1:37" x14ac:dyDescent="0.25">
      <c r="A134" s="46"/>
      <c r="B134" s="114"/>
      <c r="C134" s="191"/>
      <c r="D134" s="191"/>
      <c r="E134" s="116"/>
      <c r="F134" s="52"/>
      <c r="G134" s="55"/>
      <c r="H134" s="54"/>
      <c r="I134" s="55"/>
      <c r="J134" s="55"/>
      <c r="K134" s="55"/>
      <c r="L134" s="56"/>
      <c r="M134" s="56"/>
      <c r="N134" s="49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</row>
    <row r="135" spans="1:37" x14ac:dyDescent="0.25">
      <c r="A135" s="46"/>
      <c r="B135" s="114"/>
      <c r="C135" s="191"/>
      <c r="D135" s="191"/>
      <c r="E135" s="116"/>
      <c r="F135" s="52"/>
      <c r="G135" s="55"/>
      <c r="H135" s="54"/>
      <c r="I135" s="55"/>
      <c r="J135" s="55"/>
      <c r="K135" s="55"/>
      <c r="L135" s="56"/>
      <c r="M135" s="56"/>
      <c r="N135" s="49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</row>
    <row r="136" spans="1:37" x14ac:dyDescent="0.25">
      <c r="A136" s="46"/>
      <c r="B136" s="114"/>
      <c r="C136" s="191"/>
      <c r="D136" s="191"/>
      <c r="E136" s="116"/>
      <c r="F136" s="52"/>
      <c r="G136" s="55"/>
      <c r="H136" s="54"/>
      <c r="I136" s="55"/>
      <c r="J136" s="55"/>
      <c r="K136" s="55"/>
      <c r="L136" s="56"/>
      <c r="M136" s="56"/>
      <c r="N136" s="49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</row>
    <row r="137" spans="1:37" x14ac:dyDescent="0.25">
      <c r="A137" s="46"/>
      <c r="B137" s="114"/>
      <c r="C137" s="191"/>
      <c r="D137" s="191"/>
      <c r="E137" s="116"/>
      <c r="F137" s="52"/>
      <c r="G137" s="55"/>
      <c r="H137" s="54"/>
      <c r="I137" s="55"/>
      <c r="J137" s="55"/>
      <c r="K137" s="55"/>
      <c r="L137" s="56"/>
      <c r="M137" s="56"/>
      <c r="N137" s="49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</row>
    <row r="138" spans="1:37" x14ac:dyDescent="0.25">
      <c r="A138" s="46"/>
      <c r="B138" s="114"/>
      <c r="C138" s="191"/>
      <c r="D138" s="191"/>
      <c r="E138" s="116"/>
      <c r="F138" s="52"/>
      <c r="G138" s="55"/>
      <c r="H138" s="54"/>
      <c r="I138" s="55"/>
      <c r="J138" s="55"/>
      <c r="K138" s="55"/>
      <c r="L138" s="56"/>
      <c r="M138" s="56"/>
      <c r="N138" s="49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</row>
    <row r="139" spans="1:37" x14ac:dyDescent="0.25">
      <c r="A139" s="46"/>
      <c r="B139" s="114"/>
      <c r="C139" s="191"/>
      <c r="D139" s="191"/>
      <c r="E139" s="116"/>
      <c r="F139" s="52"/>
      <c r="G139" s="55"/>
      <c r="H139" s="54"/>
      <c r="I139" s="55"/>
      <c r="J139" s="55"/>
      <c r="K139" s="55"/>
      <c r="L139" s="56"/>
      <c r="M139" s="56"/>
      <c r="N139" s="49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</row>
    <row r="140" spans="1:37" x14ac:dyDescent="0.25">
      <c r="A140" s="46"/>
      <c r="B140" s="114"/>
      <c r="C140" s="191"/>
      <c r="D140" s="191"/>
      <c r="E140" s="116"/>
      <c r="F140" s="52"/>
      <c r="G140" s="55"/>
      <c r="H140" s="54"/>
      <c r="I140" s="55"/>
      <c r="J140" s="55"/>
      <c r="K140" s="55"/>
      <c r="L140" s="56"/>
      <c r="M140" s="56"/>
      <c r="N140" s="49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</row>
    <row r="141" spans="1:37" x14ac:dyDescent="0.25">
      <c r="A141" s="46"/>
      <c r="B141" s="114"/>
      <c r="C141" s="191"/>
      <c r="D141" s="191"/>
      <c r="E141" s="116"/>
      <c r="F141" s="52"/>
      <c r="G141" s="55"/>
      <c r="H141" s="54"/>
      <c r="I141" s="55"/>
      <c r="J141" s="55"/>
      <c r="K141" s="55"/>
      <c r="L141" s="56"/>
      <c r="M141" s="56"/>
      <c r="N141" s="49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</row>
    <row r="142" spans="1:37" x14ac:dyDescent="0.25">
      <c r="A142" s="46"/>
      <c r="B142" s="114"/>
      <c r="C142" s="191"/>
      <c r="D142" s="191"/>
      <c r="E142" s="116"/>
      <c r="F142" s="52"/>
      <c r="G142" s="55"/>
      <c r="H142" s="54"/>
      <c r="I142" s="55"/>
      <c r="J142" s="55"/>
      <c r="K142" s="55"/>
      <c r="L142" s="56"/>
      <c r="M142" s="56"/>
      <c r="N142" s="49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</row>
    <row r="143" spans="1:37" x14ac:dyDescent="0.25">
      <c r="A143" s="46"/>
      <c r="B143" s="114"/>
      <c r="C143" s="191"/>
      <c r="D143" s="191"/>
      <c r="E143" s="116"/>
      <c r="F143" s="52"/>
      <c r="G143" s="55"/>
      <c r="H143" s="54"/>
      <c r="I143" s="55"/>
      <c r="J143" s="55"/>
      <c r="K143" s="55"/>
      <c r="L143" s="56"/>
      <c r="M143" s="56"/>
      <c r="N143" s="49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</row>
    <row r="144" spans="1:37" x14ac:dyDescent="0.25">
      <c r="A144" s="46"/>
      <c r="B144" s="114"/>
      <c r="C144" s="191"/>
      <c r="D144" s="191"/>
      <c r="E144" s="116"/>
      <c r="F144" s="52"/>
      <c r="G144" s="55"/>
      <c r="H144" s="54"/>
      <c r="I144" s="55"/>
      <c r="J144" s="55"/>
      <c r="K144" s="55"/>
      <c r="L144" s="56"/>
      <c r="M144" s="56"/>
      <c r="N144" s="49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</row>
    <row r="145" spans="1:37" x14ac:dyDescent="0.25">
      <c r="A145" s="46"/>
      <c r="B145" s="114"/>
      <c r="C145" s="191"/>
      <c r="D145" s="191"/>
      <c r="E145" s="116"/>
      <c r="F145" s="52"/>
      <c r="G145" s="55"/>
      <c r="H145" s="54"/>
      <c r="I145" s="55"/>
      <c r="J145" s="55"/>
      <c r="K145" s="55"/>
      <c r="L145" s="56"/>
      <c r="M145" s="56"/>
      <c r="N145" s="49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</row>
    <row r="146" spans="1:37" x14ac:dyDescent="0.25">
      <c r="A146" s="46"/>
      <c r="B146" s="114"/>
      <c r="C146" s="191"/>
      <c r="D146" s="191"/>
      <c r="E146" s="116"/>
      <c r="F146" s="52"/>
      <c r="G146" s="55"/>
      <c r="H146" s="54"/>
      <c r="I146" s="55"/>
      <c r="J146" s="55"/>
      <c r="K146" s="55"/>
      <c r="L146" s="56"/>
      <c r="M146" s="56"/>
      <c r="N146" s="49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</row>
    <row r="147" spans="1:37" x14ac:dyDescent="0.25">
      <c r="A147" s="46"/>
      <c r="B147" s="114"/>
      <c r="C147" s="191"/>
      <c r="D147" s="191"/>
      <c r="E147" s="116"/>
      <c r="F147" s="52"/>
      <c r="G147" s="55"/>
      <c r="H147" s="54"/>
      <c r="I147" s="55"/>
      <c r="J147" s="55"/>
      <c r="K147" s="55"/>
      <c r="L147" s="56"/>
      <c r="M147" s="56"/>
      <c r="N147" s="49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</row>
    <row r="148" spans="1:37" x14ac:dyDescent="0.25">
      <c r="A148" s="46"/>
      <c r="B148" s="114"/>
      <c r="C148" s="191"/>
      <c r="D148" s="191"/>
      <c r="E148" s="116"/>
      <c r="F148" s="52"/>
      <c r="G148" s="55"/>
      <c r="H148" s="54"/>
      <c r="I148" s="55"/>
      <c r="J148" s="55"/>
      <c r="K148" s="55"/>
      <c r="L148" s="56"/>
      <c r="M148" s="56"/>
      <c r="N148" s="49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</row>
    <row r="149" spans="1:37" x14ac:dyDescent="0.25">
      <c r="A149" s="46"/>
      <c r="B149" s="114"/>
      <c r="C149" s="191"/>
      <c r="D149" s="191"/>
      <c r="E149" s="116"/>
      <c r="F149" s="52"/>
      <c r="G149" s="55"/>
      <c r="H149" s="54"/>
      <c r="I149" s="55"/>
      <c r="J149" s="55"/>
      <c r="K149" s="55"/>
      <c r="L149" s="56"/>
      <c r="M149" s="56"/>
      <c r="N149" s="49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</row>
    <row r="150" spans="1:37" x14ac:dyDescent="0.25">
      <c r="A150" s="46"/>
      <c r="B150" s="114"/>
      <c r="C150" s="191"/>
      <c r="D150" s="191"/>
      <c r="E150" s="116"/>
      <c r="F150" s="52"/>
      <c r="G150" s="55"/>
      <c r="H150" s="54"/>
      <c r="I150" s="55"/>
      <c r="J150" s="55"/>
      <c r="K150" s="55"/>
      <c r="L150" s="56"/>
      <c r="M150" s="56"/>
      <c r="N150" s="49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</row>
    <row r="151" spans="1:37" x14ac:dyDescent="0.25">
      <c r="A151" s="46"/>
      <c r="B151" s="114"/>
      <c r="C151" s="191"/>
      <c r="D151" s="191"/>
      <c r="E151" s="116"/>
      <c r="F151" s="52"/>
      <c r="G151" s="55"/>
      <c r="H151" s="54"/>
      <c r="I151" s="55"/>
      <c r="J151" s="55"/>
      <c r="K151" s="55"/>
      <c r="L151" s="56"/>
      <c r="M151" s="56"/>
      <c r="N151" s="49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</row>
    <row r="152" spans="1:37" x14ac:dyDescent="0.25">
      <c r="A152" s="46"/>
      <c r="B152" s="114"/>
      <c r="C152" s="191"/>
      <c r="D152" s="191"/>
      <c r="E152" s="116"/>
      <c r="F152" s="52"/>
      <c r="G152" s="55"/>
      <c r="H152" s="54"/>
      <c r="I152" s="55"/>
      <c r="J152" s="55"/>
      <c r="K152" s="55"/>
      <c r="L152" s="56"/>
      <c r="M152" s="56"/>
      <c r="N152" s="49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</row>
    <row r="153" spans="1:37" x14ac:dyDescent="0.25">
      <c r="A153" s="46"/>
      <c r="B153" s="114"/>
      <c r="C153" s="191"/>
      <c r="D153" s="191"/>
      <c r="E153" s="116"/>
      <c r="F153" s="52"/>
      <c r="G153" s="55"/>
      <c r="H153" s="54"/>
      <c r="I153" s="55"/>
      <c r="J153" s="55"/>
      <c r="K153" s="55"/>
      <c r="L153" s="56"/>
      <c r="M153" s="56"/>
      <c r="N153" s="49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</row>
    <row r="154" spans="1:37" x14ac:dyDescent="0.25">
      <c r="A154" s="46"/>
      <c r="B154" s="114"/>
      <c r="C154" s="191"/>
      <c r="D154" s="191"/>
      <c r="E154" s="116"/>
      <c r="F154" s="52"/>
      <c r="G154" s="55"/>
      <c r="H154" s="54"/>
      <c r="I154" s="55"/>
      <c r="J154" s="55"/>
      <c r="K154" s="55"/>
      <c r="L154" s="56"/>
      <c r="M154" s="56"/>
      <c r="N154" s="49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</row>
    <row r="155" spans="1:37" x14ac:dyDescent="0.25">
      <c r="A155" s="46"/>
      <c r="B155" s="114"/>
      <c r="C155" s="191"/>
      <c r="D155" s="191"/>
      <c r="E155" s="116"/>
      <c r="F155" s="52"/>
      <c r="G155" s="55"/>
      <c r="H155" s="54"/>
      <c r="I155" s="55"/>
      <c r="J155" s="55"/>
      <c r="K155" s="55"/>
      <c r="L155" s="56"/>
      <c r="M155" s="56"/>
      <c r="N155" s="49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</row>
    <row r="156" spans="1:37" x14ac:dyDescent="0.25">
      <c r="A156" s="46"/>
      <c r="B156" s="114"/>
      <c r="C156" s="191"/>
      <c r="D156" s="191"/>
      <c r="E156" s="116"/>
      <c r="F156" s="52"/>
      <c r="G156" s="55"/>
      <c r="H156" s="54"/>
      <c r="I156" s="55"/>
      <c r="J156" s="55"/>
      <c r="K156" s="55"/>
      <c r="L156" s="56"/>
      <c r="M156" s="56"/>
      <c r="N156" s="49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</row>
    <row r="157" spans="1:37" x14ac:dyDescent="0.25">
      <c r="A157" s="46"/>
      <c r="B157" s="114"/>
      <c r="C157" s="191"/>
      <c r="D157" s="191"/>
      <c r="E157" s="116"/>
      <c r="F157" s="52"/>
      <c r="G157" s="55"/>
      <c r="H157" s="54"/>
      <c r="I157" s="55"/>
      <c r="J157" s="55"/>
      <c r="K157" s="55"/>
      <c r="L157" s="56"/>
      <c r="M157" s="56"/>
      <c r="N157" s="49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</row>
    <row r="158" spans="1:37" x14ac:dyDescent="0.25">
      <c r="A158" s="46"/>
      <c r="B158" s="114"/>
      <c r="C158" s="191"/>
      <c r="D158" s="191"/>
      <c r="E158" s="116"/>
      <c r="F158" s="52"/>
      <c r="G158" s="55"/>
      <c r="H158" s="54"/>
      <c r="I158" s="55"/>
      <c r="J158" s="55"/>
      <c r="K158" s="55"/>
      <c r="L158" s="56"/>
      <c r="M158" s="56"/>
      <c r="N158" s="49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</row>
    <row r="159" spans="1:37" x14ac:dyDescent="0.25">
      <c r="A159" s="46"/>
      <c r="B159" s="114"/>
      <c r="C159" s="191"/>
      <c r="D159" s="191"/>
      <c r="E159" s="116"/>
      <c r="F159" s="52"/>
      <c r="G159" s="55"/>
      <c r="H159" s="54"/>
      <c r="I159" s="55"/>
      <c r="J159" s="55"/>
      <c r="K159" s="55"/>
      <c r="L159" s="56"/>
      <c r="M159" s="56"/>
      <c r="N159" s="49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</row>
    <row r="160" spans="1:37" x14ac:dyDescent="0.25">
      <c r="A160" s="46"/>
      <c r="B160" s="114"/>
      <c r="C160" s="191"/>
      <c r="D160" s="191"/>
      <c r="E160" s="116"/>
      <c r="F160" s="52"/>
      <c r="G160" s="55"/>
      <c r="H160" s="54"/>
      <c r="I160" s="55"/>
      <c r="J160" s="55"/>
      <c r="K160" s="55"/>
      <c r="L160" s="56"/>
      <c r="M160" s="56"/>
      <c r="N160" s="49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</row>
    <row r="161" spans="1:37" x14ac:dyDescent="0.25">
      <c r="A161" s="46"/>
      <c r="B161" s="114"/>
      <c r="C161" s="191"/>
      <c r="D161" s="191"/>
      <c r="E161" s="116"/>
      <c r="F161" s="52"/>
      <c r="G161" s="55"/>
      <c r="H161" s="54"/>
      <c r="I161" s="55"/>
      <c r="J161" s="55"/>
      <c r="K161" s="55"/>
      <c r="L161" s="56"/>
      <c r="M161" s="56"/>
      <c r="N161" s="49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</row>
    <row r="162" spans="1:37" x14ac:dyDescent="0.25">
      <c r="A162" s="46"/>
      <c r="B162" s="114"/>
      <c r="C162" s="191"/>
      <c r="D162" s="191"/>
      <c r="E162" s="116"/>
      <c r="F162" s="52"/>
      <c r="G162" s="55"/>
      <c r="H162" s="54"/>
      <c r="I162" s="55"/>
      <c r="J162" s="55"/>
      <c r="K162" s="55"/>
      <c r="L162" s="56"/>
      <c r="M162" s="56"/>
      <c r="N162" s="49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</row>
    <row r="163" spans="1:37" x14ac:dyDescent="0.25">
      <c r="A163" s="46"/>
      <c r="B163" s="114"/>
      <c r="C163" s="191"/>
      <c r="D163" s="191"/>
      <c r="E163" s="116"/>
      <c r="F163" s="52"/>
      <c r="G163" s="55"/>
      <c r="H163" s="54"/>
      <c r="I163" s="55"/>
      <c r="J163" s="55"/>
      <c r="K163" s="55"/>
      <c r="L163" s="56"/>
      <c r="M163" s="56"/>
      <c r="N163" s="49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</row>
    <row r="164" spans="1:37" x14ac:dyDescent="0.25">
      <c r="A164" s="46"/>
      <c r="B164" s="114"/>
      <c r="C164" s="191"/>
      <c r="D164" s="191"/>
      <c r="E164" s="116"/>
      <c r="F164" s="52"/>
      <c r="G164" s="55"/>
      <c r="H164" s="54"/>
      <c r="I164" s="55"/>
      <c r="J164" s="55"/>
      <c r="K164" s="55"/>
      <c r="L164" s="56"/>
      <c r="M164" s="56"/>
      <c r="N164" s="49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</row>
    <row r="165" spans="1:37" x14ac:dyDescent="0.25">
      <c r="A165" s="46"/>
      <c r="B165" s="114"/>
      <c r="C165" s="191"/>
      <c r="D165" s="191"/>
      <c r="E165" s="116"/>
      <c r="F165" s="52"/>
      <c r="G165" s="55"/>
      <c r="H165" s="54"/>
      <c r="I165" s="55"/>
      <c r="J165" s="55"/>
      <c r="K165" s="55"/>
      <c r="L165" s="56"/>
      <c r="M165" s="56"/>
      <c r="N165" s="49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</row>
    <row r="166" spans="1:37" x14ac:dyDescent="0.25">
      <c r="A166" s="46"/>
      <c r="B166" s="114"/>
      <c r="C166" s="191"/>
      <c r="D166" s="191"/>
      <c r="E166" s="116"/>
      <c r="F166" s="52"/>
      <c r="G166" s="55"/>
      <c r="H166" s="54"/>
      <c r="I166" s="55"/>
      <c r="J166" s="55"/>
      <c r="K166" s="55"/>
      <c r="L166" s="56"/>
      <c r="M166" s="56"/>
      <c r="N166" s="49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</row>
    <row r="167" spans="1:37" x14ac:dyDescent="0.25">
      <c r="A167" s="46"/>
      <c r="B167" s="114"/>
      <c r="C167" s="191"/>
      <c r="D167" s="191"/>
      <c r="E167" s="116"/>
      <c r="F167" s="52"/>
      <c r="G167" s="55"/>
      <c r="H167" s="54"/>
      <c r="I167" s="55"/>
      <c r="J167" s="55"/>
      <c r="K167" s="55"/>
      <c r="L167" s="56"/>
      <c r="M167" s="56"/>
      <c r="N167" s="49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</row>
    <row r="168" spans="1:37" x14ac:dyDescent="0.25">
      <c r="A168" s="46"/>
      <c r="B168" s="114"/>
      <c r="C168" s="191"/>
      <c r="D168" s="191"/>
      <c r="E168" s="116"/>
      <c r="F168" s="52"/>
      <c r="G168" s="55"/>
      <c r="H168" s="54"/>
      <c r="I168" s="55"/>
      <c r="J168" s="55"/>
      <c r="K168" s="55"/>
      <c r="L168" s="56"/>
      <c r="M168" s="56"/>
      <c r="N168" s="49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</row>
    <row r="169" spans="1:37" x14ac:dyDescent="0.25">
      <c r="A169" s="46"/>
      <c r="B169" s="114"/>
      <c r="C169" s="191"/>
      <c r="D169" s="191"/>
      <c r="E169" s="116"/>
      <c r="F169" s="52"/>
      <c r="G169" s="55"/>
      <c r="H169" s="54"/>
      <c r="I169" s="55"/>
      <c r="J169" s="55"/>
      <c r="K169" s="55"/>
      <c r="L169" s="56"/>
      <c r="M169" s="56"/>
      <c r="N169" s="49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</row>
    <row r="170" spans="1:37" x14ac:dyDescent="0.25">
      <c r="A170" s="46"/>
      <c r="B170" s="114"/>
      <c r="C170" s="191"/>
      <c r="D170" s="191"/>
      <c r="E170" s="116"/>
      <c r="F170" s="52"/>
      <c r="G170" s="55"/>
      <c r="H170" s="54"/>
      <c r="I170" s="55"/>
      <c r="J170" s="55"/>
      <c r="K170" s="55"/>
      <c r="L170" s="56"/>
      <c r="M170" s="56"/>
      <c r="N170" s="49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</row>
    <row r="171" spans="1:37" x14ac:dyDescent="0.25">
      <c r="A171" s="46"/>
      <c r="B171" s="114"/>
      <c r="C171" s="191"/>
      <c r="D171" s="191"/>
      <c r="E171" s="116"/>
      <c r="F171" s="52"/>
      <c r="G171" s="55"/>
      <c r="H171" s="54"/>
      <c r="I171" s="55"/>
      <c r="J171" s="55"/>
      <c r="K171" s="55"/>
      <c r="L171" s="56"/>
      <c r="M171" s="56"/>
      <c r="N171" s="49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</row>
    <row r="172" spans="1:37" x14ac:dyDescent="0.25">
      <c r="A172" s="46"/>
      <c r="B172" s="114"/>
      <c r="C172" s="191"/>
      <c r="D172" s="191"/>
      <c r="E172" s="116"/>
      <c r="F172" s="52"/>
      <c r="G172" s="55"/>
      <c r="H172" s="54"/>
      <c r="I172" s="55"/>
      <c r="J172" s="55"/>
      <c r="K172" s="55"/>
      <c r="L172" s="56"/>
      <c r="M172" s="56"/>
      <c r="N172" s="49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</row>
    <row r="173" spans="1:37" x14ac:dyDescent="0.25">
      <c r="A173" s="46"/>
      <c r="B173" s="114"/>
      <c r="C173" s="191"/>
      <c r="D173" s="191"/>
      <c r="E173" s="116"/>
      <c r="F173" s="52"/>
      <c r="G173" s="55"/>
      <c r="H173" s="54"/>
      <c r="I173" s="55"/>
      <c r="J173" s="55"/>
      <c r="K173" s="55"/>
      <c r="L173" s="56"/>
      <c r="M173" s="56"/>
      <c r="N173" s="49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</row>
    <row r="174" spans="1:37" x14ac:dyDescent="0.25">
      <c r="A174" s="46"/>
      <c r="B174" s="114"/>
      <c r="C174" s="191"/>
      <c r="D174" s="191"/>
      <c r="E174" s="116"/>
      <c r="F174" s="52"/>
      <c r="G174" s="55"/>
      <c r="H174" s="54"/>
      <c r="I174" s="55"/>
      <c r="J174" s="55"/>
      <c r="K174" s="55"/>
      <c r="L174" s="56"/>
      <c r="M174" s="56"/>
      <c r="N174" s="49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</row>
    <row r="175" spans="1:37" x14ac:dyDescent="0.25">
      <c r="A175" s="46"/>
      <c r="B175" s="114"/>
      <c r="C175" s="191"/>
      <c r="D175" s="191"/>
      <c r="E175" s="116"/>
      <c r="F175" s="52"/>
      <c r="G175" s="55"/>
      <c r="H175" s="54"/>
      <c r="I175" s="55"/>
      <c r="J175" s="55"/>
      <c r="K175" s="55"/>
      <c r="L175" s="56"/>
      <c r="M175" s="56"/>
      <c r="N175" s="49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</row>
    <row r="176" spans="1:37" x14ac:dyDescent="0.25">
      <c r="A176" s="46"/>
      <c r="B176" s="114"/>
      <c r="C176" s="191"/>
      <c r="D176" s="191"/>
      <c r="E176" s="116"/>
      <c r="F176" s="52"/>
      <c r="G176" s="55"/>
      <c r="H176" s="54"/>
      <c r="I176" s="55"/>
      <c r="J176" s="55"/>
      <c r="K176" s="55"/>
      <c r="L176" s="56"/>
      <c r="M176" s="56"/>
      <c r="N176" s="49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</row>
    <row r="177" spans="1:37" x14ac:dyDescent="0.25">
      <c r="A177" s="46"/>
      <c r="B177" s="114"/>
      <c r="C177" s="191"/>
      <c r="D177" s="191"/>
      <c r="E177" s="116"/>
      <c r="F177" s="52"/>
      <c r="G177" s="55"/>
      <c r="H177" s="54"/>
      <c r="I177" s="55"/>
      <c r="J177" s="55"/>
      <c r="K177" s="55"/>
      <c r="L177" s="56"/>
      <c r="M177" s="56"/>
      <c r="N177" s="49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</row>
    <row r="178" spans="1:37" x14ac:dyDescent="0.25">
      <c r="A178" s="46"/>
      <c r="B178" s="114"/>
      <c r="C178" s="191"/>
      <c r="D178" s="191"/>
      <c r="E178" s="116"/>
      <c r="F178" s="52"/>
      <c r="G178" s="55"/>
      <c r="H178" s="54"/>
      <c r="I178" s="55"/>
      <c r="J178" s="55"/>
      <c r="K178" s="55"/>
      <c r="L178" s="56"/>
      <c r="M178" s="56"/>
      <c r="N178" s="49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</row>
    <row r="179" spans="1:37" x14ac:dyDescent="0.25">
      <c r="A179" s="46"/>
      <c r="B179" s="114"/>
      <c r="C179" s="191"/>
      <c r="D179" s="191"/>
      <c r="E179" s="116"/>
      <c r="F179" s="52"/>
      <c r="G179" s="55"/>
      <c r="H179" s="54"/>
      <c r="I179" s="55"/>
      <c r="J179" s="55"/>
      <c r="K179" s="55"/>
      <c r="L179" s="56"/>
      <c r="M179" s="56"/>
      <c r="N179" s="49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</row>
    <row r="180" spans="1:37" x14ac:dyDescent="0.25">
      <c r="A180" s="46"/>
      <c r="B180" s="114"/>
      <c r="C180" s="191"/>
      <c r="D180" s="191"/>
      <c r="E180" s="116"/>
      <c r="F180" s="52"/>
      <c r="G180" s="55"/>
      <c r="H180" s="54"/>
      <c r="I180" s="55"/>
      <c r="J180" s="55"/>
      <c r="K180" s="55"/>
      <c r="L180" s="56"/>
      <c r="M180" s="56"/>
      <c r="N180" s="49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</row>
    <row r="181" spans="1:37" x14ac:dyDescent="0.25">
      <c r="A181" s="46"/>
      <c r="B181" s="114"/>
      <c r="C181" s="191"/>
      <c r="D181" s="191"/>
      <c r="E181" s="116"/>
      <c r="F181" s="52"/>
      <c r="G181" s="55"/>
      <c r="H181" s="54"/>
      <c r="I181" s="55"/>
      <c r="J181" s="55"/>
      <c r="K181" s="55"/>
      <c r="L181" s="56"/>
      <c r="M181" s="56"/>
      <c r="N181" s="49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</row>
    <row r="182" spans="1:37" x14ac:dyDescent="0.25">
      <c r="A182" s="46"/>
      <c r="B182" s="114"/>
      <c r="C182" s="191"/>
      <c r="D182" s="191"/>
      <c r="E182" s="116"/>
      <c r="F182" s="52"/>
      <c r="G182" s="55"/>
      <c r="H182" s="54"/>
      <c r="I182" s="55"/>
      <c r="J182" s="55"/>
      <c r="K182" s="55"/>
      <c r="L182" s="56"/>
      <c r="M182" s="56"/>
      <c r="N182" s="49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</row>
    <row r="183" spans="1:37" x14ac:dyDescent="0.25">
      <c r="A183" s="46"/>
      <c r="B183" s="114"/>
      <c r="C183" s="191"/>
      <c r="D183" s="191"/>
      <c r="E183" s="116"/>
      <c r="F183" s="52"/>
      <c r="G183" s="55"/>
      <c r="H183" s="54"/>
      <c r="I183" s="55"/>
      <c r="J183" s="55"/>
      <c r="K183" s="55"/>
      <c r="L183" s="56"/>
      <c r="M183" s="56"/>
      <c r="N183" s="49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</row>
    <row r="184" spans="1:37" x14ac:dyDescent="0.25">
      <c r="A184" s="46"/>
      <c r="B184" s="114"/>
      <c r="C184" s="191"/>
      <c r="D184" s="191"/>
      <c r="E184" s="116"/>
      <c r="F184" s="52"/>
      <c r="G184" s="55"/>
      <c r="H184" s="54"/>
      <c r="I184" s="55"/>
      <c r="J184" s="55"/>
      <c r="K184" s="55"/>
      <c r="L184" s="56"/>
      <c r="M184" s="56"/>
      <c r="N184" s="49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</row>
    <row r="185" spans="1:37" x14ac:dyDescent="0.25">
      <c r="A185" s="46"/>
      <c r="B185" s="114"/>
      <c r="C185" s="191"/>
      <c r="D185" s="191"/>
      <c r="E185" s="116"/>
      <c r="F185" s="52"/>
      <c r="G185" s="55"/>
      <c r="H185" s="54"/>
      <c r="I185" s="55"/>
      <c r="J185" s="55"/>
      <c r="K185" s="55"/>
      <c r="L185" s="56"/>
      <c r="M185" s="56"/>
      <c r="N185" s="49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</row>
    <row r="186" spans="1:37" x14ac:dyDescent="0.25">
      <c r="A186" s="46"/>
      <c r="B186" s="114"/>
      <c r="C186" s="191"/>
      <c r="D186" s="191"/>
      <c r="E186" s="116"/>
      <c r="F186" s="52"/>
      <c r="G186" s="55"/>
      <c r="H186" s="54"/>
      <c r="I186" s="55"/>
      <c r="J186" s="55"/>
      <c r="K186" s="55"/>
      <c r="L186" s="56"/>
      <c r="M186" s="56"/>
      <c r="N186" s="49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</row>
    <row r="187" spans="1:37" x14ac:dyDescent="0.25">
      <c r="A187" s="46"/>
      <c r="B187" s="114"/>
      <c r="C187" s="191"/>
      <c r="D187" s="191"/>
      <c r="E187" s="116"/>
      <c r="F187" s="52"/>
      <c r="G187" s="55"/>
      <c r="H187" s="54"/>
      <c r="I187" s="55"/>
      <c r="J187" s="55"/>
      <c r="K187" s="55"/>
      <c r="L187" s="56"/>
      <c r="M187" s="56"/>
      <c r="N187" s="49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</row>
    <row r="188" spans="1:37" x14ac:dyDescent="0.25">
      <c r="A188" s="46"/>
      <c r="B188" s="114"/>
      <c r="C188" s="191"/>
      <c r="D188" s="191"/>
      <c r="E188" s="116"/>
      <c r="F188" s="52"/>
      <c r="G188" s="55"/>
      <c r="H188" s="54"/>
      <c r="I188" s="55"/>
      <c r="J188" s="55"/>
      <c r="K188" s="55"/>
      <c r="L188" s="56"/>
      <c r="M188" s="56"/>
      <c r="N188" s="49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</row>
    <row r="189" spans="1:37" x14ac:dyDescent="0.25">
      <c r="A189" s="46"/>
      <c r="B189" s="114"/>
      <c r="C189" s="191"/>
      <c r="D189" s="191"/>
      <c r="E189" s="116"/>
      <c r="F189" s="52"/>
      <c r="G189" s="55"/>
      <c r="H189" s="54"/>
      <c r="I189" s="55"/>
      <c r="J189" s="55"/>
      <c r="K189" s="55"/>
      <c r="L189" s="56"/>
      <c r="M189" s="56"/>
      <c r="N189" s="49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</row>
    <row r="190" spans="1:37" x14ac:dyDescent="0.25">
      <c r="A190" s="46"/>
      <c r="B190" s="114"/>
      <c r="C190" s="191"/>
      <c r="D190" s="191"/>
      <c r="E190" s="116"/>
      <c r="F190" s="52"/>
      <c r="G190" s="55"/>
      <c r="H190" s="54"/>
      <c r="I190" s="55"/>
      <c r="J190" s="55"/>
      <c r="K190" s="55"/>
      <c r="L190" s="56"/>
      <c r="M190" s="56"/>
      <c r="N190" s="49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</row>
    <row r="191" spans="1:37" x14ac:dyDescent="0.25">
      <c r="A191" s="46"/>
      <c r="B191" s="114"/>
      <c r="C191" s="191"/>
      <c r="D191" s="191"/>
      <c r="E191" s="116"/>
      <c r="F191" s="52"/>
      <c r="G191" s="55"/>
      <c r="H191" s="54"/>
      <c r="I191" s="55"/>
      <c r="J191" s="55"/>
      <c r="K191" s="55"/>
      <c r="L191" s="56"/>
      <c r="M191" s="56"/>
      <c r="N191" s="49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</row>
    <row r="192" spans="1:37" x14ac:dyDescent="0.25">
      <c r="A192" s="46"/>
      <c r="B192" s="114"/>
      <c r="C192" s="191"/>
      <c r="D192" s="191"/>
      <c r="E192" s="116"/>
      <c r="F192" s="52"/>
      <c r="G192" s="55"/>
      <c r="H192" s="54"/>
      <c r="I192" s="55"/>
      <c r="J192" s="55"/>
      <c r="K192" s="55"/>
      <c r="L192" s="56"/>
      <c r="M192" s="56"/>
      <c r="N192" s="49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</row>
    <row r="193" spans="1:37" x14ac:dyDescent="0.25">
      <c r="A193" s="46"/>
      <c r="B193" s="114"/>
      <c r="C193" s="191"/>
      <c r="D193" s="191"/>
      <c r="E193" s="116"/>
      <c r="F193" s="52"/>
      <c r="G193" s="55"/>
      <c r="H193" s="54"/>
      <c r="I193" s="55"/>
      <c r="J193" s="55"/>
      <c r="K193" s="55"/>
      <c r="L193" s="56"/>
      <c r="M193" s="56"/>
      <c r="N193" s="49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</row>
    <row r="194" spans="1:37" x14ac:dyDescent="0.25">
      <c r="A194" s="46"/>
      <c r="B194" s="114"/>
      <c r="C194" s="191"/>
      <c r="D194" s="191"/>
      <c r="E194" s="116"/>
      <c r="F194" s="52"/>
      <c r="G194" s="55"/>
      <c r="H194" s="54"/>
      <c r="I194" s="55"/>
      <c r="J194" s="55"/>
      <c r="K194" s="55"/>
      <c r="L194" s="56"/>
      <c r="M194" s="56"/>
      <c r="N194" s="49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</row>
    <row r="195" spans="1:37" x14ac:dyDescent="0.25">
      <c r="A195" s="46"/>
      <c r="B195" s="114"/>
      <c r="C195" s="191"/>
      <c r="D195" s="191"/>
      <c r="E195" s="116"/>
      <c r="F195" s="52"/>
      <c r="G195" s="55"/>
      <c r="H195" s="54"/>
      <c r="I195" s="55"/>
      <c r="J195" s="55"/>
      <c r="K195" s="55"/>
      <c r="L195" s="56"/>
      <c r="M195" s="56"/>
      <c r="N195" s="49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</row>
    <row r="196" spans="1:37" x14ac:dyDescent="0.25">
      <c r="A196" s="46"/>
      <c r="B196" s="114"/>
      <c r="C196" s="191"/>
      <c r="D196" s="191"/>
      <c r="E196" s="116"/>
      <c r="F196" s="52"/>
      <c r="G196" s="55"/>
      <c r="H196" s="54"/>
      <c r="I196" s="55"/>
      <c r="J196" s="55"/>
      <c r="K196" s="55"/>
      <c r="L196" s="56"/>
      <c r="M196" s="56"/>
      <c r="N196" s="49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</row>
    <row r="197" spans="1:37" x14ac:dyDescent="0.25">
      <c r="A197" s="46"/>
      <c r="B197" s="114"/>
      <c r="C197" s="191"/>
      <c r="D197" s="191"/>
      <c r="E197" s="116"/>
      <c r="F197" s="52"/>
      <c r="G197" s="55"/>
      <c r="H197" s="54"/>
      <c r="I197" s="55"/>
      <c r="J197" s="55"/>
      <c r="K197" s="55"/>
      <c r="L197" s="56"/>
      <c r="M197" s="56"/>
      <c r="N197" s="49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</row>
    <row r="198" spans="1:37" x14ac:dyDescent="0.25">
      <c r="A198" s="46"/>
      <c r="B198" s="114"/>
      <c r="C198" s="191"/>
      <c r="D198" s="191"/>
      <c r="E198" s="116"/>
      <c r="F198" s="52"/>
      <c r="G198" s="55"/>
      <c r="H198" s="54"/>
      <c r="I198" s="55"/>
      <c r="J198" s="55"/>
      <c r="K198" s="55"/>
      <c r="L198" s="56"/>
      <c r="M198" s="56"/>
      <c r="N198" s="49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</row>
    <row r="199" spans="1:37" x14ac:dyDescent="0.25">
      <c r="A199" s="46"/>
      <c r="B199" s="114"/>
      <c r="C199" s="191"/>
      <c r="D199" s="191"/>
      <c r="E199" s="116"/>
      <c r="F199" s="52"/>
      <c r="G199" s="55"/>
      <c r="H199" s="54"/>
      <c r="I199" s="55"/>
      <c r="J199" s="55"/>
      <c r="K199" s="55"/>
      <c r="L199" s="56"/>
      <c r="M199" s="56"/>
      <c r="N199" s="49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</row>
    <row r="200" spans="1:37" x14ac:dyDescent="0.25">
      <c r="A200" s="46"/>
      <c r="B200" s="114"/>
      <c r="C200" s="191"/>
      <c r="D200" s="191"/>
      <c r="E200" s="116"/>
      <c r="F200" s="52"/>
      <c r="G200" s="55"/>
      <c r="H200" s="54"/>
      <c r="I200" s="55"/>
      <c r="J200" s="55"/>
      <c r="K200" s="55"/>
      <c r="L200" s="56"/>
      <c r="M200" s="56"/>
      <c r="N200" s="49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</row>
    <row r="201" spans="1:37" x14ac:dyDescent="0.25">
      <c r="A201" s="46"/>
      <c r="B201" s="114"/>
      <c r="C201" s="191"/>
      <c r="D201" s="191"/>
      <c r="E201" s="116"/>
      <c r="F201" s="52"/>
      <c r="G201" s="55"/>
      <c r="H201" s="54"/>
      <c r="I201" s="55"/>
      <c r="J201" s="55"/>
      <c r="K201" s="55"/>
      <c r="L201" s="56"/>
      <c r="M201" s="56"/>
      <c r="N201" s="49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</row>
    <row r="202" spans="1:37" x14ac:dyDescent="0.25">
      <c r="A202" s="46"/>
      <c r="B202" s="114"/>
      <c r="C202" s="191"/>
      <c r="D202" s="191"/>
      <c r="E202" s="116"/>
      <c r="F202" s="52"/>
      <c r="G202" s="55"/>
      <c r="H202" s="54"/>
      <c r="I202" s="55"/>
      <c r="J202" s="55"/>
      <c r="K202" s="55"/>
      <c r="L202" s="56"/>
      <c r="M202" s="56"/>
      <c r="N202" s="49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</row>
    <row r="203" spans="1:37" x14ac:dyDescent="0.25">
      <c r="A203" s="46"/>
      <c r="B203" s="114"/>
      <c r="C203" s="191"/>
      <c r="D203" s="191"/>
      <c r="E203" s="116"/>
      <c r="F203" s="52"/>
      <c r="G203" s="55"/>
      <c r="H203" s="54"/>
      <c r="I203" s="55"/>
      <c r="J203" s="55"/>
      <c r="K203" s="55"/>
      <c r="L203" s="56"/>
      <c r="M203" s="56"/>
      <c r="N203" s="49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</row>
    <row r="204" spans="1:37" x14ac:dyDescent="0.25">
      <c r="A204" s="46"/>
      <c r="B204" s="114"/>
      <c r="C204" s="191"/>
      <c r="D204" s="191"/>
      <c r="E204" s="116"/>
      <c r="F204" s="52"/>
      <c r="G204" s="55"/>
      <c r="H204" s="54"/>
      <c r="I204" s="55"/>
      <c r="J204" s="55"/>
      <c r="K204" s="55"/>
      <c r="L204" s="56"/>
      <c r="M204" s="56"/>
      <c r="N204" s="49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</row>
    <row r="205" spans="1:37" x14ac:dyDescent="0.25">
      <c r="A205" s="46"/>
      <c r="B205" s="114"/>
      <c r="C205" s="191"/>
      <c r="D205" s="191"/>
      <c r="E205" s="116"/>
      <c r="F205" s="52"/>
      <c r="G205" s="55"/>
      <c r="H205" s="54"/>
      <c r="I205" s="55"/>
      <c r="J205" s="55"/>
      <c r="K205" s="55"/>
      <c r="L205" s="56"/>
      <c r="M205" s="56"/>
      <c r="N205" s="49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</row>
    <row r="206" spans="1:37" x14ac:dyDescent="0.25">
      <c r="A206" s="46"/>
      <c r="B206" s="114"/>
      <c r="C206" s="191"/>
      <c r="D206" s="191"/>
      <c r="E206" s="116"/>
      <c r="F206" s="52"/>
      <c r="G206" s="55"/>
      <c r="H206" s="54"/>
      <c r="I206" s="55"/>
      <c r="J206" s="55"/>
      <c r="K206" s="55"/>
      <c r="L206" s="56"/>
      <c r="M206" s="56"/>
      <c r="N206" s="49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</row>
    <row r="207" spans="1:37" x14ac:dyDescent="0.25">
      <c r="A207" s="46"/>
      <c r="B207" s="114"/>
      <c r="C207" s="191"/>
      <c r="D207" s="191"/>
      <c r="E207" s="116"/>
      <c r="F207" s="52"/>
      <c r="G207" s="55"/>
      <c r="H207" s="54"/>
      <c r="I207" s="55"/>
      <c r="J207" s="55"/>
      <c r="K207" s="55"/>
      <c r="L207" s="56"/>
      <c r="M207" s="56"/>
      <c r="N207" s="49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</row>
    <row r="208" spans="1:37" x14ac:dyDescent="0.25">
      <c r="A208" s="46"/>
      <c r="B208" s="114"/>
      <c r="C208" s="191"/>
      <c r="D208" s="191"/>
      <c r="E208" s="116"/>
      <c r="F208" s="52"/>
      <c r="G208" s="55"/>
      <c r="H208" s="54"/>
      <c r="I208" s="55"/>
      <c r="J208" s="55"/>
      <c r="K208" s="55"/>
      <c r="L208" s="56"/>
      <c r="M208" s="56"/>
      <c r="N208" s="49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</row>
    <row r="209" spans="1:37" x14ac:dyDescent="0.25">
      <c r="A209" s="46"/>
      <c r="B209" s="114"/>
      <c r="C209" s="191"/>
      <c r="D209" s="191"/>
      <c r="E209" s="116"/>
      <c r="F209" s="52"/>
      <c r="G209" s="55"/>
      <c r="H209" s="54"/>
      <c r="I209" s="55"/>
      <c r="J209" s="55"/>
      <c r="K209" s="55"/>
      <c r="L209" s="56"/>
      <c r="M209" s="56"/>
      <c r="N209" s="49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</row>
    <row r="210" spans="1:37" x14ac:dyDescent="0.25">
      <c r="A210" s="46"/>
      <c r="B210" s="114"/>
      <c r="C210" s="191"/>
      <c r="D210" s="191"/>
      <c r="E210" s="116"/>
      <c r="F210" s="52"/>
      <c r="G210" s="55"/>
      <c r="H210" s="54"/>
      <c r="I210" s="55"/>
      <c r="J210" s="55"/>
      <c r="K210" s="55"/>
      <c r="L210" s="56"/>
      <c r="M210" s="56"/>
      <c r="N210" s="49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</row>
    <row r="211" spans="1:37" x14ac:dyDescent="0.25">
      <c r="A211" s="46"/>
      <c r="B211" s="114"/>
      <c r="C211" s="191"/>
      <c r="D211" s="191"/>
      <c r="E211" s="116"/>
      <c r="F211" s="52"/>
      <c r="G211" s="55"/>
      <c r="H211" s="54"/>
      <c r="I211" s="55"/>
      <c r="J211" s="55"/>
      <c r="K211" s="55"/>
      <c r="L211" s="56"/>
      <c r="M211" s="56"/>
      <c r="N211" s="49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</row>
    <row r="212" spans="1:37" x14ac:dyDescent="0.25">
      <c r="A212" s="46"/>
      <c r="B212" s="114"/>
      <c r="C212" s="191"/>
      <c r="D212" s="191"/>
      <c r="E212" s="116"/>
      <c r="F212" s="52"/>
      <c r="G212" s="55"/>
      <c r="H212" s="54"/>
      <c r="I212" s="55"/>
      <c r="J212" s="55"/>
      <c r="K212" s="55"/>
      <c r="L212" s="56"/>
      <c r="M212" s="56"/>
      <c r="N212" s="49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</row>
    <row r="213" spans="1:37" x14ac:dyDescent="0.25">
      <c r="A213" s="46"/>
      <c r="B213" s="114"/>
      <c r="C213" s="191"/>
      <c r="D213" s="191"/>
      <c r="E213" s="116"/>
      <c r="F213" s="52"/>
      <c r="G213" s="55"/>
      <c r="H213" s="54"/>
      <c r="I213" s="55"/>
      <c r="J213" s="55"/>
      <c r="K213" s="55"/>
      <c r="L213" s="56"/>
      <c r="M213" s="56"/>
      <c r="N213" s="49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</row>
    <row r="214" spans="1:37" x14ac:dyDescent="0.25">
      <c r="A214" s="46"/>
      <c r="B214" s="114"/>
      <c r="C214" s="191"/>
      <c r="D214" s="191"/>
      <c r="E214" s="116"/>
      <c r="F214" s="52"/>
      <c r="G214" s="55"/>
      <c r="H214" s="54"/>
      <c r="I214" s="55"/>
      <c r="J214" s="55"/>
      <c r="K214" s="55"/>
      <c r="L214" s="56"/>
      <c r="M214" s="56"/>
      <c r="N214" s="49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</row>
    <row r="215" spans="1:37" x14ac:dyDescent="0.25">
      <c r="A215" s="46"/>
      <c r="B215" s="114"/>
      <c r="C215" s="191"/>
      <c r="D215" s="191"/>
      <c r="E215" s="116"/>
      <c r="F215" s="52"/>
      <c r="G215" s="55"/>
      <c r="H215" s="54"/>
      <c r="I215" s="55"/>
      <c r="J215" s="55"/>
      <c r="K215" s="55"/>
      <c r="L215" s="56"/>
      <c r="M215" s="56"/>
      <c r="N215" s="49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</row>
    <row r="216" spans="1:37" x14ac:dyDescent="0.25">
      <c r="A216" s="46"/>
      <c r="B216" s="114"/>
      <c r="C216" s="191"/>
      <c r="D216" s="191"/>
      <c r="E216" s="116"/>
      <c r="F216" s="52"/>
      <c r="G216" s="55"/>
      <c r="H216" s="54"/>
      <c r="I216" s="55"/>
      <c r="J216" s="55"/>
      <c r="K216" s="55"/>
      <c r="L216" s="56"/>
      <c r="M216" s="56"/>
      <c r="N216" s="49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</row>
    <row r="217" spans="1:37" x14ac:dyDescent="0.25">
      <c r="A217" s="46"/>
      <c r="B217" s="114"/>
      <c r="C217" s="191"/>
      <c r="D217" s="191"/>
      <c r="E217" s="116"/>
      <c r="F217" s="52"/>
      <c r="G217" s="55"/>
      <c r="H217" s="54"/>
      <c r="I217" s="55"/>
      <c r="J217" s="55"/>
      <c r="K217" s="55"/>
      <c r="L217" s="56"/>
      <c r="M217" s="56"/>
      <c r="N217" s="49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</row>
    <row r="218" spans="1:37" x14ac:dyDescent="0.25">
      <c r="A218" s="46"/>
      <c r="B218" s="114"/>
      <c r="C218" s="191"/>
      <c r="D218" s="191"/>
      <c r="E218" s="116"/>
      <c r="F218" s="52"/>
      <c r="G218" s="55"/>
      <c r="H218" s="54"/>
      <c r="I218" s="55"/>
      <c r="J218" s="55"/>
      <c r="K218" s="55"/>
      <c r="L218" s="56"/>
      <c r="M218" s="56"/>
      <c r="N218" s="49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</row>
    <row r="219" spans="1:37" x14ac:dyDescent="0.25">
      <c r="A219" s="46"/>
      <c r="B219" s="114"/>
      <c r="C219" s="191"/>
      <c r="D219" s="191"/>
      <c r="E219" s="116"/>
      <c r="F219" s="52"/>
      <c r="G219" s="55"/>
      <c r="H219" s="54"/>
      <c r="I219" s="55"/>
      <c r="J219" s="55"/>
      <c r="K219" s="55"/>
      <c r="L219" s="56"/>
      <c r="M219" s="56"/>
      <c r="N219" s="49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</row>
    <row r="220" spans="1:37" x14ac:dyDescent="0.25">
      <c r="A220" s="46"/>
      <c r="B220" s="114"/>
      <c r="C220" s="191"/>
      <c r="D220" s="191"/>
      <c r="E220" s="116"/>
      <c r="F220" s="52"/>
      <c r="G220" s="55"/>
      <c r="H220" s="54"/>
      <c r="I220" s="55"/>
      <c r="J220" s="55"/>
      <c r="K220" s="55"/>
      <c r="L220" s="56"/>
      <c r="M220" s="56"/>
      <c r="N220" s="49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</row>
    <row r="221" spans="1:37" x14ac:dyDescent="0.25">
      <c r="A221" s="46"/>
      <c r="B221" s="114"/>
      <c r="C221" s="191"/>
      <c r="D221" s="191"/>
      <c r="E221" s="116"/>
      <c r="F221" s="52"/>
      <c r="G221" s="55"/>
      <c r="H221" s="54"/>
      <c r="I221" s="55"/>
      <c r="J221" s="55"/>
      <c r="K221" s="55"/>
      <c r="L221" s="56"/>
      <c r="M221" s="56"/>
      <c r="N221" s="49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</row>
    <row r="222" spans="1:37" x14ac:dyDescent="0.25">
      <c r="A222" s="46"/>
      <c r="B222" s="114"/>
      <c r="C222" s="191"/>
      <c r="D222" s="191"/>
      <c r="E222" s="116"/>
      <c r="F222" s="52"/>
      <c r="G222" s="55"/>
      <c r="H222" s="54"/>
      <c r="I222" s="55"/>
      <c r="J222" s="55"/>
      <c r="K222" s="55"/>
      <c r="L222" s="56"/>
      <c r="M222" s="56"/>
      <c r="N222" s="49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</row>
    <row r="223" spans="1:37" x14ac:dyDescent="0.25">
      <c r="A223" s="46"/>
      <c r="B223" s="114"/>
      <c r="C223" s="191"/>
      <c r="D223" s="191"/>
      <c r="E223" s="116"/>
      <c r="F223" s="52"/>
      <c r="G223" s="55"/>
      <c r="H223" s="54"/>
      <c r="I223" s="55"/>
      <c r="J223" s="55"/>
      <c r="K223" s="55"/>
      <c r="L223" s="56"/>
      <c r="M223" s="56"/>
      <c r="N223" s="49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</row>
    <row r="224" spans="1:37" x14ac:dyDescent="0.25">
      <c r="A224" s="46"/>
      <c r="B224" s="114"/>
      <c r="C224" s="191"/>
      <c r="D224" s="191"/>
      <c r="E224" s="116"/>
      <c r="F224" s="52"/>
      <c r="G224" s="55"/>
      <c r="H224" s="54"/>
      <c r="I224" s="55"/>
      <c r="J224" s="55"/>
      <c r="K224" s="55"/>
      <c r="L224" s="56"/>
      <c r="M224" s="56"/>
      <c r="N224" s="49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</row>
    <row r="225" spans="1:37" x14ac:dyDescent="0.25">
      <c r="A225" s="46"/>
      <c r="B225" s="114"/>
      <c r="C225" s="191"/>
      <c r="D225" s="191"/>
      <c r="E225" s="116"/>
      <c r="F225" s="52"/>
      <c r="G225" s="55"/>
      <c r="H225" s="54"/>
      <c r="I225" s="55"/>
      <c r="J225" s="55"/>
      <c r="K225" s="55"/>
      <c r="L225" s="56"/>
      <c r="M225" s="56"/>
      <c r="N225" s="49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</row>
    <row r="226" spans="1:37" x14ac:dyDescent="0.25">
      <c r="A226" s="46"/>
      <c r="B226" s="114"/>
      <c r="C226" s="191"/>
      <c r="D226" s="191"/>
      <c r="E226" s="116"/>
      <c r="F226" s="52"/>
      <c r="G226" s="55"/>
      <c r="H226" s="54"/>
      <c r="I226" s="55"/>
      <c r="J226" s="55"/>
      <c r="K226" s="55"/>
      <c r="L226" s="56"/>
      <c r="M226" s="56"/>
      <c r="N226" s="49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</row>
    <row r="227" spans="1:37" x14ac:dyDescent="0.25">
      <c r="A227" s="46"/>
      <c r="B227" s="114"/>
      <c r="C227" s="191"/>
      <c r="D227" s="191"/>
      <c r="E227" s="116"/>
      <c r="F227" s="52"/>
      <c r="G227" s="55"/>
      <c r="H227" s="54"/>
      <c r="I227" s="55"/>
      <c r="J227" s="55"/>
      <c r="K227" s="55"/>
      <c r="L227" s="56"/>
      <c r="M227" s="56"/>
      <c r="N227" s="49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</row>
    <row r="228" spans="1:37" x14ac:dyDescent="0.25">
      <c r="A228" s="46"/>
      <c r="B228" s="114"/>
      <c r="C228" s="191"/>
      <c r="D228" s="191"/>
      <c r="E228" s="116"/>
      <c r="F228" s="52"/>
      <c r="G228" s="55"/>
      <c r="H228" s="54"/>
      <c r="I228" s="55"/>
      <c r="J228" s="55"/>
      <c r="K228" s="55"/>
      <c r="L228" s="56"/>
      <c r="M228" s="56"/>
      <c r="N228" s="49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</row>
    <row r="229" spans="1:37" x14ac:dyDescent="0.25">
      <c r="A229" s="46"/>
      <c r="B229" s="114"/>
      <c r="C229" s="191"/>
      <c r="D229" s="191"/>
      <c r="E229" s="116"/>
      <c r="F229" s="52"/>
      <c r="G229" s="55"/>
      <c r="H229" s="54"/>
      <c r="I229" s="55"/>
      <c r="J229" s="55"/>
      <c r="K229" s="55"/>
      <c r="L229" s="56"/>
      <c r="M229" s="56"/>
      <c r="N229" s="49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</row>
    <row r="230" spans="1:37" x14ac:dyDescent="0.25">
      <c r="A230" s="46"/>
      <c r="B230" s="114"/>
      <c r="C230" s="191"/>
      <c r="D230" s="191"/>
      <c r="E230" s="116"/>
      <c r="F230" s="52"/>
      <c r="G230" s="55"/>
      <c r="H230" s="54"/>
      <c r="I230" s="55"/>
      <c r="J230" s="55"/>
      <c r="K230" s="55"/>
      <c r="L230" s="56"/>
      <c r="M230" s="56"/>
      <c r="N230" s="49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</row>
    <row r="231" spans="1:37" x14ac:dyDescent="0.25">
      <c r="A231" s="46"/>
      <c r="B231" s="114"/>
      <c r="C231" s="191"/>
      <c r="D231" s="191"/>
      <c r="E231" s="116"/>
      <c r="F231" s="52"/>
      <c r="G231" s="55"/>
      <c r="H231" s="54"/>
      <c r="I231" s="55"/>
      <c r="J231" s="55"/>
      <c r="K231" s="55"/>
      <c r="L231" s="56"/>
      <c r="M231" s="56"/>
      <c r="N231" s="49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</row>
    <row r="232" spans="1:37" x14ac:dyDescent="0.25">
      <c r="A232" s="46"/>
      <c r="B232" s="114"/>
      <c r="C232" s="191"/>
      <c r="D232" s="191"/>
      <c r="E232" s="116"/>
      <c r="F232" s="52"/>
      <c r="G232" s="55"/>
      <c r="H232" s="54"/>
      <c r="I232" s="55"/>
      <c r="J232" s="55"/>
      <c r="K232" s="55"/>
      <c r="L232" s="56"/>
      <c r="M232" s="56"/>
      <c r="N232" s="49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</row>
    <row r="233" spans="1:37" x14ac:dyDescent="0.25">
      <c r="A233" s="46"/>
      <c r="B233" s="114"/>
      <c r="C233" s="191"/>
      <c r="D233" s="191"/>
      <c r="E233" s="116"/>
      <c r="F233" s="52"/>
      <c r="G233" s="55"/>
      <c r="H233" s="54"/>
      <c r="I233" s="55"/>
      <c r="J233" s="55"/>
      <c r="K233" s="55"/>
      <c r="L233" s="56"/>
      <c r="M233" s="56"/>
      <c r="N233" s="49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</row>
    <row r="234" spans="1:37" x14ac:dyDescent="0.25">
      <c r="A234" s="46"/>
      <c r="B234" s="114"/>
      <c r="C234" s="191"/>
      <c r="D234" s="191"/>
      <c r="E234" s="116"/>
      <c r="F234" s="52"/>
      <c r="G234" s="55"/>
      <c r="H234" s="54"/>
      <c r="I234" s="55"/>
      <c r="J234" s="55"/>
      <c r="K234" s="55"/>
      <c r="L234" s="56"/>
      <c r="M234" s="56"/>
      <c r="N234" s="49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</row>
    <row r="235" spans="1:37" x14ac:dyDescent="0.25">
      <c r="A235" s="46"/>
      <c r="B235" s="114"/>
      <c r="C235" s="191"/>
      <c r="D235" s="191"/>
      <c r="E235" s="116"/>
      <c r="F235" s="52"/>
      <c r="G235" s="55"/>
      <c r="H235" s="54"/>
      <c r="I235" s="55"/>
      <c r="J235" s="55"/>
      <c r="K235" s="55"/>
      <c r="L235" s="56"/>
      <c r="M235" s="56"/>
      <c r="N235" s="49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</row>
    <row r="236" spans="1:37" x14ac:dyDescent="0.25">
      <c r="A236" s="46"/>
      <c r="B236" s="114"/>
      <c r="C236" s="191"/>
      <c r="D236" s="191"/>
      <c r="E236" s="116"/>
      <c r="F236" s="52"/>
      <c r="G236" s="55"/>
      <c r="H236" s="54"/>
      <c r="I236" s="55"/>
      <c r="J236" s="55"/>
      <c r="K236" s="55"/>
      <c r="L236" s="56"/>
      <c r="M236" s="56"/>
      <c r="N236" s="49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</row>
    <row r="237" spans="1:37" x14ac:dyDescent="0.25">
      <c r="A237" s="46"/>
      <c r="B237" s="114"/>
      <c r="C237" s="191"/>
      <c r="D237" s="191"/>
      <c r="E237" s="116"/>
      <c r="F237" s="52"/>
      <c r="G237" s="55"/>
      <c r="H237" s="54"/>
      <c r="I237" s="55"/>
      <c r="J237" s="55"/>
      <c r="K237" s="55"/>
      <c r="L237" s="56"/>
      <c r="M237" s="56"/>
      <c r="N237" s="49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</row>
    <row r="238" spans="1:37" x14ac:dyDescent="0.25">
      <c r="A238" s="46"/>
      <c r="B238" s="114"/>
      <c r="C238" s="191"/>
      <c r="D238" s="191"/>
      <c r="E238" s="116"/>
      <c r="F238" s="52"/>
      <c r="G238" s="55"/>
      <c r="H238" s="54"/>
      <c r="I238" s="55"/>
      <c r="J238" s="55"/>
      <c r="K238" s="55"/>
      <c r="L238" s="56"/>
      <c r="M238" s="56"/>
      <c r="N238" s="49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</row>
    <row r="239" spans="1:37" x14ac:dyDescent="0.25">
      <c r="A239" s="46"/>
      <c r="B239" s="114"/>
      <c r="C239" s="191"/>
      <c r="D239" s="191"/>
      <c r="E239" s="116"/>
      <c r="F239" s="52"/>
      <c r="G239" s="55"/>
      <c r="H239" s="54"/>
      <c r="I239" s="55"/>
      <c r="J239" s="55"/>
      <c r="K239" s="55"/>
      <c r="L239" s="56"/>
      <c r="M239" s="56"/>
      <c r="N239" s="49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</row>
    <row r="240" spans="1:37" x14ac:dyDescent="0.25">
      <c r="A240" s="46"/>
      <c r="B240" s="114"/>
      <c r="C240" s="191"/>
      <c r="D240" s="191"/>
      <c r="E240" s="116"/>
      <c r="F240" s="52"/>
      <c r="G240" s="55"/>
      <c r="H240" s="54"/>
      <c r="I240" s="55"/>
      <c r="J240" s="55"/>
      <c r="K240" s="55"/>
      <c r="L240" s="56"/>
      <c r="M240" s="56"/>
      <c r="N240" s="49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</row>
    <row r="241" spans="1:37" x14ac:dyDescent="0.25">
      <c r="A241" s="46"/>
      <c r="B241" s="114"/>
      <c r="C241" s="191"/>
      <c r="D241" s="191"/>
      <c r="E241" s="116"/>
      <c r="F241" s="52"/>
      <c r="G241" s="55"/>
      <c r="H241" s="54"/>
      <c r="I241" s="55"/>
      <c r="J241" s="55"/>
      <c r="K241" s="55"/>
      <c r="L241" s="56"/>
      <c r="M241" s="56"/>
      <c r="N241" s="49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</row>
    <row r="242" spans="1:37" x14ac:dyDescent="0.25">
      <c r="A242" s="46"/>
      <c r="B242" s="114"/>
      <c r="C242" s="191"/>
      <c r="D242" s="191"/>
      <c r="E242" s="116"/>
      <c r="F242" s="52"/>
      <c r="G242" s="55"/>
      <c r="H242" s="54"/>
      <c r="I242" s="55"/>
      <c r="J242" s="55"/>
      <c r="K242" s="55"/>
      <c r="L242" s="56"/>
      <c r="M242" s="56"/>
      <c r="N242" s="49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</row>
    <row r="243" spans="1:37" x14ac:dyDescent="0.25">
      <c r="A243" s="46"/>
      <c r="B243" s="114"/>
      <c r="C243" s="191"/>
      <c r="D243" s="191"/>
      <c r="E243" s="116"/>
      <c r="F243" s="52"/>
      <c r="G243" s="55"/>
      <c r="H243" s="54"/>
      <c r="I243" s="55"/>
      <c r="J243" s="55"/>
      <c r="K243" s="55"/>
      <c r="L243" s="56"/>
      <c r="M243" s="56"/>
      <c r="N243" s="49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</row>
    <row r="244" spans="1:37" x14ac:dyDescent="0.25">
      <c r="A244" s="46"/>
      <c r="B244" s="114"/>
      <c r="C244" s="191"/>
      <c r="D244" s="191"/>
      <c r="E244" s="116"/>
      <c r="F244" s="52"/>
      <c r="G244" s="55"/>
      <c r="H244" s="54"/>
      <c r="I244" s="55"/>
      <c r="J244" s="55"/>
      <c r="K244" s="55"/>
      <c r="L244" s="56"/>
      <c r="M244" s="56"/>
      <c r="N244" s="49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</row>
    <row r="245" spans="1:37" x14ac:dyDescent="0.25">
      <c r="A245" s="46"/>
      <c r="B245" s="114"/>
      <c r="C245" s="191"/>
      <c r="D245" s="191"/>
      <c r="E245" s="116"/>
      <c r="F245" s="52"/>
      <c r="G245" s="55"/>
      <c r="H245" s="54"/>
      <c r="I245" s="55"/>
      <c r="J245" s="55"/>
      <c r="K245" s="55"/>
      <c r="L245" s="56"/>
      <c r="M245" s="56"/>
      <c r="N245" s="49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</row>
    <row r="246" spans="1:37" x14ac:dyDescent="0.25">
      <c r="A246" s="46"/>
      <c r="B246" s="114"/>
      <c r="C246" s="191"/>
      <c r="D246" s="191"/>
      <c r="E246" s="116"/>
      <c r="F246" s="52"/>
      <c r="G246" s="55"/>
      <c r="H246" s="54"/>
      <c r="I246" s="55"/>
      <c r="J246" s="55"/>
      <c r="K246" s="55"/>
      <c r="L246" s="56"/>
      <c r="M246" s="56"/>
      <c r="N246" s="49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</row>
    <row r="247" spans="1:37" x14ac:dyDescent="0.25">
      <c r="A247" s="46"/>
      <c r="B247" s="114"/>
      <c r="C247" s="191"/>
      <c r="D247" s="191"/>
      <c r="E247" s="116"/>
      <c r="F247" s="52"/>
      <c r="G247" s="55"/>
      <c r="H247" s="54"/>
      <c r="I247" s="55"/>
      <c r="J247" s="55"/>
      <c r="K247" s="55"/>
      <c r="L247" s="56"/>
      <c r="M247" s="56"/>
      <c r="N247" s="49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</row>
    <row r="248" spans="1:37" x14ac:dyDescent="0.25">
      <c r="A248" s="46"/>
      <c r="B248" s="114"/>
      <c r="C248" s="191"/>
      <c r="D248" s="191"/>
      <c r="E248" s="116"/>
      <c r="F248" s="52"/>
      <c r="G248" s="55"/>
      <c r="H248" s="54"/>
      <c r="I248" s="55"/>
      <c r="J248" s="55"/>
      <c r="K248" s="55"/>
      <c r="L248" s="56"/>
      <c r="M248" s="56"/>
      <c r="N248" s="49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</row>
    <row r="249" spans="1:37" x14ac:dyDescent="0.25">
      <c r="A249" s="46"/>
      <c r="B249" s="114"/>
      <c r="C249" s="191"/>
      <c r="D249" s="191"/>
      <c r="E249" s="116"/>
      <c r="F249" s="52"/>
      <c r="G249" s="55"/>
      <c r="H249" s="54"/>
      <c r="I249" s="55"/>
      <c r="J249" s="55"/>
      <c r="K249" s="55"/>
      <c r="L249" s="56"/>
      <c r="M249" s="56"/>
      <c r="N249" s="49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</row>
    <row r="250" spans="1:37" x14ac:dyDescent="0.25">
      <c r="A250" s="46"/>
      <c r="B250" s="114"/>
      <c r="C250" s="191"/>
      <c r="D250" s="191"/>
      <c r="E250" s="116"/>
      <c r="F250" s="52"/>
      <c r="G250" s="55"/>
      <c r="H250" s="54"/>
      <c r="I250" s="55"/>
      <c r="J250" s="55"/>
      <c r="K250" s="55"/>
      <c r="L250" s="56"/>
      <c r="M250" s="56"/>
      <c r="N250" s="49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</row>
    <row r="251" spans="1:37" x14ac:dyDescent="0.25">
      <c r="A251" s="46"/>
      <c r="B251" s="114"/>
      <c r="C251" s="191"/>
      <c r="D251" s="191"/>
      <c r="E251" s="116"/>
      <c r="F251" s="52"/>
      <c r="G251" s="55"/>
      <c r="H251" s="54"/>
      <c r="I251" s="55"/>
      <c r="J251" s="55"/>
      <c r="K251" s="55"/>
      <c r="L251" s="56"/>
      <c r="M251" s="56"/>
      <c r="N251" s="49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</row>
    <row r="252" spans="1:37" x14ac:dyDescent="0.25">
      <c r="A252" s="46"/>
      <c r="B252" s="114"/>
      <c r="C252" s="191"/>
      <c r="D252" s="191"/>
      <c r="E252" s="116"/>
      <c r="F252" s="52"/>
      <c r="G252" s="55"/>
      <c r="H252" s="54"/>
      <c r="I252" s="55"/>
      <c r="J252" s="55"/>
      <c r="K252" s="55"/>
      <c r="L252" s="56"/>
      <c r="M252" s="56"/>
      <c r="N252" s="49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</row>
    <row r="253" spans="1:37" x14ac:dyDescent="0.25">
      <c r="A253" s="46"/>
      <c r="B253" s="114"/>
      <c r="C253" s="191"/>
      <c r="D253" s="191"/>
      <c r="E253" s="116"/>
      <c r="F253" s="52"/>
      <c r="G253" s="55"/>
      <c r="H253" s="54"/>
      <c r="I253" s="55"/>
      <c r="J253" s="55"/>
      <c r="K253" s="55"/>
      <c r="L253" s="56"/>
      <c r="M253" s="56"/>
      <c r="N253" s="49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</row>
    <row r="254" spans="1:37" x14ac:dyDescent="0.25">
      <c r="A254" s="46"/>
      <c r="B254" s="114"/>
      <c r="C254" s="191"/>
      <c r="D254" s="191"/>
      <c r="E254" s="116"/>
      <c r="F254" s="52"/>
      <c r="G254" s="55"/>
      <c r="H254" s="54"/>
      <c r="I254" s="55"/>
      <c r="J254" s="55"/>
      <c r="K254" s="55"/>
      <c r="L254" s="56"/>
      <c r="M254" s="56"/>
      <c r="N254" s="49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</row>
    <row r="255" spans="1:37" x14ac:dyDescent="0.25">
      <c r="A255" s="46"/>
      <c r="B255" s="114"/>
      <c r="C255" s="191"/>
      <c r="D255" s="191"/>
      <c r="E255" s="116"/>
      <c r="F255" s="52"/>
      <c r="G255" s="55"/>
      <c r="H255" s="54"/>
      <c r="I255" s="55"/>
      <c r="J255" s="55"/>
      <c r="K255" s="55"/>
      <c r="L255" s="56"/>
      <c r="M255" s="56"/>
      <c r="N255" s="49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</row>
    <row r="256" spans="1:37" x14ac:dyDescent="0.25">
      <c r="A256" s="46"/>
      <c r="B256" s="114"/>
      <c r="C256" s="191"/>
      <c r="D256" s="191"/>
      <c r="E256" s="116"/>
      <c r="F256" s="52"/>
      <c r="G256" s="55"/>
      <c r="H256" s="54"/>
      <c r="I256" s="55"/>
      <c r="J256" s="55"/>
      <c r="K256" s="55"/>
      <c r="L256" s="56"/>
      <c r="M256" s="56"/>
      <c r="N256" s="49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</row>
    <row r="257" spans="1:37" x14ac:dyDescent="0.25">
      <c r="A257" s="46"/>
      <c r="B257" s="114"/>
      <c r="C257" s="191"/>
      <c r="D257" s="191"/>
      <c r="E257" s="116"/>
      <c r="F257" s="52"/>
      <c r="G257" s="55"/>
      <c r="H257" s="54"/>
      <c r="I257" s="55"/>
      <c r="J257" s="55"/>
      <c r="K257" s="55"/>
      <c r="L257" s="56"/>
      <c r="M257" s="56"/>
      <c r="N257" s="49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</row>
    <row r="258" spans="1:37" x14ac:dyDescent="0.25">
      <c r="A258" s="46"/>
      <c r="B258" s="114"/>
      <c r="C258" s="191"/>
      <c r="D258" s="191"/>
      <c r="E258" s="116"/>
      <c r="F258" s="52"/>
      <c r="G258" s="55"/>
      <c r="H258" s="54"/>
      <c r="I258" s="55"/>
      <c r="J258" s="55"/>
      <c r="K258" s="55"/>
      <c r="L258" s="56"/>
      <c r="M258" s="56"/>
      <c r="N258" s="49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</row>
    <row r="259" spans="1:37" x14ac:dyDescent="0.25">
      <c r="A259" s="46"/>
      <c r="B259" s="114"/>
      <c r="C259" s="191"/>
      <c r="D259" s="191"/>
      <c r="E259" s="116"/>
      <c r="F259" s="52"/>
      <c r="G259" s="55"/>
      <c r="H259" s="54"/>
      <c r="I259" s="55"/>
      <c r="J259" s="55"/>
      <c r="K259" s="55"/>
      <c r="L259" s="56"/>
      <c r="M259" s="56"/>
      <c r="N259" s="49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</row>
    <row r="260" spans="1:37" x14ac:dyDescent="0.25">
      <c r="A260" s="46"/>
      <c r="B260" s="114"/>
      <c r="C260" s="191"/>
      <c r="D260" s="191"/>
      <c r="E260" s="116"/>
      <c r="F260" s="52"/>
      <c r="G260" s="55"/>
      <c r="H260" s="54"/>
      <c r="I260" s="55"/>
      <c r="J260" s="55"/>
      <c r="K260" s="55"/>
      <c r="L260" s="56"/>
      <c r="M260" s="56"/>
      <c r="N260" s="49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</row>
    <row r="261" spans="1:37" x14ac:dyDescent="0.25">
      <c r="A261" s="46"/>
      <c r="B261" s="114"/>
      <c r="C261" s="191"/>
      <c r="D261" s="191"/>
      <c r="E261" s="116"/>
      <c r="F261" s="52"/>
      <c r="G261" s="55"/>
      <c r="H261" s="54"/>
      <c r="I261" s="55"/>
      <c r="J261" s="55"/>
      <c r="K261" s="55"/>
      <c r="L261" s="56"/>
      <c r="M261" s="56"/>
      <c r="N261" s="49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</row>
    <row r="262" spans="1:37" x14ac:dyDescent="0.25">
      <c r="A262" s="46"/>
      <c r="B262" s="114"/>
      <c r="C262" s="191"/>
      <c r="D262" s="191"/>
      <c r="E262" s="116"/>
      <c r="F262" s="52"/>
      <c r="G262" s="55"/>
      <c r="H262" s="54"/>
      <c r="I262" s="55"/>
      <c r="J262" s="55"/>
      <c r="K262" s="55"/>
      <c r="L262" s="56"/>
      <c r="M262" s="56"/>
      <c r="N262" s="49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</row>
    <row r="263" spans="1:37" x14ac:dyDescent="0.25">
      <c r="A263" s="46"/>
      <c r="B263" s="114"/>
      <c r="C263" s="191"/>
      <c r="D263" s="191"/>
      <c r="E263" s="116"/>
      <c r="F263" s="52"/>
      <c r="G263" s="55"/>
      <c r="H263" s="54"/>
      <c r="I263" s="55"/>
      <c r="J263" s="55"/>
      <c r="K263" s="55"/>
      <c r="L263" s="56"/>
      <c r="M263" s="56"/>
      <c r="N263" s="49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</row>
    <row r="264" spans="1:37" x14ac:dyDescent="0.25">
      <c r="A264" s="46"/>
      <c r="B264" s="114"/>
      <c r="C264" s="191"/>
      <c r="D264" s="191"/>
      <c r="E264" s="116"/>
      <c r="F264" s="52"/>
      <c r="G264" s="55"/>
      <c r="H264" s="54"/>
      <c r="I264" s="55"/>
      <c r="J264" s="55"/>
      <c r="K264" s="55"/>
      <c r="L264" s="56"/>
      <c r="M264" s="56"/>
      <c r="N264" s="49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</row>
    <row r="265" spans="1:37" x14ac:dyDescent="0.25">
      <c r="A265" s="46"/>
      <c r="B265" s="114"/>
      <c r="C265" s="191"/>
      <c r="D265" s="191"/>
      <c r="E265" s="116"/>
      <c r="F265" s="52"/>
      <c r="G265" s="55"/>
      <c r="H265" s="54"/>
      <c r="I265" s="55"/>
      <c r="J265" s="55"/>
      <c r="K265" s="55"/>
      <c r="L265" s="56"/>
      <c r="M265" s="56"/>
      <c r="N265" s="49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</row>
    <row r="266" spans="1:37" x14ac:dyDescent="0.25">
      <c r="A266" s="46"/>
      <c r="B266" s="114"/>
      <c r="C266" s="191"/>
      <c r="D266" s="191"/>
      <c r="E266" s="116"/>
      <c r="F266" s="52"/>
      <c r="G266" s="55"/>
      <c r="H266" s="54"/>
      <c r="I266" s="55"/>
      <c r="J266" s="55"/>
      <c r="K266" s="55"/>
      <c r="L266" s="56"/>
      <c r="M266" s="56"/>
      <c r="N266" s="49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</row>
    <row r="267" spans="1:37" x14ac:dyDescent="0.25">
      <c r="A267" s="46"/>
      <c r="B267" s="114"/>
      <c r="C267" s="191"/>
      <c r="D267" s="191"/>
      <c r="E267" s="116"/>
      <c r="F267" s="52"/>
      <c r="G267" s="55"/>
      <c r="H267" s="54"/>
      <c r="I267" s="55"/>
      <c r="J267" s="55"/>
      <c r="K267" s="55"/>
      <c r="L267" s="56"/>
      <c r="M267" s="56"/>
      <c r="N267" s="49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</row>
    <row r="268" spans="1:37" x14ac:dyDescent="0.25">
      <c r="A268" s="46"/>
      <c r="B268" s="114"/>
      <c r="C268" s="191"/>
      <c r="D268" s="191"/>
      <c r="E268" s="116"/>
      <c r="F268" s="52"/>
      <c r="G268" s="55"/>
      <c r="H268" s="54"/>
      <c r="I268" s="55"/>
      <c r="J268" s="55"/>
      <c r="K268" s="55"/>
      <c r="L268" s="56"/>
      <c r="M268" s="56"/>
      <c r="N268" s="49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</row>
    <row r="269" spans="1:37" x14ac:dyDescent="0.25">
      <c r="A269" s="46"/>
      <c r="B269" s="114"/>
      <c r="C269" s="191"/>
      <c r="D269" s="191"/>
      <c r="E269" s="116"/>
      <c r="F269" s="52"/>
      <c r="G269" s="55"/>
      <c r="H269" s="54"/>
      <c r="I269" s="55"/>
      <c r="J269" s="55"/>
      <c r="K269" s="55"/>
      <c r="L269" s="56"/>
      <c r="M269" s="56"/>
      <c r="N269" s="49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</row>
    <row r="270" spans="1:37" x14ac:dyDescent="0.25">
      <c r="A270" s="46"/>
      <c r="B270" s="114"/>
      <c r="C270" s="191"/>
      <c r="D270" s="191"/>
      <c r="E270" s="116"/>
      <c r="F270" s="52"/>
      <c r="G270" s="55"/>
      <c r="H270" s="54"/>
      <c r="I270" s="55"/>
      <c r="J270" s="55"/>
      <c r="K270" s="55"/>
      <c r="L270" s="56"/>
      <c r="M270" s="56"/>
      <c r="N270" s="49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</row>
    <row r="271" spans="1:37" x14ac:dyDescent="0.25">
      <c r="A271" s="46"/>
      <c r="B271" s="114"/>
      <c r="C271" s="191"/>
      <c r="D271" s="191"/>
      <c r="E271" s="116"/>
      <c r="F271" s="52"/>
      <c r="G271" s="55"/>
      <c r="H271" s="54"/>
      <c r="I271" s="55"/>
      <c r="J271" s="55"/>
      <c r="K271" s="55"/>
      <c r="L271" s="56"/>
      <c r="M271" s="56"/>
      <c r="N271" s="49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</row>
    <row r="272" spans="1:37" x14ac:dyDescent="0.25">
      <c r="A272" s="46"/>
      <c r="B272" s="114"/>
      <c r="C272" s="191"/>
      <c r="D272" s="191"/>
      <c r="E272" s="116"/>
      <c r="F272" s="52"/>
      <c r="G272" s="55"/>
      <c r="H272" s="54"/>
      <c r="I272" s="55"/>
      <c r="J272" s="55"/>
      <c r="K272" s="55"/>
      <c r="L272" s="56"/>
      <c r="M272" s="56"/>
      <c r="N272" s="49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</row>
    <row r="273" spans="1:37" x14ac:dyDescent="0.25">
      <c r="A273" s="46"/>
      <c r="B273" s="114"/>
      <c r="C273" s="191"/>
      <c r="D273" s="191"/>
      <c r="E273" s="116"/>
      <c r="F273" s="52"/>
      <c r="G273" s="55"/>
      <c r="H273" s="54"/>
      <c r="I273" s="55"/>
      <c r="J273" s="55"/>
      <c r="K273" s="55"/>
      <c r="L273" s="56"/>
      <c r="M273" s="56"/>
      <c r="N273" s="49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</row>
    <row r="274" spans="1:37" x14ac:dyDescent="0.25">
      <c r="A274" s="46"/>
      <c r="B274" s="114"/>
      <c r="C274" s="191"/>
      <c r="D274" s="191"/>
      <c r="E274" s="116"/>
      <c r="F274" s="52"/>
      <c r="G274" s="55"/>
      <c r="H274" s="54"/>
      <c r="I274" s="55"/>
      <c r="J274" s="55"/>
      <c r="K274" s="55"/>
      <c r="L274" s="56"/>
      <c r="M274" s="56"/>
      <c r="N274" s="49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</row>
    <row r="275" spans="1:37" x14ac:dyDescent="0.25">
      <c r="A275" s="46"/>
      <c r="B275" s="114"/>
      <c r="C275" s="191"/>
      <c r="D275" s="191"/>
      <c r="E275" s="116"/>
      <c r="F275" s="52"/>
      <c r="G275" s="55"/>
      <c r="H275" s="54"/>
      <c r="I275" s="55"/>
      <c r="J275" s="55"/>
      <c r="K275" s="55"/>
      <c r="L275" s="56"/>
      <c r="M275" s="56"/>
      <c r="N275" s="49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</row>
    <row r="276" spans="1:37" x14ac:dyDescent="0.25">
      <c r="A276" s="46"/>
      <c r="B276" s="114"/>
      <c r="C276" s="191"/>
      <c r="D276" s="191"/>
      <c r="E276" s="116"/>
      <c r="F276" s="52"/>
      <c r="G276" s="55"/>
      <c r="H276" s="54"/>
      <c r="I276" s="55"/>
      <c r="J276" s="55"/>
      <c r="K276" s="55"/>
      <c r="L276" s="56"/>
      <c r="M276" s="56"/>
      <c r="N276" s="49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</row>
    <row r="277" spans="1:37" x14ac:dyDescent="0.25">
      <c r="A277" s="46"/>
      <c r="B277" s="114"/>
      <c r="C277" s="191"/>
      <c r="D277" s="191"/>
      <c r="E277" s="116"/>
      <c r="F277" s="52"/>
      <c r="G277" s="55"/>
      <c r="H277" s="54"/>
      <c r="I277" s="55"/>
      <c r="J277" s="55"/>
      <c r="K277" s="55"/>
      <c r="L277" s="56"/>
      <c r="M277" s="56"/>
      <c r="N277" s="49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</row>
    <row r="278" spans="1:37" x14ac:dyDescent="0.25">
      <c r="A278" s="46"/>
      <c r="B278" s="114"/>
      <c r="C278" s="191"/>
      <c r="D278" s="191"/>
      <c r="E278" s="116"/>
      <c r="F278" s="52"/>
      <c r="G278" s="55"/>
      <c r="H278" s="54"/>
      <c r="I278" s="55"/>
      <c r="J278" s="55"/>
      <c r="K278" s="55"/>
      <c r="L278" s="56"/>
      <c r="M278" s="56"/>
      <c r="N278" s="49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</row>
    <row r="279" spans="1:37" x14ac:dyDescent="0.25">
      <c r="A279" s="46"/>
      <c r="B279" s="114"/>
      <c r="C279" s="191"/>
      <c r="D279" s="191"/>
      <c r="E279" s="116"/>
      <c r="F279" s="52"/>
      <c r="G279" s="55"/>
      <c r="H279" s="54"/>
      <c r="I279" s="55"/>
      <c r="J279" s="55"/>
      <c r="K279" s="55"/>
      <c r="L279" s="56"/>
      <c r="M279" s="56"/>
      <c r="N279" s="49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</row>
    <row r="280" spans="1:37" x14ac:dyDescent="0.25">
      <c r="A280" s="46"/>
      <c r="B280" s="114"/>
      <c r="C280" s="191"/>
      <c r="D280" s="191"/>
      <c r="E280" s="116"/>
      <c r="F280" s="52"/>
      <c r="G280" s="55"/>
      <c r="H280" s="54"/>
      <c r="I280" s="55"/>
      <c r="J280" s="55"/>
      <c r="K280" s="55"/>
      <c r="L280" s="56"/>
      <c r="M280" s="56"/>
      <c r="N280" s="49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</row>
    <row r="281" spans="1:37" x14ac:dyDescent="0.25">
      <c r="A281" s="46"/>
      <c r="B281" s="114"/>
      <c r="C281" s="191"/>
      <c r="D281" s="191"/>
      <c r="E281" s="116"/>
      <c r="F281" s="52"/>
      <c r="G281" s="55"/>
      <c r="H281" s="54"/>
      <c r="I281" s="55"/>
      <c r="J281" s="55"/>
      <c r="K281" s="55"/>
      <c r="L281" s="56"/>
      <c r="M281" s="56"/>
      <c r="N281" s="49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</row>
    <row r="282" spans="1:37" x14ac:dyDescent="0.25">
      <c r="A282" s="46"/>
      <c r="B282" s="114"/>
      <c r="C282" s="191"/>
      <c r="D282" s="191"/>
      <c r="E282" s="116"/>
      <c r="F282" s="52"/>
      <c r="G282" s="55"/>
      <c r="H282" s="54"/>
      <c r="I282" s="55"/>
      <c r="J282" s="55"/>
      <c r="K282" s="55"/>
      <c r="L282" s="56"/>
      <c r="M282" s="56"/>
      <c r="N282" s="49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</row>
    <row r="283" spans="1:37" x14ac:dyDescent="0.25">
      <c r="A283" s="46"/>
      <c r="B283" s="114"/>
      <c r="C283" s="191"/>
      <c r="D283" s="191"/>
      <c r="E283" s="116"/>
      <c r="F283" s="52"/>
      <c r="G283" s="55"/>
      <c r="H283" s="54"/>
      <c r="I283" s="55"/>
      <c r="J283" s="55"/>
      <c r="K283" s="55"/>
      <c r="L283" s="56"/>
      <c r="M283" s="56"/>
      <c r="N283" s="49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</row>
    <row r="284" spans="1:37" x14ac:dyDescent="0.25">
      <c r="A284" s="46"/>
      <c r="B284" s="114"/>
      <c r="C284" s="191"/>
      <c r="D284" s="191"/>
      <c r="E284" s="116"/>
      <c r="F284" s="52"/>
      <c r="G284" s="55"/>
      <c r="H284" s="54"/>
      <c r="I284" s="55"/>
      <c r="J284" s="55"/>
      <c r="K284" s="55"/>
      <c r="L284" s="56"/>
      <c r="M284" s="56"/>
      <c r="N284" s="49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</row>
    <row r="285" spans="1:37" x14ac:dyDescent="0.25">
      <c r="A285" s="46"/>
      <c r="B285" s="114"/>
      <c r="C285" s="191"/>
      <c r="D285" s="191"/>
      <c r="E285" s="116"/>
      <c r="F285" s="52"/>
      <c r="G285" s="55"/>
      <c r="H285" s="54"/>
      <c r="I285" s="55"/>
      <c r="J285" s="55"/>
      <c r="K285" s="55"/>
      <c r="L285" s="56"/>
      <c r="M285" s="56"/>
      <c r="N285" s="49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</row>
    <row r="286" spans="1:37" x14ac:dyDescent="0.25">
      <c r="A286" s="46"/>
      <c r="B286" s="114"/>
      <c r="C286" s="191"/>
      <c r="D286" s="191"/>
      <c r="E286" s="116"/>
      <c r="F286" s="52"/>
      <c r="G286" s="55"/>
      <c r="H286" s="54"/>
      <c r="I286" s="55"/>
      <c r="J286" s="55"/>
      <c r="K286" s="55"/>
      <c r="L286" s="56"/>
      <c r="M286" s="56"/>
      <c r="N286" s="49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</row>
    <row r="287" spans="1:37" x14ac:dyDescent="0.25">
      <c r="A287" s="46"/>
      <c r="B287" s="114"/>
      <c r="C287" s="191"/>
      <c r="D287" s="191"/>
      <c r="E287" s="116"/>
      <c r="F287" s="52"/>
      <c r="G287" s="55"/>
      <c r="H287" s="54"/>
      <c r="I287" s="55"/>
      <c r="J287" s="55"/>
      <c r="K287" s="55"/>
      <c r="L287" s="56"/>
      <c r="M287" s="56"/>
      <c r="N287" s="49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</row>
    <row r="288" spans="1:37" x14ac:dyDescent="0.25">
      <c r="A288" s="46"/>
      <c r="B288" s="114"/>
      <c r="C288" s="191"/>
      <c r="D288" s="191"/>
      <c r="E288" s="116"/>
      <c r="F288" s="52"/>
      <c r="G288" s="55"/>
      <c r="H288" s="54"/>
      <c r="I288" s="55"/>
      <c r="J288" s="55"/>
      <c r="K288" s="55"/>
      <c r="L288" s="56"/>
      <c r="M288" s="56"/>
      <c r="N288" s="49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</row>
    <row r="289" spans="1:37" x14ac:dyDescent="0.25">
      <c r="A289" s="46"/>
      <c r="B289" s="114"/>
      <c r="C289" s="191"/>
      <c r="D289" s="191"/>
      <c r="E289" s="116"/>
      <c r="F289" s="52"/>
      <c r="G289" s="55"/>
      <c r="H289" s="54"/>
      <c r="I289" s="55"/>
      <c r="J289" s="55"/>
      <c r="K289" s="55"/>
      <c r="L289" s="56"/>
      <c r="M289" s="56"/>
      <c r="N289" s="49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</row>
    <row r="290" spans="1:37" x14ac:dyDescent="0.25">
      <c r="A290" s="46"/>
      <c r="B290" s="114"/>
      <c r="C290" s="191"/>
      <c r="D290" s="191"/>
      <c r="E290" s="116"/>
      <c r="F290" s="52"/>
      <c r="G290" s="55"/>
      <c r="H290" s="54"/>
      <c r="I290" s="55"/>
      <c r="J290" s="55"/>
      <c r="K290" s="55"/>
      <c r="L290" s="56"/>
      <c r="M290" s="56"/>
      <c r="N290" s="49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</row>
    <row r="291" spans="1:37" x14ac:dyDescent="0.25">
      <c r="A291" s="46"/>
      <c r="B291" s="114"/>
      <c r="C291" s="191"/>
      <c r="D291" s="191"/>
      <c r="E291" s="116"/>
      <c r="F291" s="52"/>
      <c r="G291" s="55"/>
      <c r="H291" s="54"/>
      <c r="I291" s="55"/>
      <c r="J291" s="55"/>
      <c r="K291" s="55"/>
      <c r="L291" s="56"/>
      <c r="M291" s="56"/>
      <c r="N291" s="49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</row>
    <row r="292" spans="1:37" x14ac:dyDescent="0.25">
      <c r="A292" s="46"/>
      <c r="B292" s="114"/>
      <c r="C292" s="191"/>
      <c r="D292" s="191"/>
      <c r="E292" s="116"/>
      <c r="F292" s="52"/>
      <c r="G292" s="55"/>
      <c r="H292" s="54"/>
      <c r="I292" s="55"/>
      <c r="J292" s="55"/>
      <c r="K292" s="55"/>
      <c r="L292" s="56"/>
      <c r="M292" s="56"/>
      <c r="N292" s="49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</row>
    <row r="293" spans="1:37" x14ac:dyDescent="0.25">
      <c r="A293" s="46"/>
      <c r="B293" s="114"/>
      <c r="C293" s="191"/>
      <c r="D293" s="191"/>
      <c r="E293" s="116"/>
      <c r="F293" s="52"/>
      <c r="G293" s="55"/>
      <c r="H293" s="54"/>
      <c r="I293" s="55"/>
      <c r="J293" s="55"/>
      <c r="K293" s="55"/>
      <c r="L293" s="56"/>
      <c r="M293" s="56"/>
      <c r="N293" s="49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</row>
    <row r="294" spans="1:37" x14ac:dyDescent="0.25">
      <c r="A294" s="46"/>
      <c r="B294" s="114"/>
      <c r="C294" s="191"/>
      <c r="D294" s="191"/>
      <c r="E294" s="116"/>
      <c r="F294" s="52"/>
      <c r="G294" s="55"/>
      <c r="H294" s="54"/>
      <c r="I294" s="55"/>
      <c r="J294" s="55"/>
      <c r="K294" s="55"/>
      <c r="L294" s="56"/>
      <c r="M294" s="56"/>
      <c r="N294" s="49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</row>
    <row r="295" spans="1:37" x14ac:dyDescent="0.25">
      <c r="A295" s="46"/>
      <c r="B295" s="114"/>
      <c r="C295" s="191"/>
      <c r="D295" s="191"/>
      <c r="E295" s="116"/>
      <c r="F295" s="52"/>
      <c r="G295" s="55"/>
      <c r="H295" s="54"/>
      <c r="I295" s="55"/>
      <c r="J295" s="55"/>
      <c r="K295" s="55"/>
      <c r="L295" s="56"/>
      <c r="M295" s="56"/>
      <c r="N295" s="49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</row>
    <row r="296" spans="1:37" x14ac:dyDescent="0.25">
      <c r="A296" s="46"/>
      <c r="B296" s="114"/>
      <c r="C296" s="191"/>
      <c r="D296" s="191"/>
      <c r="E296" s="116"/>
      <c r="F296" s="52"/>
      <c r="G296" s="55"/>
      <c r="H296" s="54"/>
      <c r="I296" s="55"/>
      <c r="J296" s="55"/>
      <c r="K296" s="55"/>
      <c r="L296" s="56"/>
      <c r="M296" s="56"/>
      <c r="N296" s="49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</row>
    <row r="297" spans="1:37" x14ac:dyDescent="0.25">
      <c r="A297" s="46"/>
      <c r="B297" s="114"/>
      <c r="C297" s="191"/>
      <c r="D297" s="191"/>
      <c r="E297" s="116"/>
      <c r="F297" s="52"/>
      <c r="G297" s="55"/>
      <c r="H297" s="54"/>
      <c r="I297" s="55"/>
      <c r="J297" s="55"/>
      <c r="K297" s="55"/>
      <c r="L297" s="56"/>
      <c r="M297" s="56"/>
      <c r="N297" s="49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</row>
    <row r="298" spans="1:37" x14ac:dyDescent="0.25">
      <c r="A298" s="46"/>
      <c r="B298" s="114"/>
      <c r="C298" s="191"/>
      <c r="D298" s="191"/>
      <c r="E298" s="116"/>
      <c r="F298" s="52"/>
      <c r="G298" s="55"/>
      <c r="H298" s="54"/>
      <c r="I298" s="55"/>
      <c r="J298" s="55"/>
      <c r="K298" s="55"/>
      <c r="L298" s="56"/>
      <c r="M298" s="56"/>
      <c r="N298" s="49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</row>
    <row r="299" spans="1:37" x14ac:dyDescent="0.25">
      <c r="A299" s="46"/>
      <c r="B299" s="114"/>
      <c r="C299" s="191"/>
      <c r="D299" s="191"/>
      <c r="E299" s="116"/>
      <c r="F299" s="52"/>
      <c r="G299" s="55"/>
      <c r="H299" s="54"/>
      <c r="I299" s="55"/>
      <c r="J299" s="55"/>
      <c r="K299" s="55"/>
      <c r="L299" s="56"/>
      <c r="M299" s="56"/>
      <c r="N299" s="49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</row>
    <row r="300" spans="1:37" x14ac:dyDescent="0.25">
      <c r="A300" s="46"/>
      <c r="B300" s="114"/>
      <c r="C300" s="191"/>
      <c r="D300" s="191"/>
      <c r="E300" s="116"/>
      <c r="F300" s="52"/>
      <c r="G300" s="55"/>
      <c r="H300" s="54"/>
      <c r="I300" s="55"/>
      <c r="J300" s="55"/>
      <c r="K300" s="55"/>
      <c r="L300" s="56"/>
      <c r="M300" s="56"/>
      <c r="N300" s="49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</row>
    <row r="301" spans="1:37" x14ac:dyDescent="0.25">
      <c r="A301" s="46"/>
      <c r="B301" s="114"/>
      <c r="C301" s="191"/>
      <c r="D301" s="191"/>
      <c r="E301" s="116"/>
      <c r="F301" s="52"/>
      <c r="G301" s="55"/>
      <c r="H301" s="54"/>
      <c r="I301" s="55"/>
      <c r="J301" s="55"/>
      <c r="K301" s="55"/>
      <c r="L301" s="56"/>
      <c r="M301" s="56"/>
      <c r="N301" s="49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</row>
    <row r="302" spans="1:37" x14ac:dyDescent="0.25">
      <c r="A302" s="46"/>
      <c r="B302" s="114"/>
      <c r="C302" s="191"/>
      <c r="D302" s="191"/>
      <c r="E302" s="116"/>
      <c r="F302" s="52"/>
      <c r="G302" s="55"/>
      <c r="H302" s="54"/>
      <c r="I302" s="55"/>
      <c r="J302" s="55"/>
      <c r="K302" s="55"/>
      <c r="L302" s="56"/>
      <c r="M302" s="56"/>
      <c r="N302" s="49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</row>
    <row r="303" spans="1:37" x14ac:dyDescent="0.25">
      <c r="A303" s="46"/>
      <c r="B303" s="114"/>
      <c r="C303" s="191"/>
      <c r="D303" s="191"/>
      <c r="E303" s="116"/>
      <c r="F303" s="52"/>
      <c r="G303" s="55"/>
      <c r="H303" s="54"/>
      <c r="I303" s="55"/>
      <c r="J303" s="55"/>
      <c r="K303" s="55"/>
      <c r="L303" s="56"/>
      <c r="M303" s="56"/>
      <c r="N303" s="49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</row>
    <row r="304" spans="1:37" x14ac:dyDescent="0.25">
      <c r="A304" s="46"/>
      <c r="B304" s="114"/>
      <c r="C304" s="191"/>
      <c r="D304" s="191"/>
      <c r="E304" s="116"/>
      <c r="F304" s="52"/>
      <c r="G304" s="55"/>
      <c r="H304" s="54"/>
      <c r="I304" s="55"/>
      <c r="J304" s="55"/>
      <c r="K304" s="55"/>
      <c r="L304" s="56"/>
      <c r="M304" s="56"/>
      <c r="N304" s="49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</row>
    <row r="305" spans="1:37" x14ac:dyDescent="0.25">
      <c r="A305" s="46"/>
      <c r="B305" s="114"/>
      <c r="C305" s="191"/>
      <c r="D305" s="191"/>
      <c r="E305" s="116"/>
      <c r="F305" s="52"/>
      <c r="G305" s="55"/>
      <c r="H305" s="54"/>
      <c r="I305" s="55"/>
      <c r="J305" s="55"/>
      <c r="K305" s="55"/>
      <c r="L305" s="56"/>
      <c r="M305" s="56"/>
      <c r="N305" s="49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</row>
    <row r="306" spans="1:37" x14ac:dyDescent="0.25">
      <c r="A306" s="46"/>
      <c r="B306" s="114"/>
      <c r="C306" s="191"/>
      <c r="D306" s="191"/>
      <c r="E306" s="116"/>
      <c r="F306" s="52"/>
      <c r="G306" s="55"/>
      <c r="H306" s="54"/>
      <c r="I306" s="55"/>
      <c r="J306" s="55"/>
      <c r="K306" s="55"/>
      <c r="L306" s="56"/>
      <c r="M306" s="56"/>
      <c r="N306" s="49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</row>
    <row r="307" spans="1:37" x14ac:dyDescent="0.25">
      <c r="A307" s="46"/>
      <c r="B307" s="114"/>
      <c r="C307" s="191"/>
      <c r="D307" s="191"/>
      <c r="E307" s="116"/>
      <c r="F307" s="52"/>
      <c r="G307" s="55"/>
      <c r="H307" s="54"/>
      <c r="I307" s="55"/>
      <c r="J307" s="55"/>
      <c r="K307" s="55"/>
      <c r="L307" s="56"/>
      <c r="M307" s="56"/>
      <c r="N307" s="49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</row>
    <row r="308" spans="1:37" x14ac:dyDescent="0.25">
      <c r="A308" s="46"/>
      <c r="B308" s="114"/>
      <c r="C308" s="191"/>
      <c r="D308" s="191"/>
      <c r="E308" s="116"/>
      <c r="F308" s="52"/>
      <c r="G308" s="55"/>
      <c r="H308" s="54"/>
      <c r="I308" s="55"/>
      <c r="J308" s="55"/>
      <c r="K308" s="55"/>
      <c r="L308" s="56"/>
      <c r="M308" s="56"/>
      <c r="N308" s="49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</row>
    <row r="309" spans="1:37" x14ac:dyDescent="0.25">
      <c r="A309" s="46"/>
      <c r="B309" s="114"/>
      <c r="C309" s="191"/>
      <c r="D309" s="191"/>
      <c r="E309" s="116"/>
      <c r="F309" s="52"/>
      <c r="G309" s="55"/>
      <c r="H309" s="54"/>
      <c r="I309" s="55"/>
      <c r="J309" s="55"/>
      <c r="K309" s="55"/>
      <c r="L309" s="56"/>
      <c r="M309" s="56"/>
      <c r="N309" s="49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</row>
    <row r="310" spans="1:37" x14ac:dyDescent="0.25">
      <c r="A310" s="46"/>
      <c r="B310" s="114"/>
      <c r="C310" s="191"/>
      <c r="D310" s="191"/>
      <c r="E310" s="116"/>
      <c r="F310" s="52"/>
      <c r="G310" s="55"/>
      <c r="H310" s="54"/>
      <c r="I310" s="55"/>
      <c r="J310" s="55"/>
      <c r="K310" s="55"/>
      <c r="L310" s="56"/>
      <c r="M310" s="56"/>
      <c r="N310" s="49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</row>
    <row r="311" spans="1:37" x14ac:dyDescent="0.25">
      <c r="A311" s="46"/>
      <c r="B311" s="114"/>
      <c r="C311" s="191"/>
      <c r="D311" s="191"/>
      <c r="E311" s="116"/>
      <c r="F311" s="52"/>
      <c r="G311" s="55"/>
      <c r="H311" s="54"/>
      <c r="I311" s="55"/>
      <c r="J311" s="55"/>
      <c r="K311" s="55"/>
      <c r="L311" s="56"/>
      <c r="M311" s="56"/>
      <c r="N311" s="49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</row>
    <row r="312" spans="1:37" x14ac:dyDescent="0.25">
      <c r="A312" s="46"/>
      <c r="B312" s="114"/>
      <c r="C312" s="191"/>
      <c r="D312" s="191"/>
      <c r="E312" s="116"/>
      <c r="F312" s="52"/>
      <c r="G312" s="55"/>
      <c r="H312" s="54"/>
      <c r="I312" s="55"/>
      <c r="J312" s="55"/>
      <c r="K312" s="55"/>
      <c r="L312" s="56"/>
      <c r="M312" s="56"/>
      <c r="N312" s="49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</row>
    <row r="313" spans="1:37" x14ac:dyDescent="0.25">
      <c r="A313" s="46"/>
      <c r="B313" s="114"/>
      <c r="C313" s="191"/>
      <c r="D313" s="191"/>
      <c r="E313" s="116"/>
      <c r="F313" s="52"/>
      <c r="G313" s="55"/>
      <c r="H313" s="54"/>
      <c r="I313" s="55"/>
      <c r="J313" s="55"/>
      <c r="K313" s="55"/>
      <c r="L313" s="56"/>
      <c r="M313" s="56"/>
      <c r="N313" s="49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</row>
    <row r="314" spans="1:37" x14ac:dyDescent="0.25">
      <c r="A314" s="46"/>
      <c r="B314" s="114"/>
      <c r="C314" s="191"/>
      <c r="D314" s="191"/>
      <c r="E314" s="116"/>
      <c r="F314" s="52"/>
      <c r="G314" s="55"/>
      <c r="H314" s="54"/>
      <c r="I314" s="55"/>
      <c r="J314" s="55"/>
      <c r="K314" s="55"/>
      <c r="L314" s="56"/>
      <c r="M314" s="56"/>
      <c r="N314" s="49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</row>
    <row r="315" spans="1:37" x14ac:dyDescent="0.25">
      <c r="A315" s="46"/>
      <c r="B315" s="114"/>
      <c r="C315" s="191"/>
      <c r="D315" s="191"/>
      <c r="E315" s="116"/>
      <c r="F315" s="52"/>
      <c r="G315" s="55"/>
      <c r="H315" s="54"/>
      <c r="I315" s="55"/>
      <c r="J315" s="55"/>
      <c r="K315" s="55"/>
      <c r="L315" s="56"/>
      <c r="M315" s="56"/>
      <c r="N315" s="49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</row>
    <row r="316" spans="1:37" x14ac:dyDescent="0.25">
      <c r="A316" s="46"/>
      <c r="B316" s="114"/>
      <c r="C316" s="191"/>
      <c r="D316" s="191"/>
      <c r="E316" s="116"/>
      <c r="F316" s="52"/>
      <c r="G316" s="55"/>
      <c r="H316" s="54"/>
      <c r="I316" s="55"/>
      <c r="J316" s="55"/>
      <c r="K316" s="55"/>
      <c r="L316" s="56"/>
      <c r="M316" s="56"/>
      <c r="N316" s="49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</row>
    <row r="317" spans="1:37" x14ac:dyDescent="0.25">
      <c r="A317" s="46"/>
      <c r="B317" s="114"/>
      <c r="C317" s="191"/>
      <c r="D317" s="191"/>
      <c r="E317" s="116"/>
      <c r="F317" s="52"/>
      <c r="G317" s="55"/>
      <c r="H317" s="54"/>
      <c r="I317" s="55"/>
      <c r="J317" s="55"/>
      <c r="K317" s="55"/>
      <c r="L317" s="56"/>
      <c r="M317" s="56"/>
      <c r="N317" s="49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</row>
    <row r="318" spans="1:37" x14ac:dyDescent="0.25">
      <c r="A318" s="46"/>
      <c r="B318" s="114"/>
      <c r="C318" s="191"/>
      <c r="D318" s="191"/>
      <c r="E318" s="116"/>
      <c r="F318" s="52"/>
      <c r="G318" s="55"/>
      <c r="H318" s="54"/>
      <c r="I318" s="55"/>
      <c r="J318" s="55"/>
      <c r="K318" s="55"/>
      <c r="L318" s="56"/>
      <c r="M318" s="56"/>
      <c r="N318" s="49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</row>
    <row r="319" spans="1:37" x14ac:dyDescent="0.25">
      <c r="A319" s="46"/>
      <c r="B319" s="114"/>
      <c r="C319" s="191"/>
      <c r="D319" s="191"/>
      <c r="E319" s="116"/>
      <c r="F319" s="52"/>
      <c r="G319" s="55"/>
      <c r="H319" s="54"/>
      <c r="I319" s="55"/>
      <c r="J319" s="55"/>
      <c r="K319" s="55"/>
      <c r="L319" s="56"/>
      <c r="M319" s="56"/>
      <c r="N319" s="49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</row>
    <row r="320" spans="1:37" x14ac:dyDescent="0.25">
      <c r="A320" s="46"/>
      <c r="B320" s="114"/>
      <c r="C320" s="191"/>
      <c r="D320" s="191"/>
      <c r="E320" s="116"/>
      <c r="F320" s="52"/>
      <c r="G320" s="55"/>
      <c r="H320" s="54"/>
      <c r="I320" s="55"/>
      <c r="J320" s="55"/>
      <c r="K320" s="55"/>
      <c r="L320" s="56"/>
      <c r="M320" s="56"/>
      <c r="N320" s="49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</row>
    <row r="321" spans="1:37" x14ac:dyDescent="0.25">
      <c r="A321" s="46"/>
      <c r="B321" s="114"/>
      <c r="C321" s="191"/>
      <c r="D321" s="191"/>
      <c r="E321" s="116"/>
      <c r="F321" s="52"/>
      <c r="G321" s="55"/>
      <c r="H321" s="54"/>
      <c r="I321" s="55"/>
      <c r="J321" s="55"/>
      <c r="K321" s="55"/>
      <c r="L321" s="56"/>
      <c r="M321" s="56"/>
      <c r="N321" s="49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</row>
    <row r="322" spans="1:37" x14ac:dyDescent="0.25">
      <c r="A322" s="46"/>
      <c r="B322" s="114"/>
      <c r="C322" s="191"/>
      <c r="D322" s="191"/>
      <c r="E322" s="116"/>
      <c r="F322" s="52"/>
      <c r="G322" s="55"/>
      <c r="H322" s="54"/>
      <c r="I322" s="55"/>
      <c r="J322" s="55"/>
      <c r="K322" s="55"/>
      <c r="L322" s="56"/>
      <c r="M322" s="56"/>
      <c r="N322" s="49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</row>
    <row r="323" spans="1:37" x14ac:dyDescent="0.25">
      <c r="A323" s="46"/>
      <c r="B323" s="114"/>
      <c r="C323" s="191"/>
      <c r="D323" s="191"/>
      <c r="E323" s="116"/>
      <c r="F323" s="52"/>
      <c r="G323" s="55"/>
      <c r="H323" s="54"/>
      <c r="I323" s="55"/>
      <c r="J323" s="55"/>
      <c r="K323" s="55"/>
      <c r="L323" s="56"/>
      <c r="M323" s="56"/>
      <c r="N323" s="49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</row>
    <row r="324" spans="1:37" x14ac:dyDescent="0.25">
      <c r="A324" s="46"/>
      <c r="B324" s="114"/>
      <c r="C324" s="191"/>
      <c r="D324" s="191"/>
      <c r="E324" s="116"/>
      <c r="F324" s="52"/>
      <c r="G324" s="55"/>
      <c r="H324" s="54"/>
      <c r="I324" s="55"/>
      <c r="J324" s="55"/>
      <c r="K324" s="55"/>
      <c r="L324" s="56"/>
      <c r="M324" s="56"/>
      <c r="N324" s="49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</row>
    <row r="325" spans="1:37" x14ac:dyDescent="0.25">
      <c r="A325" s="46"/>
      <c r="B325" s="114"/>
      <c r="C325" s="191"/>
      <c r="D325" s="191"/>
      <c r="E325" s="116"/>
      <c r="F325" s="52"/>
      <c r="G325" s="55"/>
      <c r="H325" s="54"/>
      <c r="I325" s="55"/>
      <c r="J325" s="55"/>
      <c r="K325" s="55"/>
      <c r="L325" s="56"/>
      <c r="M325" s="56"/>
      <c r="N325" s="49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</row>
    <row r="326" spans="1:37" x14ac:dyDescent="0.25">
      <c r="A326" s="46"/>
      <c r="B326" s="114"/>
      <c r="C326" s="191"/>
      <c r="D326" s="191"/>
      <c r="E326" s="116"/>
      <c r="F326" s="52"/>
      <c r="G326" s="55"/>
      <c r="H326" s="54"/>
      <c r="I326" s="55"/>
      <c r="J326" s="55"/>
      <c r="K326" s="55"/>
      <c r="L326" s="56"/>
      <c r="M326" s="56"/>
      <c r="N326" s="49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</row>
    <row r="327" spans="1:37" x14ac:dyDescent="0.25">
      <c r="A327" s="46"/>
      <c r="B327" s="114"/>
      <c r="C327" s="191"/>
      <c r="D327" s="191"/>
      <c r="E327" s="116"/>
      <c r="F327" s="52"/>
      <c r="G327" s="55"/>
      <c r="H327" s="54"/>
      <c r="I327" s="55"/>
      <c r="J327" s="55"/>
      <c r="K327" s="55"/>
      <c r="L327" s="56"/>
      <c r="M327" s="56"/>
      <c r="N327" s="49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</row>
    <row r="328" spans="1:37" x14ac:dyDescent="0.25">
      <c r="A328" s="46"/>
      <c r="B328" s="114"/>
      <c r="C328" s="191"/>
      <c r="D328" s="191"/>
      <c r="E328" s="116"/>
      <c r="F328" s="52"/>
      <c r="G328" s="55"/>
      <c r="H328" s="54"/>
      <c r="I328" s="55"/>
      <c r="J328" s="55"/>
      <c r="K328" s="55"/>
      <c r="L328" s="56"/>
      <c r="M328" s="56"/>
      <c r="N328" s="49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</row>
    <row r="329" spans="1:37" x14ac:dyDescent="0.25">
      <c r="A329" s="46"/>
      <c r="B329" s="114"/>
      <c r="C329" s="191"/>
      <c r="D329" s="191"/>
      <c r="E329" s="116"/>
      <c r="F329" s="52"/>
      <c r="G329" s="55"/>
      <c r="H329" s="54"/>
      <c r="I329" s="55"/>
      <c r="J329" s="55"/>
      <c r="K329" s="55"/>
      <c r="L329" s="56"/>
      <c r="M329" s="56"/>
      <c r="N329" s="49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</row>
    <row r="330" spans="1:37" x14ac:dyDescent="0.25">
      <c r="A330" s="46"/>
      <c r="B330" s="114"/>
      <c r="C330" s="191"/>
      <c r="D330" s="191"/>
      <c r="E330" s="116"/>
      <c r="F330" s="52"/>
      <c r="G330" s="55"/>
      <c r="H330" s="54"/>
      <c r="I330" s="55"/>
      <c r="J330" s="55"/>
      <c r="K330" s="55"/>
      <c r="L330" s="56"/>
      <c r="M330" s="56"/>
      <c r="N330" s="49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</row>
    <row r="331" spans="1:37" x14ac:dyDescent="0.25">
      <c r="A331" s="46"/>
      <c r="B331" s="114"/>
      <c r="C331" s="191"/>
      <c r="D331" s="191"/>
      <c r="E331" s="116"/>
      <c r="F331" s="52"/>
      <c r="G331" s="55"/>
      <c r="H331" s="54"/>
      <c r="I331" s="55"/>
      <c r="J331" s="55"/>
      <c r="K331" s="55"/>
      <c r="L331" s="56"/>
      <c r="M331" s="56"/>
      <c r="N331" s="49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</row>
    <row r="332" spans="1:37" x14ac:dyDescent="0.25">
      <c r="A332" s="46"/>
      <c r="B332" s="114"/>
      <c r="C332" s="191"/>
      <c r="D332" s="191"/>
      <c r="E332" s="116"/>
      <c r="F332" s="52"/>
      <c r="G332" s="55"/>
      <c r="H332" s="54"/>
      <c r="I332" s="55"/>
      <c r="J332" s="55"/>
      <c r="K332" s="55"/>
      <c r="L332" s="56"/>
      <c r="M332" s="56"/>
      <c r="N332" s="49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</row>
    <row r="333" spans="1:37" x14ac:dyDescent="0.25">
      <c r="A333" s="46"/>
      <c r="B333" s="114"/>
      <c r="C333" s="191"/>
      <c r="D333" s="191"/>
      <c r="E333" s="116"/>
      <c r="F333" s="52"/>
      <c r="G333" s="55"/>
      <c r="H333" s="54"/>
      <c r="I333" s="55"/>
      <c r="J333" s="55"/>
      <c r="K333" s="55"/>
      <c r="L333" s="56"/>
      <c r="M333" s="56"/>
      <c r="N333" s="49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</row>
    <row r="334" spans="1:37" x14ac:dyDescent="0.25">
      <c r="A334" s="46"/>
      <c r="B334" s="114"/>
      <c r="C334" s="191"/>
      <c r="D334" s="191"/>
      <c r="E334" s="116"/>
      <c r="F334" s="52"/>
      <c r="G334" s="55"/>
      <c r="H334" s="54"/>
      <c r="I334" s="55"/>
      <c r="J334" s="55"/>
      <c r="K334" s="55"/>
      <c r="L334" s="56"/>
      <c r="M334" s="56"/>
      <c r="N334" s="49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</row>
    <row r="335" spans="1:37" x14ac:dyDescent="0.25">
      <c r="A335" s="46"/>
      <c r="B335" s="114"/>
      <c r="C335" s="191"/>
      <c r="D335" s="191"/>
      <c r="E335" s="116"/>
      <c r="F335" s="52"/>
      <c r="G335" s="55"/>
      <c r="H335" s="54"/>
      <c r="I335" s="55"/>
      <c r="J335" s="55"/>
      <c r="K335" s="55"/>
      <c r="L335" s="56"/>
      <c r="M335" s="56"/>
      <c r="N335" s="49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</row>
    <row r="336" spans="1:37" x14ac:dyDescent="0.25">
      <c r="A336" s="46"/>
      <c r="B336" s="114"/>
      <c r="C336" s="191"/>
      <c r="D336" s="191"/>
      <c r="E336" s="116"/>
      <c r="F336" s="52"/>
      <c r="G336" s="55"/>
      <c r="H336" s="54"/>
      <c r="I336" s="55"/>
      <c r="J336" s="55"/>
      <c r="K336" s="55"/>
      <c r="L336" s="56"/>
      <c r="M336" s="56"/>
      <c r="N336" s="49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</row>
    <row r="337" spans="1:37" x14ac:dyDescent="0.25">
      <c r="A337" s="46"/>
      <c r="B337" s="114"/>
      <c r="C337" s="191"/>
      <c r="D337" s="191"/>
      <c r="E337" s="116"/>
      <c r="F337" s="52"/>
      <c r="G337" s="55"/>
      <c r="H337" s="54"/>
      <c r="I337" s="55"/>
      <c r="J337" s="55"/>
      <c r="K337" s="55"/>
      <c r="L337" s="56"/>
      <c r="M337" s="56"/>
      <c r="N337" s="49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</row>
    <row r="338" spans="1:37" x14ac:dyDescent="0.25">
      <c r="A338" s="46"/>
      <c r="B338" s="114"/>
      <c r="C338" s="191"/>
      <c r="D338" s="191"/>
      <c r="E338" s="116"/>
      <c r="F338" s="52"/>
      <c r="G338" s="55"/>
      <c r="H338" s="54"/>
      <c r="I338" s="55"/>
      <c r="J338" s="55"/>
      <c r="K338" s="55"/>
      <c r="L338" s="56"/>
      <c r="M338" s="56"/>
      <c r="N338" s="49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</row>
    <row r="339" spans="1:37" x14ac:dyDescent="0.25">
      <c r="A339" s="46"/>
      <c r="B339" s="114"/>
      <c r="C339" s="191"/>
      <c r="D339" s="191"/>
      <c r="E339" s="116"/>
      <c r="F339" s="52"/>
      <c r="G339" s="55"/>
      <c r="H339" s="54"/>
      <c r="I339" s="55"/>
      <c r="J339" s="55"/>
      <c r="K339" s="55"/>
      <c r="L339" s="56"/>
      <c r="M339" s="56"/>
      <c r="N339" s="49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</row>
    <row r="340" spans="1:37" x14ac:dyDescent="0.25">
      <c r="A340" s="46"/>
      <c r="B340" s="114"/>
      <c r="C340" s="191"/>
      <c r="D340" s="191"/>
      <c r="E340" s="116"/>
      <c r="F340" s="52"/>
      <c r="G340" s="55"/>
      <c r="H340" s="54"/>
      <c r="I340" s="55"/>
      <c r="J340" s="55"/>
      <c r="K340" s="55"/>
      <c r="L340" s="56"/>
      <c r="M340" s="56"/>
      <c r="N340" s="49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</row>
    <row r="341" spans="1:37" x14ac:dyDescent="0.25">
      <c r="A341" s="46"/>
      <c r="B341" s="114"/>
      <c r="C341" s="191"/>
      <c r="D341" s="191"/>
      <c r="E341" s="116"/>
      <c r="F341" s="52"/>
      <c r="G341" s="55"/>
      <c r="H341" s="54"/>
      <c r="I341" s="55"/>
      <c r="J341" s="55"/>
      <c r="K341" s="55"/>
      <c r="L341" s="56"/>
      <c r="M341" s="56"/>
      <c r="N341" s="49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</row>
    <row r="342" spans="1:37" x14ac:dyDescent="0.25">
      <c r="A342" s="46"/>
      <c r="B342" s="114"/>
      <c r="C342" s="191"/>
      <c r="D342" s="191"/>
      <c r="E342" s="116"/>
      <c r="F342" s="52"/>
      <c r="G342" s="55"/>
      <c r="H342" s="54"/>
      <c r="I342" s="55"/>
      <c r="J342" s="55"/>
      <c r="K342" s="55"/>
      <c r="L342" s="56"/>
      <c r="M342" s="56"/>
      <c r="N342" s="49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</row>
    <row r="343" spans="1:37" x14ac:dyDescent="0.25">
      <c r="A343" s="46"/>
      <c r="B343" s="114"/>
      <c r="C343" s="191"/>
      <c r="D343" s="191"/>
      <c r="E343" s="116"/>
      <c r="F343" s="52"/>
      <c r="G343" s="55"/>
      <c r="H343" s="54"/>
      <c r="I343" s="55"/>
      <c r="J343" s="55"/>
      <c r="K343" s="55"/>
      <c r="L343" s="56"/>
      <c r="M343" s="56"/>
      <c r="N343" s="49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</row>
    <row r="344" spans="1:37" x14ac:dyDescent="0.25">
      <c r="A344" s="46"/>
      <c r="B344" s="114"/>
      <c r="C344" s="191"/>
      <c r="D344" s="191"/>
      <c r="E344" s="116"/>
      <c r="F344" s="52"/>
      <c r="G344" s="55"/>
      <c r="H344" s="54"/>
      <c r="I344" s="55"/>
      <c r="J344" s="55"/>
      <c r="K344" s="55"/>
      <c r="L344" s="56"/>
      <c r="M344" s="56"/>
      <c r="N344" s="49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</row>
    <row r="345" spans="1:37" x14ac:dyDescent="0.25">
      <c r="A345" s="46"/>
      <c r="B345" s="114"/>
      <c r="C345" s="191"/>
      <c r="D345" s="191"/>
      <c r="E345" s="116"/>
      <c r="F345" s="52"/>
      <c r="G345" s="55"/>
      <c r="H345" s="54"/>
      <c r="I345" s="55"/>
      <c r="J345" s="55"/>
      <c r="K345" s="55"/>
      <c r="L345" s="56"/>
      <c r="M345" s="56"/>
      <c r="N345" s="49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</row>
    <row r="346" spans="1:37" x14ac:dyDescent="0.25">
      <c r="A346" s="46"/>
      <c r="B346" s="114"/>
      <c r="C346" s="191"/>
      <c r="D346" s="191"/>
      <c r="E346" s="116"/>
      <c r="F346" s="52"/>
      <c r="G346" s="55"/>
      <c r="H346" s="54"/>
      <c r="I346" s="55"/>
      <c r="J346" s="55"/>
      <c r="K346" s="55"/>
      <c r="L346" s="56"/>
      <c r="M346" s="56"/>
      <c r="N346" s="49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</row>
    <row r="347" spans="1:37" x14ac:dyDescent="0.25">
      <c r="A347" s="46"/>
      <c r="B347" s="114"/>
      <c r="C347" s="191"/>
      <c r="D347" s="191"/>
      <c r="E347" s="116"/>
      <c r="F347" s="52"/>
      <c r="G347" s="55"/>
      <c r="H347" s="54"/>
      <c r="I347" s="55"/>
      <c r="J347" s="55"/>
      <c r="K347" s="55"/>
      <c r="L347" s="56"/>
      <c r="M347" s="56"/>
      <c r="N347" s="49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</row>
    <row r="348" spans="1:37" x14ac:dyDescent="0.25">
      <c r="A348" s="46"/>
      <c r="B348" s="114"/>
      <c r="C348" s="191"/>
      <c r="D348" s="191"/>
      <c r="E348" s="116"/>
      <c r="F348" s="52"/>
      <c r="G348" s="55"/>
      <c r="H348" s="54"/>
      <c r="I348" s="55"/>
      <c r="J348" s="55"/>
      <c r="K348" s="55"/>
      <c r="L348" s="56"/>
      <c r="M348" s="56"/>
      <c r="N348" s="49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</row>
    <row r="349" spans="1:37" x14ac:dyDescent="0.25">
      <c r="A349" s="46"/>
      <c r="B349" s="114"/>
      <c r="C349" s="191"/>
      <c r="D349" s="191"/>
      <c r="E349" s="116"/>
      <c r="F349" s="52"/>
      <c r="G349" s="55"/>
      <c r="H349" s="54"/>
      <c r="I349" s="55"/>
      <c r="J349" s="55"/>
      <c r="K349" s="55"/>
      <c r="L349" s="56"/>
      <c r="M349" s="56"/>
      <c r="N349" s="49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</row>
    <row r="350" spans="1:37" x14ac:dyDescent="0.25">
      <c r="A350" s="46"/>
      <c r="B350" s="114"/>
      <c r="C350" s="191"/>
      <c r="D350" s="191"/>
      <c r="E350" s="116"/>
      <c r="F350" s="52"/>
      <c r="G350" s="55"/>
      <c r="H350" s="54"/>
      <c r="I350" s="55"/>
      <c r="J350" s="55"/>
      <c r="K350" s="55"/>
      <c r="L350" s="56"/>
      <c r="M350" s="56"/>
      <c r="N350" s="49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</row>
    <row r="351" spans="1:37" x14ac:dyDescent="0.25">
      <c r="A351" s="46"/>
      <c r="B351" s="114"/>
      <c r="C351" s="191"/>
      <c r="D351" s="191"/>
      <c r="E351" s="116"/>
      <c r="F351" s="52"/>
      <c r="G351" s="55"/>
      <c r="H351" s="54"/>
      <c r="I351" s="55"/>
      <c r="J351" s="55"/>
      <c r="K351" s="55"/>
      <c r="L351" s="56"/>
      <c r="M351" s="56"/>
      <c r="N351" s="49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</row>
    <row r="352" spans="1:37" x14ac:dyDescent="0.25">
      <c r="A352" s="46"/>
      <c r="B352" s="114"/>
      <c r="C352" s="191"/>
      <c r="D352" s="191"/>
      <c r="E352" s="116"/>
      <c r="F352" s="52"/>
      <c r="G352" s="55"/>
      <c r="H352" s="54"/>
      <c r="I352" s="55"/>
      <c r="J352" s="55"/>
      <c r="K352" s="55"/>
      <c r="L352" s="56"/>
      <c r="M352" s="56"/>
      <c r="N352" s="49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</row>
    <row r="353" spans="1:37" x14ac:dyDescent="0.25">
      <c r="A353" s="46"/>
      <c r="B353" s="114"/>
      <c r="C353" s="191"/>
      <c r="D353" s="191"/>
      <c r="E353" s="116"/>
      <c r="F353" s="52"/>
      <c r="G353" s="55"/>
      <c r="H353" s="54"/>
      <c r="I353" s="55"/>
      <c r="J353" s="55"/>
      <c r="K353" s="55"/>
      <c r="L353" s="56"/>
      <c r="M353" s="56"/>
      <c r="N353" s="49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</row>
    <row r="354" spans="1:37" x14ac:dyDescent="0.25">
      <c r="A354" s="46"/>
      <c r="B354" s="114"/>
      <c r="C354" s="191"/>
      <c r="D354" s="191"/>
      <c r="E354" s="116"/>
      <c r="F354" s="52"/>
      <c r="G354" s="55"/>
      <c r="H354" s="54"/>
      <c r="I354" s="55"/>
      <c r="J354" s="55"/>
      <c r="K354" s="55"/>
      <c r="L354" s="56"/>
      <c r="M354" s="56"/>
      <c r="N354" s="49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</row>
    <row r="355" spans="1:37" x14ac:dyDescent="0.25">
      <c r="A355" s="46"/>
      <c r="B355" s="114"/>
      <c r="C355" s="191"/>
      <c r="D355" s="191"/>
      <c r="E355" s="116"/>
      <c r="F355" s="52"/>
      <c r="G355" s="55"/>
      <c r="H355" s="54"/>
      <c r="I355" s="55"/>
      <c r="J355" s="55"/>
      <c r="K355" s="55"/>
      <c r="L355" s="56"/>
      <c r="M355" s="56"/>
      <c r="N355" s="49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</row>
    <row r="356" spans="1:37" x14ac:dyDescent="0.25">
      <c r="A356" s="46"/>
      <c r="B356" s="114"/>
      <c r="C356" s="191"/>
      <c r="D356" s="191"/>
      <c r="E356" s="116"/>
      <c r="F356" s="52"/>
      <c r="G356" s="55"/>
      <c r="H356" s="54"/>
      <c r="I356" s="55"/>
      <c r="J356" s="55"/>
      <c r="K356" s="55"/>
      <c r="L356" s="56"/>
      <c r="M356" s="56"/>
      <c r="N356" s="49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</row>
    <row r="357" spans="1:37" x14ac:dyDescent="0.25">
      <c r="A357" s="46"/>
      <c r="B357" s="114"/>
      <c r="C357" s="191"/>
      <c r="D357" s="191"/>
      <c r="E357" s="116"/>
      <c r="F357" s="52"/>
      <c r="G357" s="55"/>
      <c r="H357" s="54"/>
      <c r="I357" s="55"/>
      <c r="J357" s="55"/>
      <c r="K357" s="55"/>
      <c r="L357" s="56"/>
      <c r="M357" s="56"/>
      <c r="N357" s="49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</row>
    <row r="358" spans="1:37" x14ac:dyDescent="0.25">
      <c r="A358" s="46"/>
      <c r="B358" s="114"/>
      <c r="C358" s="191"/>
      <c r="D358" s="191"/>
      <c r="E358" s="116"/>
      <c r="F358" s="52"/>
      <c r="G358" s="55"/>
      <c r="H358" s="54"/>
      <c r="I358" s="55"/>
      <c r="J358" s="55"/>
      <c r="K358" s="55"/>
      <c r="L358" s="56"/>
      <c r="M358" s="56"/>
      <c r="N358" s="49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</row>
    <row r="359" spans="1:37" x14ac:dyDescent="0.25">
      <c r="A359" s="46"/>
      <c r="B359" s="114"/>
      <c r="C359" s="191"/>
      <c r="D359" s="191"/>
      <c r="E359" s="116"/>
      <c r="F359" s="52"/>
      <c r="G359" s="55"/>
      <c r="H359" s="54"/>
      <c r="I359" s="55"/>
      <c r="J359" s="55"/>
      <c r="K359" s="55"/>
      <c r="L359" s="56"/>
      <c r="M359" s="56"/>
      <c r="N359" s="49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</row>
    <row r="360" spans="1:37" x14ac:dyDescent="0.25">
      <c r="A360" s="46"/>
      <c r="B360" s="114"/>
      <c r="C360" s="191"/>
      <c r="D360" s="191"/>
      <c r="E360" s="116"/>
      <c r="F360" s="52"/>
      <c r="G360" s="55"/>
      <c r="H360" s="54"/>
      <c r="I360" s="55"/>
      <c r="J360" s="55"/>
      <c r="K360" s="55"/>
      <c r="L360" s="56"/>
      <c r="M360" s="56"/>
      <c r="N360" s="49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</row>
    <row r="361" spans="1:37" x14ac:dyDescent="0.25">
      <c r="A361" s="46"/>
      <c r="B361" s="114"/>
      <c r="C361" s="191"/>
      <c r="D361" s="191"/>
      <c r="E361" s="116"/>
      <c r="F361" s="52"/>
      <c r="G361" s="55"/>
      <c r="H361" s="54"/>
      <c r="I361" s="55"/>
      <c r="J361" s="55"/>
      <c r="K361" s="55"/>
      <c r="L361" s="56"/>
      <c r="M361" s="56"/>
      <c r="N361" s="49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</row>
    <row r="362" spans="1:37" x14ac:dyDescent="0.25">
      <c r="A362" s="46"/>
      <c r="B362" s="114"/>
      <c r="C362" s="191"/>
      <c r="D362" s="191"/>
      <c r="E362" s="116"/>
      <c r="F362" s="52"/>
      <c r="G362" s="55"/>
      <c r="H362" s="54"/>
      <c r="I362" s="55"/>
      <c r="J362" s="55"/>
      <c r="K362" s="55"/>
      <c r="L362" s="56"/>
      <c r="M362" s="56"/>
      <c r="N362" s="49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</row>
    <row r="363" spans="1:37" x14ac:dyDescent="0.25">
      <c r="A363" s="46"/>
      <c r="B363" s="114"/>
      <c r="C363" s="191"/>
      <c r="D363" s="191"/>
      <c r="E363" s="116"/>
      <c r="F363" s="52"/>
      <c r="G363" s="55"/>
      <c r="H363" s="54"/>
      <c r="I363" s="55"/>
      <c r="J363" s="55"/>
      <c r="K363" s="55"/>
      <c r="L363" s="56"/>
      <c r="M363" s="56"/>
      <c r="N363" s="49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</row>
    <row r="364" spans="1:37" x14ac:dyDescent="0.25">
      <c r="A364" s="46"/>
      <c r="B364" s="114"/>
      <c r="C364" s="191"/>
      <c r="D364" s="191"/>
      <c r="E364" s="116"/>
      <c r="F364" s="52"/>
      <c r="G364" s="55"/>
      <c r="H364" s="54"/>
      <c r="I364" s="55"/>
      <c r="J364" s="55"/>
      <c r="K364" s="55"/>
      <c r="L364" s="56"/>
      <c r="M364" s="56"/>
      <c r="N364" s="49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</row>
    <row r="365" spans="1:37" x14ac:dyDescent="0.25">
      <c r="A365" s="46"/>
      <c r="B365" s="114"/>
      <c r="C365" s="191"/>
      <c r="D365" s="191"/>
      <c r="E365" s="116"/>
      <c r="F365" s="52"/>
      <c r="G365" s="55"/>
      <c r="H365" s="54"/>
      <c r="I365" s="55"/>
      <c r="J365" s="55"/>
      <c r="K365" s="55"/>
      <c r="L365" s="56"/>
      <c r="M365" s="56"/>
      <c r="N365" s="49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</row>
    <row r="366" spans="1:37" x14ac:dyDescent="0.25">
      <c r="A366" s="46"/>
      <c r="B366" s="114"/>
      <c r="C366" s="191"/>
      <c r="D366" s="191"/>
      <c r="E366" s="116"/>
      <c r="F366" s="52"/>
      <c r="G366" s="55"/>
      <c r="H366" s="54"/>
      <c r="I366" s="55"/>
      <c r="J366" s="55"/>
      <c r="K366" s="55"/>
      <c r="L366" s="56"/>
      <c r="M366" s="56"/>
      <c r="N366" s="49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</row>
    <row r="367" spans="1:37" x14ac:dyDescent="0.25">
      <c r="A367" s="46"/>
      <c r="B367" s="114"/>
      <c r="C367" s="191"/>
      <c r="D367" s="191"/>
      <c r="E367" s="116"/>
      <c r="F367" s="52"/>
      <c r="G367" s="55"/>
      <c r="H367" s="54"/>
      <c r="I367" s="55"/>
      <c r="J367" s="55"/>
      <c r="K367" s="55"/>
      <c r="L367" s="56"/>
      <c r="M367" s="56"/>
      <c r="N367" s="49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</row>
    <row r="368" spans="1:37" x14ac:dyDescent="0.25">
      <c r="A368" s="46"/>
      <c r="B368" s="114"/>
      <c r="C368" s="191"/>
      <c r="D368" s="191"/>
      <c r="E368" s="116"/>
      <c r="F368" s="52"/>
      <c r="G368" s="55"/>
      <c r="H368" s="54"/>
      <c r="I368" s="55"/>
      <c r="J368" s="55"/>
      <c r="K368" s="55"/>
      <c r="L368" s="56"/>
      <c r="M368" s="56"/>
      <c r="N368" s="49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</row>
    <row r="369" spans="1:37" x14ac:dyDescent="0.25">
      <c r="A369" s="46"/>
      <c r="B369" s="114"/>
      <c r="C369" s="191"/>
      <c r="D369" s="191"/>
      <c r="E369" s="116"/>
      <c r="F369" s="52"/>
      <c r="G369" s="55"/>
      <c r="H369" s="54"/>
      <c r="I369" s="55"/>
      <c r="J369" s="55"/>
      <c r="K369" s="55"/>
      <c r="L369" s="56"/>
      <c r="M369" s="56"/>
      <c r="N369" s="49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</row>
    <row r="370" spans="1:37" x14ac:dyDescent="0.25">
      <c r="A370" s="46"/>
      <c r="B370" s="114"/>
      <c r="C370" s="191"/>
      <c r="D370" s="191"/>
      <c r="E370" s="116"/>
      <c r="F370" s="52"/>
      <c r="G370" s="55"/>
      <c r="H370" s="54"/>
      <c r="I370" s="55"/>
      <c r="J370" s="55"/>
      <c r="K370" s="55"/>
      <c r="L370" s="56"/>
      <c r="M370" s="56"/>
      <c r="N370" s="49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</row>
    <row r="371" spans="1:37" x14ac:dyDescent="0.25">
      <c r="A371" s="46"/>
      <c r="B371" s="114"/>
      <c r="C371" s="191"/>
      <c r="D371" s="191"/>
      <c r="E371" s="116"/>
      <c r="F371" s="52"/>
      <c r="G371" s="55"/>
      <c r="H371" s="54"/>
      <c r="I371" s="55"/>
      <c r="J371" s="55"/>
      <c r="K371" s="55"/>
      <c r="L371" s="56"/>
      <c r="M371" s="56"/>
      <c r="N371" s="49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</row>
    <row r="372" spans="1:37" x14ac:dyDescent="0.25">
      <c r="A372" s="46"/>
      <c r="B372" s="114"/>
      <c r="C372" s="191"/>
      <c r="D372" s="191"/>
      <c r="E372" s="116"/>
      <c r="F372" s="52"/>
      <c r="G372" s="55"/>
      <c r="H372" s="54"/>
      <c r="I372" s="55"/>
      <c r="J372" s="55"/>
      <c r="K372" s="55"/>
      <c r="L372" s="56"/>
      <c r="M372" s="56"/>
      <c r="N372" s="49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</row>
    <row r="373" spans="1:37" x14ac:dyDescent="0.25">
      <c r="A373" s="46"/>
      <c r="B373" s="114"/>
      <c r="C373" s="191"/>
      <c r="D373" s="191"/>
      <c r="E373" s="116"/>
      <c r="F373" s="52"/>
      <c r="G373" s="55"/>
      <c r="H373" s="54"/>
      <c r="I373" s="55"/>
      <c r="J373" s="55"/>
      <c r="K373" s="55"/>
      <c r="L373" s="56"/>
      <c r="M373" s="56"/>
      <c r="N373" s="49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</row>
    <row r="374" spans="1:37" x14ac:dyDescent="0.25">
      <c r="A374" s="46"/>
      <c r="B374" s="114"/>
      <c r="C374" s="191"/>
      <c r="D374" s="191"/>
      <c r="E374" s="116"/>
      <c r="F374" s="52"/>
      <c r="G374" s="55"/>
      <c r="H374" s="54"/>
      <c r="I374" s="55"/>
      <c r="J374" s="55"/>
      <c r="K374" s="55"/>
      <c r="L374" s="56"/>
      <c r="M374" s="56"/>
      <c r="N374" s="49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</row>
    <row r="375" spans="1:37" x14ac:dyDescent="0.25">
      <c r="A375" s="46"/>
      <c r="B375" s="114"/>
      <c r="C375" s="191"/>
      <c r="D375" s="191"/>
      <c r="E375" s="116"/>
      <c r="F375" s="52"/>
      <c r="G375" s="55"/>
      <c r="H375" s="54"/>
      <c r="I375" s="55"/>
      <c r="J375" s="55"/>
      <c r="K375" s="55"/>
      <c r="L375" s="56"/>
      <c r="M375" s="56"/>
      <c r="N375" s="49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</row>
    <row r="376" spans="1:37" x14ac:dyDescent="0.25">
      <c r="A376" s="46"/>
      <c r="B376" s="114"/>
      <c r="C376" s="191"/>
      <c r="D376" s="191"/>
      <c r="E376" s="116"/>
      <c r="F376" s="52"/>
      <c r="G376" s="55"/>
      <c r="H376" s="54"/>
      <c r="I376" s="55"/>
      <c r="J376" s="55"/>
      <c r="K376" s="55"/>
      <c r="L376" s="56"/>
      <c r="M376" s="56"/>
      <c r="N376" s="49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</row>
    <row r="377" spans="1:37" x14ac:dyDescent="0.25">
      <c r="A377" s="46"/>
      <c r="B377" s="114"/>
      <c r="C377" s="191"/>
      <c r="D377" s="191"/>
      <c r="E377" s="116"/>
      <c r="F377" s="52"/>
      <c r="G377" s="55"/>
      <c r="H377" s="54"/>
      <c r="I377" s="55"/>
      <c r="J377" s="55"/>
      <c r="K377" s="55"/>
      <c r="L377" s="56"/>
      <c r="M377" s="56"/>
      <c r="N377" s="49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</row>
    <row r="378" spans="1:37" x14ac:dyDescent="0.25">
      <c r="A378" s="46"/>
      <c r="B378" s="114"/>
      <c r="C378" s="191"/>
      <c r="D378" s="191"/>
      <c r="E378" s="116"/>
      <c r="F378" s="52"/>
      <c r="G378" s="55"/>
      <c r="H378" s="54"/>
      <c r="I378" s="55"/>
      <c r="J378" s="55"/>
      <c r="K378" s="55"/>
      <c r="L378" s="56"/>
      <c r="M378" s="56"/>
      <c r="N378" s="49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</row>
    <row r="379" spans="1:37" x14ac:dyDescent="0.25">
      <c r="A379" s="46"/>
      <c r="B379" s="114"/>
      <c r="C379" s="191"/>
      <c r="D379" s="191"/>
      <c r="E379" s="116"/>
      <c r="F379" s="52"/>
      <c r="G379" s="55"/>
      <c r="H379" s="54"/>
      <c r="I379" s="55"/>
      <c r="J379" s="55"/>
      <c r="K379" s="55"/>
      <c r="L379" s="56"/>
      <c r="M379" s="56"/>
      <c r="N379" s="49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</row>
    <row r="380" spans="1:37" x14ac:dyDescent="0.25">
      <c r="A380" s="46"/>
      <c r="B380" s="114"/>
      <c r="C380" s="191"/>
      <c r="D380" s="191"/>
      <c r="E380" s="116"/>
      <c r="F380" s="52"/>
      <c r="G380" s="55"/>
      <c r="H380" s="54"/>
      <c r="I380" s="55"/>
      <c r="J380" s="55"/>
      <c r="K380" s="55"/>
      <c r="L380" s="56"/>
      <c r="M380" s="56"/>
      <c r="N380" s="49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</row>
    <row r="381" spans="1:37" x14ac:dyDescent="0.25">
      <c r="A381" s="46"/>
      <c r="B381" s="114"/>
      <c r="C381" s="191"/>
      <c r="D381" s="191"/>
      <c r="E381" s="116"/>
      <c r="F381" s="52"/>
      <c r="G381" s="55"/>
      <c r="H381" s="54"/>
      <c r="I381" s="55"/>
      <c r="J381" s="55"/>
      <c r="K381" s="55"/>
      <c r="L381" s="56"/>
      <c r="M381" s="56"/>
      <c r="N381" s="49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</row>
    <row r="382" spans="1:37" x14ac:dyDescent="0.25">
      <c r="A382" s="46"/>
      <c r="B382" s="114"/>
      <c r="C382" s="191"/>
      <c r="D382" s="191"/>
      <c r="E382" s="116"/>
      <c r="F382" s="52"/>
      <c r="G382" s="55"/>
      <c r="H382" s="54"/>
      <c r="I382" s="55"/>
      <c r="J382" s="55"/>
      <c r="K382" s="55"/>
      <c r="L382" s="56"/>
      <c r="M382" s="56"/>
      <c r="N382" s="49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</row>
    <row r="383" spans="1:37" x14ac:dyDescent="0.25">
      <c r="A383" s="46"/>
      <c r="B383" s="114"/>
      <c r="C383" s="191"/>
      <c r="D383" s="191"/>
      <c r="E383" s="116"/>
      <c r="F383" s="52"/>
      <c r="G383" s="55"/>
      <c r="H383" s="54"/>
      <c r="I383" s="55"/>
      <c r="J383" s="55"/>
      <c r="K383" s="55"/>
      <c r="L383" s="56"/>
      <c r="M383" s="56"/>
      <c r="N383" s="49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</row>
    <row r="384" spans="1:37" x14ac:dyDescent="0.25">
      <c r="A384" s="46"/>
      <c r="B384" s="114"/>
      <c r="C384" s="191"/>
      <c r="D384" s="191"/>
      <c r="E384" s="116"/>
      <c r="F384" s="52"/>
      <c r="G384" s="55"/>
      <c r="H384" s="54"/>
      <c r="I384" s="55"/>
      <c r="J384" s="55"/>
      <c r="K384" s="55"/>
      <c r="L384" s="56"/>
      <c r="M384" s="56"/>
      <c r="N384" s="49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</row>
    <row r="385" spans="1:37" x14ac:dyDescent="0.25">
      <c r="A385" s="46"/>
      <c r="B385" s="114"/>
      <c r="C385" s="191"/>
      <c r="D385" s="191"/>
      <c r="E385" s="116"/>
      <c r="F385" s="52"/>
      <c r="G385" s="55"/>
      <c r="H385" s="54"/>
      <c r="I385" s="55"/>
      <c r="J385" s="55"/>
      <c r="K385" s="55"/>
      <c r="L385" s="56"/>
      <c r="M385" s="56"/>
      <c r="N385" s="49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</row>
    <row r="386" spans="1:37" x14ac:dyDescent="0.25">
      <c r="A386" s="46"/>
      <c r="B386" s="114"/>
      <c r="C386" s="191"/>
      <c r="D386" s="191"/>
      <c r="E386" s="116"/>
      <c r="F386" s="52"/>
      <c r="G386" s="55"/>
      <c r="H386" s="54"/>
      <c r="I386" s="55"/>
      <c r="J386" s="55"/>
      <c r="K386" s="55"/>
      <c r="L386" s="56"/>
      <c r="M386" s="56"/>
      <c r="N386" s="49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</row>
    <row r="387" spans="1:37" x14ac:dyDescent="0.25">
      <c r="A387" s="46"/>
      <c r="B387" s="114"/>
      <c r="C387" s="191"/>
      <c r="D387" s="191"/>
      <c r="E387" s="116"/>
      <c r="F387" s="52"/>
      <c r="G387" s="55"/>
      <c r="H387" s="54"/>
      <c r="I387" s="55"/>
      <c r="J387" s="55"/>
      <c r="K387" s="55"/>
      <c r="L387" s="56"/>
      <c r="M387" s="56"/>
      <c r="N387" s="49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</row>
    <row r="388" spans="1:37" x14ac:dyDescent="0.25">
      <c r="A388" s="46"/>
      <c r="B388" s="114"/>
      <c r="C388" s="191"/>
      <c r="D388" s="191"/>
      <c r="E388" s="116"/>
      <c r="F388" s="52"/>
      <c r="G388" s="55"/>
      <c r="H388" s="54"/>
      <c r="I388" s="55"/>
      <c r="J388" s="55"/>
      <c r="K388" s="55"/>
      <c r="L388" s="56"/>
      <c r="M388" s="56"/>
      <c r="N388" s="49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</row>
    <row r="389" spans="1:37" x14ac:dyDescent="0.25">
      <c r="A389" s="46"/>
      <c r="B389" s="114"/>
      <c r="C389" s="191"/>
      <c r="D389" s="191"/>
      <c r="E389" s="116"/>
      <c r="F389" s="52"/>
      <c r="G389" s="55"/>
      <c r="H389" s="54"/>
      <c r="I389" s="55"/>
      <c r="J389" s="55"/>
      <c r="K389" s="55"/>
      <c r="L389" s="56"/>
      <c r="M389" s="56"/>
      <c r="N389" s="49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</row>
    <row r="390" spans="1:37" x14ac:dyDescent="0.25">
      <c r="A390" s="46"/>
      <c r="B390" s="114"/>
      <c r="C390" s="191"/>
      <c r="D390" s="191"/>
      <c r="E390" s="116"/>
      <c r="F390" s="52"/>
      <c r="G390" s="55"/>
      <c r="H390" s="54"/>
      <c r="I390" s="55"/>
      <c r="J390" s="55"/>
      <c r="K390" s="55"/>
      <c r="L390" s="56"/>
      <c r="M390" s="56"/>
      <c r="N390" s="49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</row>
    <row r="391" spans="1:37" x14ac:dyDescent="0.25">
      <c r="A391" s="46"/>
      <c r="B391" s="114"/>
      <c r="C391" s="191"/>
      <c r="D391" s="191"/>
      <c r="E391" s="116"/>
      <c r="F391" s="52"/>
      <c r="G391" s="55"/>
      <c r="H391" s="54"/>
      <c r="I391" s="55"/>
      <c r="J391" s="55"/>
      <c r="K391" s="55"/>
      <c r="L391" s="56"/>
      <c r="M391" s="56"/>
      <c r="N391" s="49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</row>
    <row r="392" spans="1:37" x14ac:dyDescent="0.25">
      <c r="A392" s="46"/>
      <c r="B392" s="114"/>
      <c r="C392" s="191"/>
      <c r="D392" s="191"/>
      <c r="E392" s="116"/>
      <c r="F392" s="52"/>
      <c r="G392" s="55"/>
      <c r="H392" s="54"/>
      <c r="I392" s="55"/>
      <c r="J392" s="55"/>
      <c r="K392" s="55"/>
      <c r="L392" s="56"/>
      <c r="M392" s="56"/>
      <c r="N392" s="49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</row>
    <row r="393" spans="1:37" x14ac:dyDescent="0.25">
      <c r="A393" s="46"/>
      <c r="B393" s="114"/>
      <c r="C393" s="191"/>
      <c r="D393" s="191"/>
      <c r="E393" s="116"/>
      <c r="F393" s="52"/>
      <c r="G393" s="55"/>
      <c r="H393" s="54"/>
      <c r="I393" s="55"/>
      <c r="J393" s="55"/>
      <c r="K393" s="55"/>
      <c r="L393" s="56"/>
      <c r="M393" s="56"/>
      <c r="N393" s="49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</row>
    <row r="394" spans="1:37" x14ac:dyDescent="0.25">
      <c r="A394" s="46"/>
      <c r="B394" s="114"/>
      <c r="C394" s="191"/>
      <c r="D394" s="191"/>
      <c r="E394" s="116"/>
      <c r="F394" s="52"/>
      <c r="G394" s="55"/>
      <c r="H394" s="54"/>
      <c r="I394" s="55"/>
      <c r="J394" s="55"/>
      <c r="K394" s="55"/>
      <c r="L394" s="56"/>
      <c r="M394" s="56"/>
      <c r="N394" s="49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</row>
    <row r="395" spans="1:37" x14ac:dyDescent="0.25">
      <c r="A395" s="46"/>
      <c r="B395" s="114"/>
      <c r="C395" s="191"/>
      <c r="D395" s="191"/>
      <c r="E395" s="116"/>
      <c r="F395" s="52"/>
      <c r="G395" s="55"/>
      <c r="H395" s="54"/>
      <c r="I395" s="55"/>
      <c r="J395" s="55"/>
      <c r="K395" s="55"/>
      <c r="L395" s="56"/>
      <c r="M395" s="56"/>
      <c r="N395" s="49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</row>
    <row r="396" spans="1:37" x14ac:dyDescent="0.25">
      <c r="A396" s="46"/>
      <c r="B396" s="114"/>
      <c r="C396" s="191"/>
      <c r="D396" s="191"/>
      <c r="E396" s="116"/>
      <c r="F396" s="52"/>
      <c r="G396" s="55"/>
      <c r="H396" s="54"/>
      <c r="I396" s="55"/>
      <c r="J396" s="55"/>
      <c r="K396" s="55"/>
      <c r="L396" s="56"/>
      <c r="M396" s="56"/>
      <c r="N396" s="49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</row>
    <row r="397" spans="1:37" x14ac:dyDescent="0.25">
      <c r="A397" s="46"/>
      <c r="B397" s="114"/>
      <c r="C397" s="191"/>
      <c r="D397" s="191"/>
      <c r="E397" s="116"/>
      <c r="F397" s="52"/>
      <c r="G397" s="55"/>
      <c r="H397" s="54"/>
      <c r="I397" s="55"/>
      <c r="J397" s="55"/>
      <c r="K397" s="55"/>
      <c r="L397" s="56"/>
      <c r="M397" s="56"/>
      <c r="N397" s="49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</row>
    <row r="398" spans="1:37" x14ac:dyDescent="0.25">
      <c r="A398" s="46"/>
      <c r="B398" s="114"/>
      <c r="C398" s="191"/>
      <c r="D398" s="191"/>
      <c r="E398" s="116"/>
      <c r="F398" s="52"/>
      <c r="G398" s="55"/>
      <c r="H398" s="54"/>
      <c r="I398" s="55"/>
      <c r="J398" s="55"/>
      <c r="K398" s="55"/>
      <c r="L398" s="56"/>
      <c r="M398" s="56"/>
      <c r="N398" s="49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</row>
    <row r="399" spans="1:37" x14ac:dyDescent="0.25">
      <c r="A399" s="46"/>
      <c r="B399" s="114"/>
      <c r="C399" s="191"/>
      <c r="D399" s="191"/>
      <c r="E399" s="116"/>
      <c r="F399" s="52"/>
      <c r="G399" s="55"/>
      <c r="H399" s="54"/>
      <c r="I399" s="55"/>
      <c r="J399" s="55"/>
      <c r="K399" s="55"/>
      <c r="L399" s="56"/>
      <c r="M399" s="56"/>
      <c r="N399" s="49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</row>
    <row r="400" spans="1:37" x14ac:dyDescent="0.25">
      <c r="A400" s="46"/>
      <c r="B400" s="114"/>
      <c r="C400" s="191"/>
      <c r="D400" s="191"/>
      <c r="E400" s="116"/>
      <c r="F400" s="52"/>
      <c r="G400" s="55"/>
      <c r="H400" s="54"/>
      <c r="I400" s="55"/>
      <c r="J400" s="55"/>
      <c r="K400" s="55"/>
      <c r="L400" s="56"/>
      <c r="M400" s="56"/>
      <c r="N400" s="49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</row>
    <row r="401" spans="1:37" x14ac:dyDescent="0.25">
      <c r="A401" s="46"/>
      <c r="B401" s="114"/>
      <c r="C401" s="191"/>
      <c r="D401" s="191"/>
      <c r="E401" s="116"/>
      <c r="F401" s="52"/>
      <c r="G401" s="55"/>
      <c r="H401" s="54"/>
      <c r="I401" s="55"/>
      <c r="J401" s="55"/>
      <c r="K401" s="55"/>
      <c r="L401" s="56"/>
      <c r="M401" s="56"/>
      <c r="N401" s="49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</row>
    <row r="402" spans="1:37" x14ac:dyDescent="0.25">
      <c r="A402" s="46"/>
      <c r="B402" s="114"/>
      <c r="C402" s="191"/>
      <c r="D402" s="191"/>
      <c r="E402" s="116"/>
      <c r="F402" s="52"/>
      <c r="G402" s="55"/>
      <c r="H402" s="54"/>
      <c r="I402" s="55"/>
      <c r="J402" s="55"/>
      <c r="K402" s="55"/>
      <c r="L402" s="56"/>
      <c r="M402" s="56"/>
      <c r="N402" s="49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</row>
    <row r="403" spans="1:37" x14ac:dyDescent="0.25">
      <c r="A403" s="46"/>
      <c r="B403" s="114"/>
      <c r="C403" s="191"/>
      <c r="D403" s="191"/>
      <c r="E403" s="116"/>
      <c r="F403" s="52"/>
      <c r="G403" s="55"/>
      <c r="H403" s="54"/>
      <c r="I403" s="55"/>
      <c r="J403" s="55"/>
      <c r="K403" s="55"/>
      <c r="L403" s="56"/>
      <c r="M403" s="56"/>
      <c r="N403" s="49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</row>
    <row r="404" spans="1:37" x14ac:dyDescent="0.25">
      <c r="A404" s="46"/>
      <c r="B404" s="114"/>
      <c r="C404" s="191"/>
      <c r="D404" s="191"/>
      <c r="E404" s="116"/>
      <c r="F404" s="52"/>
      <c r="G404" s="55"/>
      <c r="H404" s="54"/>
      <c r="I404" s="55"/>
      <c r="J404" s="55"/>
      <c r="K404" s="55"/>
      <c r="L404" s="56"/>
      <c r="M404" s="56"/>
      <c r="N404" s="49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</row>
    <row r="405" spans="1:37" x14ac:dyDescent="0.25">
      <c r="A405" s="46"/>
      <c r="B405" s="114"/>
      <c r="C405" s="191"/>
      <c r="D405" s="191"/>
      <c r="E405" s="116"/>
      <c r="F405" s="52"/>
      <c r="G405" s="55"/>
      <c r="H405" s="54"/>
      <c r="I405" s="55"/>
      <c r="J405" s="55"/>
      <c r="K405" s="55"/>
      <c r="L405" s="56"/>
      <c r="M405" s="56"/>
      <c r="N405" s="49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</row>
    <row r="406" spans="1:37" x14ac:dyDescent="0.25">
      <c r="A406" s="46"/>
      <c r="B406" s="114"/>
      <c r="C406" s="191"/>
      <c r="D406" s="191"/>
      <c r="E406" s="116"/>
      <c r="F406" s="52"/>
      <c r="G406" s="55"/>
      <c r="H406" s="54"/>
      <c r="I406" s="55"/>
      <c r="J406" s="55"/>
      <c r="K406" s="55"/>
      <c r="L406" s="56"/>
      <c r="M406" s="56"/>
      <c r="N406" s="49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</row>
    <row r="407" spans="1:37" x14ac:dyDescent="0.25">
      <c r="A407" s="46"/>
      <c r="B407" s="114"/>
      <c r="C407" s="191"/>
      <c r="D407" s="191"/>
      <c r="E407" s="116"/>
      <c r="F407" s="52"/>
      <c r="G407" s="55"/>
      <c r="H407" s="54"/>
      <c r="I407" s="55"/>
      <c r="J407" s="55"/>
      <c r="K407" s="55"/>
      <c r="L407" s="56"/>
      <c r="M407" s="56"/>
      <c r="N407" s="49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</row>
    <row r="408" spans="1:37" x14ac:dyDescent="0.25">
      <c r="A408" s="46"/>
      <c r="B408" s="114"/>
      <c r="C408" s="191"/>
      <c r="D408" s="191"/>
      <c r="E408" s="116"/>
      <c r="F408" s="52"/>
      <c r="G408" s="55"/>
      <c r="H408" s="54"/>
      <c r="I408" s="55"/>
      <c r="J408" s="55"/>
      <c r="K408" s="55"/>
      <c r="L408" s="56"/>
      <c r="M408" s="56"/>
      <c r="N408" s="49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</row>
    <row r="409" spans="1:37" x14ac:dyDescent="0.25">
      <c r="A409" s="46"/>
      <c r="B409" s="114"/>
      <c r="C409" s="191"/>
      <c r="D409" s="191"/>
      <c r="E409" s="116"/>
      <c r="F409" s="52"/>
      <c r="G409" s="55"/>
      <c r="H409" s="54"/>
      <c r="I409" s="55"/>
      <c r="J409" s="55"/>
      <c r="K409" s="55"/>
      <c r="L409" s="56"/>
      <c r="M409" s="56"/>
      <c r="N409" s="49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</row>
    <row r="410" spans="1:37" x14ac:dyDescent="0.25">
      <c r="A410" s="46"/>
      <c r="B410" s="114"/>
      <c r="C410" s="191"/>
      <c r="D410" s="191"/>
      <c r="E410" s="116"/>
      <c r="F410" s="52"/>
      <c r="G410" s="55"/>
      <c r="H410" s="54"/>
      <c r="I410" s="55"/>
      <c r="J410" s="55"/>
      <c r="K410" s="55"/>
      <c r="L410" s="56"/>
      <c r="M410" s="56"/>
      <c r="N410" s="49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</row>
    <row r="411" spans="1:37" x14ac:dyDescent="0.25">
      <c r="A411" s="46"/>
      <c r="B411" s="114"/>
      <c r="C411" s="191"/>
      <c r="D411" s="191"/>
      <c r="E411" s="116"/>
      <c r="F411" s="52"/>
      <c r="G411" s="55"/>
      <c r="H411" s="54"/>
      <c r="I411" s="55"/>
      <c r="J411" s="55"/>
      <c r="K411" s="55"/>
      <c r="L411" s="56"/>
      <c r="M411" s="56"/>
      <c r="N411" s="49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</row>
    <row r="412" spans="1:37" x14ac:dyDescent="0.25">
      <c r="A412" s="46"/>
      <c r="B412" s="114"/>
      <c r="C412" s="191"/>
      <c r="D412" s="191"/>
      <c r="E412" s="116"/>
      <c r="F412" s="52"/>
      <c r="G412" s="55"/>
      <c r="H412" s="54"/>
      <c r="I412" s="55"/>
      <c r="J412" s="55"/>
      <c r="K412" s="55"/>
      <c r="L412" s="56"/>
      <c r="M412" s="56"/>
      <c r="N412" s="49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</row>
    <row r="413" spans="1:37" x14ac:dyDescent="0.25">
      <c r="A413" s="46"/>
      <c r="B413" s="114"/>
      <c r="C413" s="191"/>
      <c r="D413" s="191"/>
      <c r="E413" s="116"/>
      <c r="F413" s="52"/>
      <c r="G413" s="55"/>
      <c r="H413" s="54"/>
      <c r="I413" s="55"/>
      <c r="J413" s="55"/>
      <c r="K413" s="55"/>
      <c r="L413" s="56"/>
      <c r="M413" s="56"/>
      <c r="N413" s="49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</row>
    <row r="414" spans="1:37" x14ac:dyDescent="0.25">
      <c r="A414" s="46"/>
      <c r="B414" s="114"/>
      <c r="C414" s="191"/>
      <c r="D414" s="191"/>
      <c r="E414" s="116"/>
      <c r="F414" s="52"/>
      <c r="G414" s="55"/>
      <c r="H414" s="54"/>
      <c r="I414" s="55"/>
      <c r="J414" s="55"/>
      <c r="K414" s="55"/>
      <c r="L414" s="56"/>
      <c r="M414" s="56"/>
      <c r="N414" s="49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</row>
    <row r="415" spans="1:37" x14ac:dyDescent="0.25">
      <c r="A415" s="46"/>
      <c r="B415" s="114"/>
      <c r="C415" s="191"/>
      <c r="D415" s="191"/>
      <c r="E415" s="116"/>
      <c r="F415" s="52"/>
      <c r="G415" s="55"/>
      <c r="H415" s="54"/>
      <c r="I415" s="55"/>
      <c r="J415" s="55"/>
      <c r="K415" s="55"/>
      <c r="L415" s="56"/>
      <c r="M415" s="56"/>
      <c r="N415" s="49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</row>
    <row r="416" spans="1:37" x14ac:dyDescent="0.25">
      <c r="A416" s="46"/>
      <c r="B416" s="114"/>
      <c r="C416" s="191"/>
      <c r="D416" s="191"/>
      <c r="E416" s="116"/>
      <c r="F416" s="52"/>
      <c r="G416" s="55"/>
      <c r="H416" s="54"/>
      <c r="I416" s="55"/>
      <c r="J416" s="55"/>
      <c r="K416" s="55"/>
      <c r="L416" s="56"/>
      <c r="M416" s="56"/>
      <c r="N416" s="49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</row>
    <row r="417" spans="1:37" x14ac:dyDescent="0.25">
      <c r="A417" s="46"/>
      <c r="B417" s="114"/>
      <c r="C417" s="191"/>
      <c r="D417" s="191"/>
      <c r="E417" s="116"/>
      <c r="F417" s="52"/>
      <c r="G417" s="55"/>
      <c r="H417" s="54"/>
      <c r="I417" s="55"/>
      <c r="J417" s="55"/>
      <c r="K417" s="55"/>
      <c r="L417" s="56"/>
      <c r="M417" s="56"/>
      <c r="N417" s="49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</row>
    <row r="418" spans="1:37" x14ac:dyDescent="0.25">
      <c r="A418" s="46"/>
      <c r="B418" s="114"/>
      <c r="C418" s="191"/>
      <c r="D418" s="191"/>
      <c r="E418" s="116"/>
      <c r="F418" s="52"/>
      <c r="G418" s="55"/>
      <c r="H418" s="54"/>
      <c r="I418" s="55"/>
      <c r="J418" s="55"/>
      <c r="K418" s="55"/>
      <c r="L418" s="56"/>
      <c r="M418" s="56"/>
      <c r="N418" s="49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</row>
    <row r="419" spans="1:37" x14ac:dyDescent="0.25">
      <c r="A419" s="46"/>
      <c r="B419" s="114"/>
      <c r="C419" s="191"/>
      <c r="D419" s="191"/>
      <c r="E419" s="116"/>
      <c r="F419" s="52"/>
      <c r="G419" s="55"/>
      <c r="H419" s="54"/>
      <c r="I419" s="55"/>
      <c r="J419" s="55"/>
      <c r="K419" s="55"/>
      <c r="L419" s="56"/>
      <c r="M419" s="56"/>
      <c r="N419" s="49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</row>
    <row r="420" spans="1:37" x14ac:dyDescent="0.25">
      <c r="A420" s="46"/>
      <c r="B420" s="114"/>
      <c r="C420" s="191"/>
      <c r="D420" s="191"/>
      <c r="E420" s="116"/>
      <c r="F420" s="52"/>
      <c r="G420" s="55"/>
      <c r="H420" s="54"/>
      <c r="I420" s="55"/>
      <c r="J420" s="55"/>
      <c r="K420" s="55"/>
      <c r="L420" s="56"/>
      <c r="M420" s="56"/>
      <c r="N420" s="49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</row>
    <row r="421" spans="1:37" x14ac:dyDescent="0.25">
      <c r="A421" s="46"/>
      <c r="B421" s="114"/>
      <c r="C421" s="191"/>
      <c r="D421" s="191"/>
      <c r="E421" s="116"/>
      <c r="F421" s="52"/>
      <c r="G421" s="55"/>
      <c r="H421" s="54"/>
      <c r="I421" s="55"/>
      <c r="J421" s="55"/>
      <c r="K421" s="55"/>
      <c r="L421" s="56"/>
      <c r="M421" s="56"/>
      <c r="N421" s="49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</row>
    <row r="422" spans="1:37" x14ac:dyDescent="0.25">
      <c r="A422" s="46"/>
      <c r="B422" s="114"/>
      <c r="C422" s="191"/>
      <c r="D422" s="191"/>
      <c r="E422" s="116"/>
      <c r="F422" s="52"/>
      <c r="G422" s="55"/>
      <c r="H422" s="54"/>
      <c r="I422" s="55"/>
      <c r="J422" s="55"/>
      <c r="K422" s="55"/>
      <c r="L422" s="56"/>
      <c r="M422" s="56"/>
      <c r="N422" s="49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</row>
    <row r="423" spans="1:37" x14ac:dyDescent="0.25">
      <c r="A423" s="46"/>
      <c r="B423" s="114"/>
      <c r="C423" s="191"/>
      <c r="D423" s="191"/>
      <c r="E423" s="116"/>
      <c r="F423" s="52"/>
      <c r="G423" s="55"/>
      <c r="H423" s="54"/>
      <c r="I423" s="55"/>
      <c r="J423" s="55"/>
      <c r="K423" s="55"/>
      <c r="L423" s="56"/>
      <c r="M423" s="56"/>
      <c r="N423" s="49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</row>
    <row r="424" spans="1:37" x14ac:dyDescent="0.25">
      <c r="A424" s="46"/>
      <c r="B424" s="114"/>
      <c r="C424" s="191"/>
      <c r="D424" s="191"/>
      <c r="E424" s="116"/>
      <c r="F424" s="52"/>
      <c r="G424" s="55"/>
      <c r="H424" s="54"/>
      <c r="I424" s="55"/>
      <c r="J424" s="55"/>
      <c r="K424" s="55"/>
      <c r="L424" s="56"/>
      <c r="M424" s="56"/>
      <c r="N424" s="49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</row>
    <row r="425" spans="1:37" x14ac:dyDescent="0.25">
      <c r="A425" s="46"/>
      <c r="B425" s="114"/>
      <c r="C425" s="191"/>
      <c r="D425" s="191"/>
      <c r="E425" s="116"/>
      <c r="F425" s="52"/>
      <c r="G425" s="55"/>
      <c r="H425" s="54"/>
      <c r="I425" s="55"/>
      <c r="J425" s="55"/>
      <c r="K425" s="55"/>
      <c r="L425" s="56"/>
      <c r="M425" s="56"/>
      <c r="N425" s="49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</row>
    <row r="426" spans="1:37" x14ac:dyDescent="0.25">
      <c r="A426" s="46"/>
      <c r="B426" s="114"/>
      <c r="C426" s="191"/>
      <c r="D426" s="191"/>
      <c r="E426" s="116"/>
      <c r="F426" s="52"/>
      <c r="G426" s="55"/>
      <c r="H426" s="54"/>
      <c r="I426" s="55"/>
      <c r="J426" s="55"/>
      <c r="K426" s="55"/>
      <c r="L426" s="56"/>
      <c r="M426" s="56"/>
      <c r="N426" s="49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</row>
    <row r="427" spans="1:37" x14ac:dyDescent="0.25">
      <c r="A427" s="46"/>
      <c r="B427" s="114"/>
      <c r="C427" s="191"/>
      <c r="D427" s="191"/>
      <c r="E427" s="116"/>
      <c r="F427" s="52"/>
      <c r="G427" s="55"/>
      <c r="H427" s="54"/>
      <c r="I427" s="55"/>
      <c r="J427" s="55"/>
      <c r="K427" s="55"/>
      <c r="L427" s="56"/>
      <c r="M427" s="56"/>
      <c r="N427" s="49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</row>
    <row r="428" spans="1:37" x14ac:dyDescent="0.25">
      <c r="A428" s="46"/>
      <c r="B428" s="114"/>
      <c r="C428" s="191"/>
      <c r="D428" s="191"/>
      <c r="E428" s="116"/>
      <c r="F428" s="52"/>
      <c r="G428" s="55"/>
      <c r="H428" s="54"/>
      <c r="I428" s="55"/>
      <c r="J428" s="55"/>
      <c r="K428" s="55"/>
      <c r="L428" s="56"/>
      <c r="M428" s="56"/>
      <c r="N428" s="49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</row>
    <row r="429" spans="1:37" x14ac:dyDescent="0.25">
      <c r="A429" s="46"/>
      <c r="B429" s="114"/>
      <c r="C429" s="191"/>
      <c r="D429" s="191"/>
      <c r="E429" s="116"/>
      <c r="F429" s="52"/>
      <c r="G429" s="55"/>
      <c r="H429" s="54"/>
      <c r="I429" s="55"/>
      <c r="J429" s="55"/>
      <c r="K429" s="55"/>
      <c r="L429" s="56"/>
      <c r="M429" s="56"/>
      <c r="N429" s="49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</row>
    <row r="430" spans="1:37" x14ac:dyDescent="0.25">
      <c r="A430" s="46"/>
      <c r="B430" s="114"/>
      <c r="C430" s="191"/>
      <c r="D430" s="191"/>
      <c r="E430" s="116"/>
      <c r="F430" s="52"/>
      <c r="G430" s="55"/>
      <c r="H430" s="54"/>
      <c r="I430" s="55"/>
      <c r="J430" s="55"/>
      <c r="K430" s="55"/>
      <c r="L430" s="56"/>
      <c r="M430" s="56"/>
      <c r="N430" s="49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</row>
    <row r="431" spans="1:37" x14ac:dyDescent="0.25">
      <c r="A431" s="46"/>
      <c r="B431" s="114"/>
      <c r="C431" s="191"/>
      <c r="D431" s="191"/>
      <c r="E431" s="116"/>
      <c r="F431" s="52"/>
      <c r="G431" s="55"/>
      <c r="H431" s="54"/>
      <c r="I431" s="55"/>
      <c r="J431" s="55"/>
      <c r="K431" s="55"/>
      <c r="L431" s="56"/>
      <c r="M431" s="56"/>
      <c r="N431" s="49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</row>
    <row r="432" spans="1:37" x14ac:dyDescent="0.25">
      <c r="A432" s="46"/>
      <c r="B432" s="114"/>
      <c r="C432" s="191"/>
      <c r="D432" s="191"/>
      <c r="E432" s="116"/>
      <c r="F432" s="52"/>
      <c r="G432" s="55"/>
      <c r="H432" s="54"/>
      <c r="I432" s="55"/>
      <c r="J432" s="55"/>
      <c r="K432" s="55"/>
      <c r="L432" s="56"/>
      <c r="M432" s="56"/>
      <c r="N432" s="49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</row>
    <row r="433" spans="1:37" x14ac:dyDescent="0.25">
      <c r="A433" s="46"/>
      <c r="B433" s="114"/>
      <c r="C433" s="191"/>
      <c r="D433" s="191"/>
      <c r="E433" s="116"/>
      <c r="F433" s="52"/>
      <c r="G433" s="55"/>
      <c r="H433" s="54"/>
      <c r="I433" s="55"/>
      <c r="J433" s="55"/>
      <c r="K433" s="55"/>
      <c r="L433" s="56"/>
      <c r="M433" s="56"/>
      <c r="N433" s="49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</row>
    <row r="434" spans="1:37" x14ac:dyDescent="0.25">
      <c r="A434" s="46"/>
      <c r="B434" s="114"/>
      <c r="C434" s="191"/>
      <c r="D434" s="191"/>
      <c r="E434" s="116"/>
      <c r="F434" s="52"/>
      <c r="G434" s="55"/>
      <c r="H434" s="54"/>
      <c r="I434" s="55"/>
      <c r="J434" s="55"/>
      <c r="K434" s="55"/>
      <c r="L434" s="56"/>
      <c r="M434" s="56"/>
      <c r="N434" s="49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</row>
    <row r="435" spans="1:37" x14ac:dyDescent="0.25">
      <c r="A435" s="46"/>
      <c r="B435" s="114"/>
      <c r="C435" s="191"/>
      <c r="D435" s="191"/>
      <c r="E435" s="116"/>
      <c r="F435" s="52"/>
      <c r="G435" s="55"/>
      <c r="H435" s="54"/>
      <c r="I435" s="55"/>
      <c r="J435" s="55"/>
      <c r="K435" s="55"/>
      <c r="L435" s="56"/>
      <c r="M435" s="56"/>
      <c r="N435" s="49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</row>
    <row r="436" spans="1:37" x14ac:dyDescent="0.25">
      <c r="A436" s="46"/>
      <c r="B436" s="114"/>
      <c r="C436" s="191"/>
      <c r="D436" s="191"/>
      <c r="E436" s="116"/>
      <c r="F436" s="52"/>
      <c r="G436" s="55"/>
      <c r="H436" s="54"/>
      <c r="I436" s="55"/>
      <c r="J436" s="55"/>
      <c r="K436" s="55"/>
      <c r="L436" s="56"/>
      <c r="M436" s="56"/>
      <c r="N436" s="49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</row>
    <row r="437" spans="1:37" x14ac:dyDescent="0.25">
      <c r="A437" s="46"/>
      <c r="B437" s="114"/>
      <c r="C437" s="191"/>
      <c r="D437" s="191"/>
      <c r="E437" s="116"/>
      <c r="F437" s="52"/>
      <c r="G437" s="55"/>
      <c r="H437" s="54"/>
      <c r="I437" s="55"/>
      <c r="J437" s="55"/>
      <c r="K437" s="55"/>
      <c r="L437" s="56"/>
      <c r="M437" s="56"/>
      <c r="N437" s="49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</row>
    <row r="438" spans="1:37" x14ac:dyDescent="0.25">
      <c r="A438" s="46"/>
      <c r="B438" s="114"/>
      <c r="C438" s="191"/>
      <c r="D438" s="191"/>
      <c r="E438" s="116"/>
      <c r="F438" s="52"/>
      <c r="G438" s="55"/>
      <c r="H438" s="54"/>
      <c r="I438" s="55"/>
      <c r="J438" s="55"/>
      <c r="K438" s="55"/>
      <c r="L438" s="56"/>
      <c r="M438" s="56"/>
      <c r="N438" s="49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</row>
    <row r="439" spans="1:37" x14ac:dyDescent="0.25">
      <c r="A439" s="46"/>
      <c r="B439" s="114"/>
      <c r="C439" s="191"/>
      <c r="D439" s="191"/>
      <c r="E439" s="116"/>
      <c r="F439" s="52"/>
      <c r="G439" s="55"/>
      <c r="H439" s="54"/>
      <c r="I439" s="55"/>
      <c r="J439" s="55"/>
      <c r="K439" s="55"/>
      <c r="L439" s="56"/>
      <c r="M439" s="56"/>
      <c r="N439" s="49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</row>
    <row r="440" spans="1:37" x14ac:dyDescent="0.25">
      <c r="A440" s="46"/>
      <c r="B440" s="114"/>
      <c r="C440" s="191"/>
      <c r="D440" s="191"/>
      <c r="E440" s="116"/>
      <c r="F440" s="52"/>
      <c r="G440" s="55"/>
      <c r="H440" s="54"/>
      <c r="I440" s="55"/>
      <c r="J440" s="55"/>
      <c r="K440" s="55"/>
      <c r="L440" s="56"/>
      <c r="M440" s="56"/>
      <c r="N440" s="49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</row>
    <row r="441" spans="1:37" x14ac:dyDescent="0.25">
      <c r="A441" s="46"/>
      <c r="B441" s="114"/>
      <c r="C441" s="191"/>
      <c r="D441" s="191"/>
      <c r="E441" s="116"/>
      <c r="F441" s="52"/>
      <c r="G441" s="55"/>
      <c r="H441" s="54"/>
      <c r="I441" s="55"/>
      <c r="J441" s="55"/>
      <c r="K441" s="55"/>
      <c r="L441" s="56"/>
      <c r="M441" s="56"/>
      <c r="N441" s="49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</row>
    <row r="442" spans="1:37" x14ac:dyDescent="0.25">
      <c r="A442" s="46"/>
      <c r="B442" s="114"/>
      <c r="C442" s="191"/>
      <c r="D442" s="191"/>
      <c r="E442" s="116"/>
      <c r="F442" s="52"/>
      <c r="G442" s="55"/>
      <c r="H442" s="54"/>
      <c r="I442" s="55"/>
      <c r="J442" s="55"/>
      <c r="K442" s="55"/>
      <c r="L442" s="56"/>
      <c r="M442" s="56"/>
      <c r="N442" s="49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</row>
    <row r="443" spans="1:37" x14ac:dyDescent="0.25">
      <c r="A443" s="46"/>
      <c r="B443" s="114"/>
      <c r="C443" s="191"/>
      <c r="D443" s="191"/>
      <c r="E443" s="116"/>
      <c r="F443" s="52"/>
      <c r="G443" s="55"/>
      <c r="H443" s="54"/>
      <c r="I443" s="55"/>
      <c r="J443" s="55"/>
      <c r="K443" s="55"/>
      <c r="L443" s="56"/>
      <c r="M443" s="56"/>
      <c r="N443" s="49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</row>
    <row r="444" spans="1:37" x14ac:dyDescent="0.25">
      <c r="A444" s="46"/>
      <c r="B444" s="114"/>
      <c r="C444" s="191"/>
      <c r="D444" s="191"/>
      <c r="E444" s="116"/>
      <c r="F444" s="52"/>
      <c r="G444" s="55"/>
      <c r="H444" s="54"/>
      <c r="I444" s="55"/>
      <c r="J444" s="55"/>
      <c r="K444" s="55"/>
      <c r="L444" s="56"/>
      <c r="M444" s="56"/>
      <c r="N444" s="49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</row>
    <row r="445" spans="1:37" x14ac:dyDescent="0.25">
      <c r="A445" s="46"/>
      <c r="B445" s="114"/>
      <c r="C445" s="191"/>
      <c r="D445" s="191"/>
      <c r="E445" s="116"/>
      <c r="F445" s="52"/>
      <c r="G445" s="55"/>
      <c r="H445" s="54"/>
      <c r="I445" s="55"/>
      <c r="J445" s="55"/>
      <c r="K445" s="55"/>
      <c r="L445" s="56"/>
      <c r="M445" s="56"/>
      <c r="N445" s="49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</row>
    <row r="446" spans="1:37" x14ac:dyDescent="0.25">
      <c r="A446" s="46"/>
      <c r="B446" s="114"/>
      <c r="C446" s="191"/>
      <c r="D446" s="191"/>
      <c r="E446" s="116"/>
      <c r="F446" s="52"/>
      <c r="G446" s="55"/>
      <c r="H446" s="54"/>
      <c r="I446" s="55"/>
      <c r="J446" s="55"/>
      <c r="K446" s="55"/>
      <c r="L446" s="56"/>
      <c r="M446" s="56"/>
      <c r="N446" s="49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</row>
    <row r="447" spans="1:37" x14ac:dyDescent="0.25">
      <c r="A447" s="46"/>
      <c r="B447" s="114"/>
      <c r="C447" s="191"/>
      <c r="D447" s="191"/>
      <c r="E447" s="116"/>
      <c r="F447" s="52"/>
      <c r="G447" s="55"/>
      <c r="H447" s="54"/>
      <c r="I447" s="55"/>
      <c r="J447" s="55"/>
      <c r="K447" s="55"/>
      <c r="L447" s="56"/>
      <c r="M447" s="56"/>
      <c r="N447" s="49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</row>
    <row r="448" spans="1:37" x14ac:dyDescent="0.25">
      <c r="A448" s="46"/>
      <c r="B448" s="114"/>
      <c r="C448" s="191"/>
      <c r="D448" s="191"/>
      <c r="E448" s="116"/>
      <c r="F448" s="52"/>
      <c r="G448" s="55"/>
      <c r="H448" s="54"/>
      <c r="I448" s="55"/>
      <c r="J448" s="55"/>
      <c r="K448" s="55"/>
      <c r="L448" s="56"/>
      <c r="M448" s="56"/>
      <c r="N448" s="49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</row>
    <row r="449" spans="1:37" x14ac:dyDescent="0.25">
      <c r="A449" s="46"/>
      <c r="B449" s="114"/>
      <c r="C449" s="191"/>
      <c r="D449" s="191"/>
      <c r="E449" s="116"/>
      <c r="F449" s="52"/>
      <c r="G449" s="55"/>
      <c r="H449" s="54"/>
      <c r="I449" s="55"/>
      <c r="J449" s="55"/>
      <c r="K449" s="55"/>
      <c r="L449" s="56"/>
      <c r="M449" s="56"/>
      <c r="N449" s="49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</row>
    <row r="450" spans="1:37" x14ac:dyDescent="0.25">
      <c r="A450" s="46"/>
      <c r="B450" s="114"/>
      <c r="C450" s="191"/>
      <c r="D450" s="191"/>
      <c r="E450" s="116"/>
      <c r="F450" s="52"/>
      <c r="G450" s="55"/>
      <c r="H450" s="54"/>
      <c r="I450" s="55"/>
      <c r="J450" s="55"/>
      <c r="K450" s="55"/>
      <c r="L450" s="56"/>
      <c r="M450" s="56"/>
      <c r="N450" s="49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</row>
    <row r="451" spans="1:37" x14ac:dyDescent="0.25">
      <c r="A451" s="46"/>
      <c r="B451" s="114"/>
      <c r="C451" s="191"/>
      <c r="D451" s="191"/>
      <c r="E451" s="116"/>
      <c r="F451" s="52"/>
      <c r="G451" s="55"/>
      <c r="H451" s="54"/>
      <c r="I451" s="55"/>
      <c r="J451" s="55"/>
      <c r="K451" s="55"/>
      <c r="L451" s="56"/>
      <c r="M451" s="56"/>
      <c r="N451" s="49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</row>
    <row r="452" spans="1:37" x14ac:dyDescent="0.25">
      <c r="A452" s="46"/>
      <c r="B452" s="114"/>
      <c r="C452" s="191"/>
      <c r="D452" s="191"/>
      <c r="E452" s="116"/>
      <c r="F452" s="52"/>
      <c r="G452" s="55"/>
      <c r="H452" s="54"/>
      <c r="I452" s="55"/>
      <c r="J452" s="55"/>
      <c r="K452" s="55"/>
      <c r="L452" s="56"/>
      <c r="M452" s="56"/>
      <c r="N452" s="49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</row>
    <row r="453" spans="1:37" x14ac:dyDescent="0.25">
      <c r="A453" s="46"/>
      <c r="B453" s="114"/>
      <c r="C453" s="191"/>
      <c r="D453" s="191"/>
      <c r="E453" s="116"/>
      <c r="F453" s="52"/>
      <c r="G453" s="55"/>
      <c r="H453" s="54"/>
      <c r="I453" s="55"/>
      <c r="J453" s="55"/>
      <c r="K453" s="55"/>
      <c r="L453" s="56"/>
      <c r="M453" s="56"/>
      <c r="N453" s="49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</row>
    <row r="454" spans="1:37" x14ac:dyDescent="0.25">
      <c r="A454" s="46"/>
      <c r="B454" s="114"/>
      <c r="C454" s="191"/>
      <c r="D454" s="191"/>
      <c r="E454" s="116"/>
      <c r="F454" s="52"/>
      <c r="G454" s="55"/>
      <c r="H454" s="54"/>
      <c r="I454" s="55"/>
      <c r="J454" s="55"/>
      <c r="K454" s="55"/>
      <c r="L454" s="56"/>
      <c r="M454" s="56"/>
      <c r="N454" s="49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</row>
    <row r="455" spans="1:37" x14ac:dyDescent="0.25">
      <c r="A455" s="46"/>
      <c r="B455" s="114"/>
      <c r="C455" s="191"/>
      <c r="D455" s="191"/>
      <c r="E455" s="116"/>
      <c r="F455" s="52"/>
      <c r="G455" s="55"/>
      <c r="H455" s="54"/>
      <c r="I455" s="55"/>
      <c r="J455" s="55"/>
      <c r="K455" s="55"/>
      <c r="L455" s="56"/>
      <c r="M455" s="56"/>
      <c r="N455" s="49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</row>
    <row r="456" spans="1:37" x14ac:dyDescent="0.25">
      <c r="A456" s="46"/>
      <c r="B456" s="114"/>
      <c r="C456" s="191"/>
      <c r="D456" s="191"/>
      <c r="E456" s="116"/>
      <c r="F456" s="52"/>
      <c r="G456" s="55"/>
      <c r="H456" s="54"/>
      <c r="I456" s="55"/>
      <c r="J456" s="55"/>
      <c r="K456" s="55"/>
      <c r="L456" s="56"/>
      <c r="M456" s="56"/>
      <c r="N456" s="49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</row>
    <row r="457" spans="1:37" x14ac:dyDescent="0.25">
      <c r="A457" s="46"/>
      <c r="B457" s="114"/>
      <c r="C457" s="191"/>
      <c r="D457" s="191"/>
      <c r="E457" s="116"/>
      <c r="F457" s="52"/>
      <c r="G457" s="55"/>
      <c r="H457" s="54"/>
      <c r="I457" s="55"/>
      <c r="J457" s="55"/>
      <c r="K457" s="55"/>
      <c r="L457" s="56"/>
      <c r="M457" s="56"/>
      <c r="N457" s="49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</row>
    <row r="458" spans="1:37" x14ac:dyDescent="0.25">
      <c r="A458" s="46"/>
      <c r="B458" s="114"/>
      <c r="C458" s="191"/>
      <c r="D458" s="191"/>
      <c r="E458" s="116"/>
      <c r="F458" s="52"/>
      <c r="G458" s="55"/>
      <c r="H458" s="54"/>
      <c r="I458" s="55"/>
      <c r="J458" s="55"/>
      <c r="K458" s="55"/>
      <c r="L458" s="56"/>
      <c r="M458" s="56"/>
      <c r="N458" s="49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</row>
    <row r="459" spans="1:37" x14ac:dyDescent="0.25">
      <c r="A459" s="46"/>
      <c r="B459" s="114"/>
      <c r="C459" s="191"/>
      <c r="D459" s="191"/>
      <c r="E459" s="116"/>
      <c r="F459" s="52"/>
      <c r="G459" s="55"/>
      <c r="H459" s="54"/>
      <c r="I459" s="55"/>
      <c r="J459" s="55"/>
      <c r="K459" s="55"/>
      <c r="L459" s="56"/>
      <c r="M459" s="56"/>
      <c r="N459" s="49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</row>
    <row r="460" spans="1:37" x14ac:dyDescent="0.25">
      <c r="A460" s="46"/>
      <c r="B460" s="114"/>
      <c r="C460" s="191"/>
      <c r="D460" s="191"/>
      <c r="E460" s="116"/>
      <c r="F460" s="52"/>
      <c r="G460" s="55"/>
      <c r="H460" s="54"/>
      <c r="I460" s="55"/>
      <c r="J460" s="55"/>
      <c r="K460" s="55"/>
      <c r="L460" s="56"/>
      <c r="M460" s="56"/>
      <c r="N460" s="49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</row>
    <row r="461" spans="1:37" x14ac:dyDescent="0.25">
      <c r="A461" s="46"/>
      <c r="B461" s="114"/>
      <c r="C461" s="191"/>
      <c r="D461" s="191"/>
      <c r="E461" s="116"/>
      <c r="F461" s="52"/>
      <c r="G461" s="55"/>
      <c r="H461" s="54"/>
      <c r="I461" s="55"/>
      <c r="J461" s="55"/>
      <c r="K461" s="55"/>
      <c r="L461" s="56"/>
      <c r="M461" s="56"/>
      <c r="N461" s="49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</row>
    <row r="462" spans="1:37" x14ac:dyDescent="0.25">
      <c r="A462" s="46"/>
      <c r="B462" s="114"/>
      <c r="C462" s="191"/>
      <c r="D462" s="191"/>
      <c r="E462" s="116"/>
      <c r="F462" s="52"/>
      <c r="G462" s="55"/>
      <c r="H462" s="54"/>
      <c r="I462" s="55"/>
      <c r="J462" s="55"/>
      <c r="K462" s="55"/>
      <c r="L462" s="56"/>
      <c r="M462" s="56"/>
      <c r="N462" s="49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</row>
    <row r="463" spans="1:37" x14ac:dyDescent="0.25">
      <c r="A463" s="46"/>
      <c r="B463" s="114"/>
      <c r="C463" s="191"/>
      <c r="D463" s="191"/>
      <c r="E463" s="116"/>
      <c r="F463" s="52"/>
      <c r="G463" s="55"/>
      <c r="H463" s="54"/>
      <c r="I463" s="55"/>
      <c r="J463" s="55"/>
      <c r="K463" s="55"/>
      <c r="L463" s="56"/>
      <c r="M463" s="56"/>
      <c r="N463" s="49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</row>
    <row r="464" spans="1:37" x14ac:dyDescent="0.25">
      <c r="A464" s="46"/>
      <c r="B464" s="114"/>
      <c r="C464" s="191"/>
      <c r="D464" s="191"/>
      <c r="E464" s="116"/>
      <c r="F464" s="52"/>
      <c r="G464" s="55"/>
      <c r="H464" s="54"/>
      <c r="I464" s="55"/>
      <c r="J464" s="55"/>
      <c r="K464" s="55"/>
      <c r="L464" s="56"/>
      <c r="M464" s="56"/>
      <c r="N464" s="49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</row>
    <row r="465" spans="1:37" x14ac:dyDescent="0.25">
      <c r="A465" s="46"/>
      <c r="B465" s="114"/>
      <c r="C465" s="191"/>
      <c r="D465" s="191"/>
      <c r="E465" s="116"/>
      <c r="F465" s="52"/>
      <c r="G465" s="55"/>
      <c r="H465" s="54"/>
      <c r="I465" s="55"/>
      <c r="J465" s="55"/>
      <c r="K465" s="55"/>
      <c r="L465" s="56"/>
      <c r="M465" s="56"/>
      <c r="N465" s="49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</row>
    <row r="466" spans="1:37" x14ac:dyDescent="0.25">
      <c r="A466" s="46"/>
      <c r="B466" s="114"/>
      <c r="C466" s="191"/>
      <c r="D466" s="191"/>
      <c r="E466" s="116"/>
      <c r="F466" s="52"/>
      <c r="G466" s="55"/>
      <c r="H466" s="54"/>
      <c r="I466" s="55"/>
      <c r="J466" s="55"/>
      <c r="K466" s="55"/>
      <c r="L466" s="56"/>
      <c r="M466" s="56"/>
      <c r="N466" s="49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</row>
    <row r="467" spans="1:37" x14ac:dyDescent="0.25">
      <c r="A467" s="46"/>
      <c r="B467" s="114"/>
      <c r="C467" s="191"/>
      <c r="D467" s="191"/>
      <c r="E467" s="116"/>
      <c r="F467" s="52"/>
      <c r="G467" s="55"/>
      <c r="H467" s="54"/>
      <c r="I467" s="55"/>
      <c r="J467" s="55"/>
      <c r="K467" s="55"/>
      <c r="L467" s="56"/>
      <c r="M467" s="56"/>
      <c r="N467" s="49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</row>
    <row r="468" spans="1:37" x14ac:dyDescent="0.25">
      <c r="A468" s="46"/>
      <c r="B468" s="114"/>
      <c r="C468" s="191"/>
      <c r="D468" s="191"/>
      <c r="E468" s="116"/>
      <c r="F468" s="52"/>
      <c r="G468" s="55"/>
      <c r="H468" s="54"/>
      <c r="I468" s="55"/>
      <c r="J468" s="55"/>
      <c r="K468" s="55"/>
      <c r="L468" s="56"/>
      <c r="M468" s="56"/>
      <c r="N468" s="49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</row>
    <row r="469" spans="1:37" x14ac:dyDescent="0.25">
      <c r="A469" s="46"/>
      <c r="B469" s="114"/>
      <c r="C469" s="191"/>
      <c r="D469" s="191"/>
      <c r="E469" s="116"/>
      <c r="F469" s="52"/>
      <c r="G469" s="55"/>
      <c r="H469" s="54"/>
      <c r="I469" s="55"/>
      <c r="J469" s="55"/>
      <c r="K469" s="55"/>
      <c r="L469" s="56"/>
      <c r="M469" s="56"/>
      <c r="N469" s="49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</row>
    <row r="470" spans="1:37" x14ac:dyDescent="0.25">
      <c r="A470" s="46"/>
      <c r="B470" s="114"/>
      <c r="C470" s="191"/>
      <c r="D470" s="191"/>
      <c r="E470" s="116"/>
      <c r="F470" s="52"/>
      <c r="G470" s="55"/>
      <c r="H470" s="54"/>
      <c r="I470" s="55"/>
      <c r="J470" s="55"/>
      <c r="K470" s="55"/>
      <c r="L470" s="56"/>
      <c r="M470" s="56"/>
      <c r="N470" s="49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</row>
    <row r="471" spans="1:37" x14ac:dyDescent="0.25">
      <c r="A471" s="46"/>
      <c r="B471" s="114"/>
      <c r="C471" s="191"/>
      <c r="D471" s="191"/>
      <c r="E471" s="116"/>
      <c r="F471" s="52"/>
      <c r="G471" s="55"/>
      <c r="H471" s="54"/>
      <c r="I471" s="55"/>
      <c r="J471" s="55"/>
      <c r="K471" s="55"/>
      <c r="L471" s="56"/>
      <c r="M471" s="56"/>
      <c r="N471" s="49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</row>
    <row r="472" spans="1:37" x14ac:dyDescent="0.25">
      <c r="A472" s="46"/>
      <c r="B472" s="114"/>
      <c r="C472" s="191"/>
      <c r="D472" s="191"/>
      <c r="E472" s="116"/>
      <c r="F472" s="52"/>
      <c r="G472" s="55"/>
      <c r="H472" s="54"/>
      <c r="I472" s="55"/>
      <c r="J472" s="55"/>
      <c r="K472" s="55"/>
      <c r="L472" s="56"/>
      <c r="M472" s="56"/>
      <c r="N472" s="49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</row>
    <row r="473" spans="1:37" x14ac:dyDescent="0.25">
      <c r="A473" s="46"/>
      <c r="B473" s="114"/>
      <c r="C473" s="191"/>
      <c r="D473" s="191"/>
      <c r="E473" s="116"/>
      <c r="F473" s="52"/>
      <c r="G473" s="55"/>
      <c r="H473" s="54"/>
      <c r="I473" s="55"/>
      <c r="J473" s="55"/>
      <c r="K473" s="55"/>
      <c r="L473" s="56"/>
      <c r="M473" s="56"/>
      <c r="N473" s="49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</row>
    <row r="474" spans="1:37" x14ac:dyDescent="0.25">
      <c r="A474" s="46"/>
      <c r="B474" s="114"/>
      <c r="C474" s="191"/>
      <c r="D474" s="191"/>
      <c r="E474" s="116"/>
      <c r="F474" s="52"/>
      <c r="G474" s="55"/>
      <c r="H474" s="54"/>
      <c r="I474" s="55"/>
      <c r="J474" s="55"/>
      <c r="K474" s="55"/>
      <c r="L474" s="56"/>
      <c r="M474" s="56"/>
      <c r="N474" s="49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</row>
    <row r="475" spans="1:37" x14ac:dyDescent="0.25">
      <c r="A475" s="46"/>
      <c r="B475" s="114"/>
      <c r="C475" s="191"/>
      <c r="D475" s="191"/>
      <c r="E475" s="116"/>
      <c r="F475" s="52"/>
      <c r="G475" s="55"/>
      <c r="H475" s="54"/>
      <c r="I475" s="55"/>
      <c r="J475" s="55"/>
      <c r="K475" s="55"/>
      <c r="L475" s="56"/>
      <c r="M475" s="56"/>
      <c r="N475" s="49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</row>
    <row r="476" spans="1:37" x14ac:dyDescent="0.25">
      <c r="A476" s="46"/>
      <c r="B476" s="114"/>
      <c r="C476" s="191"/>
      <c r="D476" s="191"/>
      <c r="E476" s="116"/>
      <c r="F476" s="52"/>
      <c r="G476" s="55"/>
      <c r="H476" s="54"/>
      <c r="I476" s="55"/>
      <c r="J476" s="55"/>
      <c r="K476" s="55"/>
      <c r="L476" s="56"/>
      <c r="M476" s="56"/>
      <c r="N476" s="49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</row>
    <row r="477" spans="1:37" x14ac:dyDescent="0.25">
      <c r="A477" s="46"/>
      <c r="B477" s="114"/>
      <c r="C477" s="191"/>
      <c r="D477" s="191"/>
      <c r="E477" s="116"/>
      <c r="F477" s="52"/>
      <c r="G477" s="55"/>
      <c r="H477" s="54"/>
      <c r="I477" s="55"/>
      <c r="J477" s="55"/>
      <c r="K477" s="55"/>
      <c r="L477" s="56"/>
      <c r="M477" s="56"/>
      <c r="N477" s="49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</row>
    <row r="478" spans="1:37" x14ac:dyDescent="0.25">
      <c r="A478" s="46"/>
      <c r="B478" s="114"/>
      <c r="C478" s="191"/>
      <c r="D478" s="191"/>
      <c r="E478" s="116"/>
      <c r="F478" s="52"/>
      <c r="G478" s="55"/>
      <c r="H478" s="54"/>
      <c r="I478" s="55"/>
      <c r="J478" s="55"/>
      <c r="K478" s="55"/>
      <c r="L478" s="56"/>
      <c r="M478" s="56"/>
      <c r="N478" s="49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</row>
    <row r="479" spans="1:37" x14ac:dyDescent="0.25">
      <c r="A479" s="46"/>
      <c r="B479" s="114"/>
      <c r="C479" s="191"/>
      <c r="D479" s="191"/>
      <c r="E479" s="116"/>
      <c r="F479" s="52"/>
      <c r="G479" s="55"/>
      <c r="H479" s="54"/>
      <c r="I479" s="55"/>
      <c r="J479" s="55"/>
      <c r="K479" s="55"/>
      <c r="L479" s="56"/>
      <c r="M479" s="56"/>
      <c r="N479" s="49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</row>
    <row r="480" spans="1:37" x14ac:dyDescent="0.25">
      <c r="A480" s="46"/>
      <c r="B480" s="114"/>
      <c r="C480" s="191"/>
      <c r="D480" s="191"/>
      <c r="E480" s="116"/>
      <c r="F480" s="52"/>
      <c r="G480" s="55"/>
      <c r="H480" s="54"/>
      <c r="I480" s="55"/>
      <c r="J480" s="55"/>
      <c r="K480" s="55"/>
      <c r="L480" s="56"/>
      <c r="M480" s="56"/>
      <c r="N480" s="49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</row>
    <row r="481" spans="1:37" x14ac:dyDescent="0.25">
      <c r="A481" s="46"/>
      <c r="B481" s="114"/>
      <c r="C481" s="191"/>
      <c r="D481" s="191"/>
      <c r="E481" s="116"/>
      <c r="F481" s="52"/>
      <c r="G481" s="55"/>
      <c r="H481" s="54"/>
      <c r="I481" s="55"/>
      <c r="J481" s="55"/>
      <c r="K481" s="55"/>
      <c r="L481" s="56"/>
      <c r="M481" s="56"/>
      <c r="N481" s="49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</row>
    <row r="482" spans="1:37" x14ac:dyDescent="0.25">
      <c r="A482" s="46"/>
      <c r="B482" s="114"/>
      <c r="C482" s="191"/>
      <c r="D482" s="191"/>
      <c r="E482" s="116"/>
      <c r="F482" s="52"/>
      <c r="G482" s="55"/>
      <c r="H482" s="54"/>
      <c r="I482" s="55"/>
      <c r="J482" s="55"/>
      <c r="K482" s="55"/>
      <c r="L482" s="56"/>
      <c r="M482" s="56"/>
      <c r="N482" s="49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</row>
    <row r="483" spans="1:37" x14ac:dyDescent="0.25">
      <c r="A483" s="46"/>
      <c r="B483" s="114"/>
      <c r="C483" s="191"/>
      <c r="D483" s="191"/>
      <c r="E483" s="116"/>
      <c r="F483" s="52"/>
      <c r="G483" s="55"/>
      <c r="H483" s="54"/>
      <c r="I483" s="55"/>
      <c r="J483" s="55"/>
      <c r="K483" s="55"/>
      <c r="L483" s="56"/>
      <c r="M483" s="56"/>
      <c r="N483" s="49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</row>
    <row r="484" spans="1:37" x14ac:dyDescent="0.25">
      <c r="A484" s="46"/>
      <c r="B484" s="114"/>
      <c r="C484" s="191"/>
      <c r="D484" s="191"/>
      <c r="E484" s="116"/>
      <c r="F484" s="52"/>
      <c r="G484" s="55"/>
      <c r="H484" s="54"/>
      <c r="I484" s="55"/>
      <c r="J484" s="55"/>
      <c r="K484" s="55"/>
      <c r="L484" s="56"/>
      <c r="M484" s="56"/>
      <c r="N484" s="49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</row>
    <row r="485" spans="1:37" x14ac:dyDescent="0.25">
      <c r="A485" s="46"/>
      <c r="B485" s="114"/>
      <c r="C485" s="191"/>
      <c r="D485" s="191"/>
      <c r="E485" s="116"/>
      <c r="F485" s="52"/>
      <c r="G485" s="55"/>
      <c r="H485" s="54"/>
      <c r="I485" s="55"/>
      <c r="J485" s="55"/>
      <c r="K485" s="55"/>
      <c r="L485" s="56"/>
      <c r="M485" s="56"/>
      <c r="N485" s="49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</row>
    <row r="486" spans="1:37" x14ac:dyDescent="0.25">
      <c r="A486" s="46"/>
      <c r="B486" s="114"/>
      <c r="C486" s="191"/>
      <c r="D486" s="191"/>
      <c r="E486" s="116"/>
      <c r="F486" s="52"/>
      <c r="G486" s="55"/>
      <c r="H486" s="54"/>
      <c r="I486" s="55"/>
      <c r="J486" s="55"/>
      <c r="K486" s="55"/>
      <c r="L486" s="56"/>
      <c r="M486" s="56"/>
      <c r="N486" s="49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</row>
    <row r="487" spans="1:37" x14ac:dyDescent="0.25">
      <c r="A487" s="46"/>
      <c r="B487" s="114"/>
      <c r="C487" s="191"/>
      <c r="D487" s="191"/>
      <c r="E487" s="116"/>
      <c r="F487" s="52"/>
      <c r="G487" s="55"/>
      <c r="H487" s="54"/>
      <c r="I487" s="55"/>
      <c r="J487" s="55"/>
      <c r="K487" s="55"/>
      <c r="L487" s="56"/>
      <c r="M487" s="56"/>
      <c r="N487" s="49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</row>
    <row r="488" spans="1:37" x14ac:dyDescent="0.25">
      <c r="A488" s="46"/>
      <c r="B488" s="114"/>
      <c r="C488" s="191"/>
      <c r="D488" s="191"/>
      <c r="E488" s="116"/>
      <c r="F488" s="52"/>
      <c r="G488" s="55"/>
      <c r="H488" s="54"/>
      <c r="I488" s="55"/>
      <c r="J488" s="55"/>
      <c r="K488" s="55"/>
      <c r="L488" s="56"/>
      <c r="M488" s="56"/>
      <c r="N488" s="49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</row>
    <row r="489" spans="1:37" x14ac:dyDescent="0.25">
      <c r="A489" s="46"/>
      <c r="B489" s="114"/>
      <c r="C489" s="191"/>
      <c r="D489" s="191"/>
      <c r="E489" s="116"/>
      <c r="F489" s="52"/>
      <c r="G489" s="55"/>
      <c r="H489" s="54"/>
      <c r="I489" s="55"/>
      <c r="J489" s="55"/>
      <c r="K489" s="55"/>
      <c r="L489" s="56"/>
      <c r="M489" s="56"/>
      <c r="N489" s="49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</row>
    <row r="490" spans="1:37" x14ac:dyDescent="0.25">
      <c r="A490" s="46"/>
      <c r="B490" s="114"/>
      <c r="C490" s="191"/>
      <c r="D490" s="191"/>
      <c r="E490" s="116"/>
      <c r="F490" s="52"/>
      <c r="G490" s="55"/>
      <c r="H490" s="54"/>
      <c r="I490" s="55"/>
      <c r="J490" s="55"/>
      <c r="K490" s="55"/>
      <c r="L490" s="56"/>
      <c r="M490" s="56"/>
      <c r="N490" s="49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</row>
    <row r="491" spans="1:37" x14ac:dyDescent="0.25">
      <c r="A491" s="46"/>
      <c r="B491" s="114"/>
      <c r="C491" s="191"/>
      <c r="D491" s="191"/>
      <c r="E491" s="116"/>
      <c r="F491" s="52"/>
      <c r="G491" s="55"/>
      <c r="H491" s="54"/>
      <c r="I491" s="55"/>
      <c r="J491" s="55"/>
      <c r="K491" s="55"/>
      <c r="L491" s="56"/>
      <c r="M491" s="56"/>
      <c r="N491" s="49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</row>
    <row r="492" spans="1:37" x14ac:dyDescent="0.25">
      <c r="A492" s="46"/>
      <c r="B492" s="114"/>
      <c r="C492" s="191"/>
      <c r="D492" s="191"/>
      <c r="E492" s="116"/>
      <c r="F492" s="52"/>
      <c r="G492" s="55"/>
      <c r="H492" s="54"/>
      <c r="I492" s="55"/>
      <c r="J492" s="55"/>
      <c r="K492" s="55"/>
      <c r="L492" s="56"/>
      <c r="M492" s="56"/>
      <c r="N492" s="49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</row>
    <row r="493" spans="1:37" x14ac:dyDescent="0.25">
      <c r="A493" s="46"/>
      <c r="B493" s="114"/>
      <c r="C493" s="191"/>
      <c r="D493" s="191"/>
      <c r="E493" s="116"/>
      <c r="F493" s="52"/>
      <c r="G493" s="55"/>
      <c r="H493" s="54"/>
      <c r="I493" s="55"/>
      <c r="J493" s="55"/>
      <c r="K493" s="55"/>
      <c r="L493" s="56"/>
      <c r="M493" s="56"/>
      <c r="N493" s="49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</row>
    <row r="494" spans="1:37" x14ac:dyDescent="0.25">
      <c r="A494" s="46"/>
      <c r="B494" s="114"/>
      <c r="C494" s="191"/>
      <c r="D494" s="191"/>
      <c r="E494" s="116"/>
      <c r="F494" s="52"/>
      <c r="G494" s="55"/>
      <c r="H494" s="54"/>
      <c r="I494" s="55"/>
      <c r="J494" s="55"/>
      <c r="K494" s="55"/>
      <c r="L494" s="56"/>
      <c r="M494" s="56"/>
      <c r="N494" s="49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</row>
    <row r="495" spans="1:37" x14ac:dyDescent="0.25">
      <c r="A495" s="46"/>
      <c r="B495" s="114"/>
      <c r="C495" s="191"/>
      <c r="D495" s="191"/>
      <c r="E495" s="116"/>
      <c r="F495" s="52"/>
      <c r="G495" s="55"/>
      <c r="H495" s="54"/>
      <c r="I495" s="55"/>
      <c r="J495" s="55"/>
      <c r="K495" s="55"/>
      <c r="L495" s="56"/>
      <c r="M495" s="56"/>
      <c r="N495" s="49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</row>
    <row r="496" spans="1:37" x14ac:dyDescent="0.25">
      <c r="A496" s="46"/>
      <c r="B496" s="114"/>
      <c r="C496" s="191"/>
      <c r="D496" s="191"/>
      <c r="E496" s="116"/>
      <c r="F496" s="52"/>
      <c r="G496" s="55"/>
      <c r="H496" s="54"/>
      <c r="I496" s="55"/>
      <c r="J496" s="55"/>
      <c r="K496" s="55"/>
      <c r="L496" s="56"/>
      <c r="M496" s="56"/>
      <c r="N496" s="49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</row>
    <row r="497" spans="1:37" x14ac:dyDescent="0.25">
      <c r="A497" s="46"/>
      <c r="B497" s="114"/>
      <c r="C497" s="191"/>
      <c r="D497" s="191"/>
      <c r="E497" s="116"/>
      <c r="F497" s="52"/>
      <c r="G497" s="55"/>
      <c r="H497" s="54"/>
      <c r="I497" s="55"/>
      <c r="J497" s="55"/>
      <c r="K497" s="55"/>
      <c r="L497" s="56"/>
      <c r="M497" s="56"/>
      <c r="N497" s="49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</row>
    <row r="498" spans="1:37" x14ac:dyDescent="0.25">
      <c r="A498" s="46"/>
      <c r="B498" s="114"/>
      <c r="C498" s="191"/>
      <c r="D498" s="191"/>
      <c r="E498" s="116"/>
      <c r="F498" s="52"/>
      <c r="G498" s="55"/>
      <c r="H498" s="54"/>
      <c r="I498" s="55"/>
      <c r="J498" s="55"/>
      <c r="K498" s="55"/>
      <c r="L498" s="56"/>
      <c r="M498" s="56"/>
      <c r="N498" s="49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</row>
    <row r="499" spans="1:37" x14ac:dyDescent="0.25">
      <c r="A499" s="46"/>
      <c r="B499" s="114"/>
      <c r="C499" s="191"/>
      <c r="D499" s="191"/>
      <c r="E499" s="116"/>
      <c r="F499" s="52"/>
      <c r="G499" s="55"/>
      <c r="H499" s="54"/>
      <c r="I499" s="55"/>
      <c r="J499" s="55"/>
      <c r="K499" s="55"/>
      <c r="L499" s="56"/>
      <c r="M499" s="56"/>
      <c r="N499" s="49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</row>
    <row r="500" spans="1:37" x14ac:dyDescent="0.25">
      <c r="A500" s="46"/>
      <c r="B500" s="114"/>
      <c r="C500" s="191"/>
      <c r="D500" s="191"/>
      <c r="E500" s="116"/>
      <c r="F500" s="52"/>
      <c r="G500" s="55"/>
      <c r="H500" s="54"/>
      <c r="I500" s="55"/>
      <c r="J500" s="55"/>
      <c r="K500" s="55"/>
      <c r="L500" s="56"/>
      <c r="M500" s="56"/>
      <c r="N500" s="49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</row>
    <row r="501" spans="1:37" x14ac:dyDescent="0.25">
      <c r="A501" s="46"/>
      <c r="B501" s="114"/>
      <c r="C501" s="191"/>
      <c r="D501" s="191"/>
      <c r="E501" s="116"/>
      <c r="F501" s="52"/>
      <c r="G501" s="55"/>
      <c r="H501" s="54"/>
      <c r="I501" s="55"/>
      <c r="J501" s="55"/>
      <c r="K501" s="55"/>
      <c r="L501" s="56"/>
      <c r="M501" s="56"/>
      <c r="N501" s="49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</row>
    <row r="502" spans="1:37" x14ac:dyDescent="0.25">
      <c r="A502" s="46"/>
      <c r="B502" s="114"/>
      <c r="C502" s="191"/>
      <c r="D502" s="191"/>
      <c r="E502" s="116"/>
      <c r="F502" s="52"/>
      <c r="G502" s="55"/>
      <c r="H502" s="54"/>
      <c r="I502" s="55"/>
      <c r="J502" s="55"/>
      <c r="K502" s="55"/>
      <c r="L502" s="56"/>
      <c r="M502" s="56"/>
      <c r="N502" s="49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</row>
    <row r="503" spans="1:37" x14ac:dyDescent="0.25">
      <c r="A503" s="46"/>
      <c r="B503" s="114"/>
      <c r="C503" s="191"/>
      <c r="D503" s="191"/>
      <c r="E503" s="116"/>
      <c r="F503" s="52"/>
      <c r="G503" s="55"/>
      <c r="H503" s="54"/>
      <c r="I503" s="55"/>
      <c r="J503" s="55"/>
      <c r="K503" s="55"/>
      <c r="L503" s="56"/>
      <c r="M503" s="56"/>
      <c r="N503" s="49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</row>
    <row r="504" spans="1:37" x14ac:dyDescent="0.25">
      <c r="A504" s="46"/>
      <c r="B504" s="114"/>
      <c r="C504" s="191"/>
      <c r="D504" s="191"/>
      <c r="E504" s="116"/>
      <c r="F504" s="52"/>
      <c r="G504" s="55"/>
      <c r="H504" s="54"/>
      <c r="I504" s="55"/>
      <c r="J504" s="55"/>
      <c r="K504" s="55"/>
      <c r="L504" s="56"/>
      <c r="M504" s="56"/>
      <c r="N504" s="49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</row>
    <row r="505" spans="1:37" x14ac:dyDescent="0.25">
      <c r="A505" s="46"/>
      <c r="B505" s="114"/>
      <c r="C505" s="191"/>
      <c r="D505" s="191"/>
      <c r="E505" s="116"/>
      <c r="F505" s="52"/>
      <c r="G505" s="55"/>
      <c r="H505" s="54"/>
      <c r="I505" s="55"/>
      <c r="J505" s="55"/>
      <c r="K505" s="55"/>
      <c r="L505" s="56"/>
      <c r="M505" s="56"/>
      <c r="N505" s="49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</row>
    <row r="506" spans="1:37" x14ac:dyDescent="0.25">
      <c r="A506" s="46"/>
      <c r="B506" s="114"/>
      <c r="C506" s="191"/>
      <c r="D506" s="191"/>
      <c r="E506" s="116"/>
      <c r="F506" s="52"/>
      <c r="G506" s="55"/>
      <c r="H506" s="54"/>
      <c r="I506" s="55"/>
      <c r="J506" s="55"/>
      <c r="K506" s="55"/>
      <c r="L506" s="56"/>
      <c r="M506" s="56"/>
      <c r="N506" s="49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</row>
    <row r="507" spans="1:37" x14ac:dyDescent="0.25">
      <c r="A507" s="46"/>
      <c r="B507" s="114"/>
      <c r="C507" s="191"/>
      <c r="D507" s="191"/>
      <c r="E507" s="116"/>
      <c r="F507" s="52"/>
      <c r="G507" s="55"/>
      <c r="H507" s="54"/>
      <c r="I507" s="55"/>
      <c r="J507" s="55"/>
      <c r="K507" s="55"/>
      <c r="L507" s="56"/>
      <c r="M507" s="56"/>
      <c r="N507" s="49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</row>
    <row r="508" spans="1:37" x14ac:dyDescent="0.25">
      <c r="A508" s="46"/>
      <c r="B508" s="114"/>
      <c r="C508" s="191"/>
      <c r="D508" s="191"/>
      <c r="E508" s="116"/>
      <c r="F508" s="52"/>
      <c r="G508" s="55"/>
      <c r="H508" s="54"/>
      <c r="I508" s="55"/>
      <c r="J508" s="55"/>
      <c r="K508" s="55"/>
      <c r="L508" s="56"/>
      <c r="M508" s="56"/>
      <c r="N508" s="49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</row>
    <row r="509" spans="1:37" x14ac:dyDescent="0.25">
      <c r="A509" s="46"/>
      <c r="B509" s="114"/>
      <c r="C509" s="191"/>
      <c r="D509" s="191"/>
      <c r="E509" s="116"/>
      <c r="F509" s="52"/>
      <c r="G509" s="55"/>
      <c r="H509" s="54"/>
      <c r="I509" s="55"/>
      <c r="J509" s="55"/>
      <c r="K509" s="55"/>
      <c r="L509" s="56"/>
      <c r="M509" s="56"/>
      <c r="N509" s="49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</row>
    <row r="510" spans="1:37" x14ac:dyDescent="0.25">
      <c r="A510" s="46"/>
      <c r="B510" s="114"/>
      <c r="C510" s="191"/>
      <c r="D510" s="191"/>
      <c r="E510" s="116"/>
      <c r="F510" s="52"/>
      <c r="G510" s="55"/>
      <c r="H510" s="54"/>
      <c r="I510" s="55"/>
      <c r="J510" s="55"/>
      <c r="K510" s="55"/>
      <c r="L510" s="56"/>
      <c r="M510" s="56"/>
      <c r="N510" s="49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</row>
    <row r="511" spans="1:37" x14ac:dyDescent="0.25">
      <c r="A511" s="46"/>
      <c r="B511" s="114"/>
      <c r="C511" s="191"/>
      <c r="D511" s="191"/>
      <c r="E511" s="116"/>
      <c r="F511" s="52"/>
      <c r="G511" s="55"/>
      <c r="H511" s="54"/>
      <c r="I511" s="55"/>
      <c r="J511" s="55"/>
      <c r="K511" s="55"/>
      <c r="L511" s="56"/>
      <c r="M511" s="56"/>
      <c r="N511" s="49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</row>
    <row r="512" spans="1:37" x14ac:dyDescent="0.25">
      <c r="A512" s="46"/>
      <c r="B512" s="114"/>
      <c r="C512" s="191"/>
      <c r="D512" s="191"/>
      <c r="E512" s="116"/>
      <c r="F512" s="52"/>
      <c r="G512" s="55"/>
      <c r="H512" s="54"/>
      <c r="I512" s="55"/>
      <c r="J512" s="55"/>
      <c r="K512" s="55"/>
      <c r="L512" s="56"/>
      <c r="M512" s="56"/>
      <c r="N512" s="49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</row>
    <row r="513" spans="1:37" x14ac:dyDescent="0.25">
      <c r="A513" s="46"/>
      <c r="B513" s="114"/>
      <c r="C513" s="191"/>
      <c r="D513" s="191"/>
      <c r="E513" s="116"/>
      <c r="F513" s="52"/>
      <c r="G513" s="55"/>
      <c r="H513" s="54"/>
      <c r="I513" s="55"/>
      <c r="J513" s="55"/>
      <c r="K513" s="55"/>
      <c r="L513" s="56"/>
      <c r="M513" s="56"/>
      <c r="N513" s="49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</row>
    <row r="514" spans="1:37" x14ac:dyDescent="0.25">
      <c r="A514" s="46"/>
      <c r="B514" s="114"/>
      <c r="C514" s="191"/>
      <c r="D514" s="191"/>
      <c r="E514" s="116"/>
      <c r="F514" s="52"/>
      <c r="G514" s="55"/>
      <c r="H514" s="54"/>
      <c r="I514" s="55"/>
      <c r="J514" s="55"/>
      <c r="K514" s="55"/>
      <c r="L514" s="56"/>
      <c r="M514" s="56"/>
      <c r="N514" s="49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</row>
    <row r="515" spans="1:37" x14ac:dyDescent="0.25">
      <c r="A515" s="46"/>
      <c r="B515" s="114"/>
      <c r="C515" s="191"/>
      <c r="D515" s="191"/>
      <c r="E515" s="116"/>
      <c r="F515" s="52"/>
      <c r="G515" s="55"/>
      <c r="H515" s="54"/>
      <c r="I515" s="55"/>
      <c r="J515" s="55"/>
      <c r="K515" s="55"/>
      <c r="L515" s="56"/>
      <c r="M515" s="56"/>
      <c r="N515" s="49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</row>
    <row r="516" spans="1:37" x14ac:dyDescent="0.25">
      <c r="A516" s="46"/>
      <c r="B516" s="114"/>
      <c r="C516" s="191"/>
      <c r="D516" s="191"/>
      <c r="E516" s="116"/>
      <c r="F516" s="52"/>
      <c r="G516" s="55"/>
      <c r="H516" s="54"/>
      <c r="I516" s="55"/>
      <c r="J516" s="55"/>
      <c r="K516" s="55"/>
      <c r="L516" s="56"/>
      <c r="M516" s="56"/>
      <c r="N516" s="49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</row>
    <row r="517" spans="1:37" x14ac:dyDescent="0.25">
      <c r="A517" s="46"/>
      <c r="B517" s="114"/>
      <c r="C517" s="191"/>
      <c r="D517" s="191"/>
      <c r="E517" s="116"/>
      <c r="F517" s="52"/>
      <c r="G517" s="55"/>
      <c r="H517" s="54"/>
      <c r="I517" s="55"/>
      <c r="J517" s="55"/>
      <c r="K517" s="55"/>
      <c r="L517" s="56"/>
      <c r="M517" s="56"/>
      <c r="N517" s="49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</row>
    <row r="518" spans="1:37" x14ac:dyDescent="0.25">
      <c r="A518" s="46"/>
      <c r="B518" s="114"/>
      <c r="C518" s="191"/>
      <c r="D518" s="191"/>
      <c r="E518" s="116"/>
      <c r="F518" s="52"/>
      <c r="G518" s="55"/>
      <c r="H518" s="54"/>
      <c r="I518" s="55"/>
      <c r="J518" s="55"/>
      <c r="K518" s="55"/>
      <c r="L518" s="56"/>
      <c r="M518" s="56"/>
      <c r="N518" s="49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</row>
    <row r="519" spans="1:37" x14ac:dyDescent="0.25">
      <c r="A519" s="46"/>
      <c r="B519" s="114"/>
      <c r="C519" s="191"/>
      <c r="D519" s="191"/>
      <c r="E519" s="116"/>
      <c r="F519" s="52"/>
      <c r="G519" s="55"/>
      <c r="H519" s="54"/>
      <c r="I519" s="55"/>
      <c r="J519" s="55"/>
      <c r="K519" s="55"/>
      <c r="L519" s="56"/>
      <c r="M519" s="56"/>
      <c r="N519" s="49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</row>
    <row r="520" spans="1:37" x14ac:dyDescent="0.25">
      <c r="A520" s="46"/>
      <c r="B520" s="114"/>
      <c r="C520" s="191"/>
      <c r="D520" s="191"/>
      <c r="E520" s="116"/>
      <c r="F520" s="52"/>
      <c r="G520" s="55"/>
      <c r="H520" s="54"/>
      <c r="I520" s="55"/>
      <c r="J520" s="55"/>
      <c r="K520" s="55"/>
      <c r="L520" s="56"/>
      <c r="M520" s="56"/>
      <c r="N520" s="49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</row>
    <row r="521" spans="1:37" x14ac:dyDescent="0.25">
      <c r="A521" s="46"/>
      <c r="B521" s="114"/>
      <c r="C521" s="191"/>
      <c r="D521" s="191"/>
      <c r="E521" s="116"/>
      <c r="F521" s="52"/>
      <c r="G521" s="55"/>
      <c r="H521" s="54"/>
      <c r="I521" s="55"/>
      <c r="J521" s="55"/>
      <c r="K521" s="55"/>
      <c r="L521" s="56"/>
      <c r="M521" s="56"/>
      <c r="N521" s="49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</row>
    <row r="522" spans="1:37" x14ac:dyDescent="0.25">
      <c r="A522" s="46"/>
      <c r="B522" s="114"/>
      <c r="C522" s="191"/>
      <c r="D522" s="191"/>
      <c r="E522" s="116"/>
      <c r="F522" s="52"/>
      <c r="G522" s="55"/>
      <c r="H522" s="54"/>
      <c r="I522" s="55"/>
      <c r="J522" s="55"/>
      <c r="K522" s="55"/>
      <c r="L522" s="56"/>
      <c r="M522" s="56"/>
      <c r="N522" s="49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</row>
    <row r="523" spans="1:37" x14ac:dyDescent="0.25">
      <c r="A523" s="46"/>
      <c r="B523" s="114"/>
      <c r="C523" s="191"/>
      <c r="D523" s="191"/>
      <c r="E523" s="116"/>
      <c r="F523" s="52"/>
      <c r="G523" s="55"/>
      <c r="H523" s="54"/>
      <c r="I523" s="55"/>
      <c r="J523" s="55"/>
      <c r="K523" s="55"/>
      <c r="L523" s="56"/>
      <c r="M523" s="56"/>
      <c r="N523" s="49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</row>
    <row r="524" spans="1:37" x14ac:dyDescent="0.25">
      <c r="A524" s="46"/>
      <c r="B524" s="114"/>
      <c r="C524" s="191"/>
      <c r="D524" s="191"/>
      <c r="E524" s="116"/>
      <c r="F524" s="52"/>
      <c r="G524" s="55"/>
      <c r="H524" s="54"/>
      <c r="I524" s="55"/>
      <c r="J524" s="55"/>
      <c r="K524" s="55"/>
      <c r="L524" s="56"/>
      <c r="M524" s="56"/>
      <c r="N524" s="49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</row>
    <row r="525" spans="1:37" x14ac:dyDescent="0.25">
      <c r="A525" s="46"/>
      <c r="B525" s="114"/>
      <c r="C525" s="191"/>
      <c r="D525" s="191"/>
      <c r="E525" s="116"/>
      <c r="F525" s="52"/>
      <c r="G525" s="55"/>
      <c r="H525" s="54"/>
      <c r="I525" s="55"/>
      <c r="J525" s="55"/>
      <c r="K525" s="55"/>
      <c r="L525" s="56"/>
      <c r="M525" s="56"/>
      <c r="N525" s="49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</row>
    <row r="526" spans="1:37" x14ac:dyDescent="0.25">
      <c r="A526" s="46"/>
      <c r="B526" s="114"/>
      <c r="C526" s="191"/>
      <c r="D526" s="191"/>
      <c r="E526" s="116"/>
      <c r="F526" s="52"/>
      <c r="G526" s="55"/>
      <c r="H526" s="54"/>
      <c r="I526" s="55"/>
      <c r="J526" s="55"/>
      <c r="K526" s="55"/>
      <c r="L526" s="56"/>
      <c r="M526" s="56"/>
      <c r="N526" s="49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</row>
    <row r="527" spans="1:37" x14ac:dyDescent="0.25">
      <c r="A527" s="46"/>
      <c r="B527" s="114"/>
      <c r="C527" s="191"/>
      <c r="D527" s="191"/>
      <c r="E527" s="116"/>
      <c r="F527" s="52"/>
      <c r="G527" s="55"/>
      <c r="H527" s="54"/>
      <c r="I527" s="55"/>
      <c r="J527" s="55"/>
      <c r="K527" s="55"/>
      <c r="L527" s="56"/>
      <c r="M527" s="56"/>
      <c r="N527" s="49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</row>
    <row r="528" spans="1:37" x14ac:dyDescent="0.25">
      <c r="A528" s="46"/>
      <c r="B528" s="114"/>
      <c r="C528" s="191"/>
      <c r="D528" s="191"/>
      <c r="E528" s="116"/>
      <c r="F528" s="52"/>
      <c r="G528" s="55"/>
      <c r="H528" s="54"/>
      <c r="I528" s="55"/>
      <c r="J528" s="55"/>
      <c r="K528" s="55"/>
      <c r="L528" s="56"/>
      <c r="M528" s="56"/>
      <c r="N528" s="49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</row>
    <row r="529" spans="1:37" x14ac:dyDescent="0.25">
      <c r="A529" s="46"/>
      <c r="B529" s="114"/>
      <c r="C529" s="191"/>
      <c r="D529" s="191"/>
      <c r="E529" s="116"/>
      <c r="F529" s="52"/>
      <c r="G529" s="55"/>
      <c r="H529" s="54"/>
      <c r="I529" s="55"/>
      <c r="J529" s="55"/>
      <c r="K529" s="55"/>
      <c r="L529" s="56"/>
      <c r="M529" s="56"/>
      <c r="N529" s="49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</row>
    <row r="530" spans="1:37" x14ac:dyDescent="0.25">
      <c r="A530" s="46"/>
      <c r="B530" s="114"/>
      <c r="C530" s="191"/>
      <c r="D530" s="191"/>
      <c r="E530" s="116"/>
      <c r="F530" s="52"/>
      <c r="G530" s="55"/>
      <c r="H530" s="54"/>
      <c r="I530" s="55"/>
      <c r="J530" s="55"/>
      <c r="K530" s="55"/>
      <c r="L530" s="56"/>
      <c r="M530" s="56"/>
      <c r="N530" s="49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</row>
    <row r="531" spans="1:37" x14ac:dyDescent="0.25">
      <c r="A531" s="46"/>
      <c r="B531" s="114"/>
      <c r="C531" s="191"/>
      <c r="D531" s="191"/>
      <c r="E531" s="116"/>
      <c r="F531" s="52"/>
      <c r="G531" s="55"/>
      <c r="H531" s="54"/>
      <c r="I531" s="55"/>
      <c r="J531" s="55"/>
      <c r="K531" s="55"/>
      <c r="L531" s="56"/>
      <c r="M531" s="56"/>
      <c r="N531" s="49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</row>
    <row r="532" spans="1:37" x14ac:dyDescent="0.25">
      <c r="A532" s="46"/>
      <c r="B532" s="114"/>
      <c r="C532" s="191"/>
      <c r="D532" s="191"/>
      <c r="E532" s="116"/>
      <c r="F532" s="52"/>
      <c r="G532" s="55"/>
      <c r="H532" s="54"/>
      <c r="I532" s="55"/>
      <c r="J532" s="55"/>
      <c r="K532" s="55"/>
      <c r="L532" s="56"/>
      <c r="M532" s="56"/>
      <c r="N532" s="49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</row>
    <row r="533" spans="1:37" x14ac:dyDescent="0.25">
      <c r="A533" s="46"/>
      <c r="B533" s="114"/>
      <c r="C533" s="191"/>
      <c r="D533" s="191"/>
      <c r="E533" s="116"/>
      <c r="F533" s="52"/>
      <c r="G533" s="55"/>
      <c r="H533" s="54"/>
      <c r="I533" s="55"/>
      <c r="J533" s="55"/>
      <c r="K533" s="55"/>
      <c r="L533" s="56"/>
      <c r="M533" s="56"/>
      <c r="N533" s="49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</row>
    <row r="534" spans="1:37" x14ac:dyDescent="0.25">
      <c r="A534" s="46"/>
      <c r="B534" s="114"/>
      <c r="C534" s="191"/>
      <c r="D534" s="191"/>
      <c r="E534" s="116"/>
      <c r="F534" s="52"/>
      <c r="G534" s="55"/>
      <c r="H534" s="54"/>
      <c r="I534" s="55"/>
      <c r="J534" s="55"/>
      <c r="K534" s="55"/>
      <c r="L534" s="56"/>
      <c r="M534" s="56"/>
      <c r="N534" s="49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</row>
    <row r="535" spans="1:37" x14ac:dyDescent="0.25">
      <c r="A535" s="46"/>
      <c r="B535" s="114"/>
      <c r="C535" s="191"/>
      <c r="D535" s="191"/>
      <c r="E535" s="116"/>
      <c r="F535" s="52"/>
      <c r="G535" s="55"/>
      <c r="H535" s="54"/>
      <c r="I535" s="55"/>
      <c r="J535" s="55"/>
      <c r="K535" s="55"/>
      <c r="L535" s="56"/>
      <c r="M535" s="56"/>
      <c r="N535" s="49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</row>
    <row r="536" spans="1:37" x14ac:dyDescent="0.25">
      <c r="A536" s="46"/>
      <c r="B536" s="114"/>
      <c r="C536" s="191"/>
      <c r="D536" s="191"/>
      <c r="E536" s="116"/>
      <c r="F536" s="52"/>
      <c r="G536" s="55"/>
      <c r="H536" s="54"/>
      <c r="I536" s="55"/>
      <c r="J536" s="55"/>
      <c r="K536" s="55"/>
      <c r="L536" s="56"/>
      <c r="M536" s="56"/>
      <c r="N536" s="49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</row>
    <row r="537" spans="1:37" x14ac:dyDescent="0.25">
      <c r="A537" s="46"/>
      <c r="B537" s="114"/>
      <c r="C537" s="191"/>
      <c r="D537" s="191"/>
      <c r="E537" s="116"/>
      <c r="F537" s="52"/>
      <c r="G537" s="55"/>
      <c r="H537" s="54"/>
      <c r="I537" s="55"/>
      <c r="J537" s="55"/>
      <c r="K537" s="55"/>
      <c r="L537" s="56"/>
      <c r="M537" s="56"/>
      <c r="N537" s="49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</row>
    <row r="538" spans="1:37" x14ac:dyDescent="0.25">
      <c r="A538" s="46"/>
      <c r="B538" s="114"/>
      <c r="C538" s="191"/>
      <c r="D538" s="191"/>
      <c r="E538" s="116"/>
      <c r="F538" s="52"/>
      <c r="G538" s="55"/>
      <c r="H538" s="54"/>
      <c r="I538" s="55"/>
      <c r="J538" s="55"/>
      <c r="K538" s="55"/>
      <c r="L538" s="56"/>
      <c r="M538" s="56"/>
      <c r="N538" s="49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</row>
    <row r="539" spans="1:37" x14ac:dyDescent="0.25">
      <c r="A539" s="46"/>
      <c r="B539" s="114"/>
      <c r="C539" s="191"/>
      <c r="D539" s="191"/>
      <c r="E539" s="116"/>
      <c r="F539" s="52"/>
      <c r="G539" s="55"/>
      <c r="H539" s="54"/>
      <c r="I539" s="55"/>
      <c r="J539" s="55"/>
      <c r="K539" s="55"/>
      <c r="L539" s="56"/>
      <c r="M539" s="56"/>
      <c r="N539" s="49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</row>
    <row r="540" spans="1:37" x14ac:dyDescent="0.25">
      <c r="A540" s="46"/>
      <c r="B540" s="114"/>
      <c r="C540" s="191"/>
      <c r="D540" s="191"/>
      <c r="E540" s="116"/>
      <c r="F540" s="52"/>
      <c r="G540" s="55"/>
      <c r="H540" s="54"/>
      <c r="I540" s="55"/>
      <c r="J540" s="55"/>
      <c r="K540" s="55"/>
      <c r="L540" s="56"/>
      <c r="M540" s="56"/>
      <c r="N540" s="49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</row>
    <row r="541" spans="1:37" x14ac:dyDescent="0.25">
      <c r="A541" s="46"/>
      <c r="B541" s="114"/>
      <c r="C541" s="191"/>
      <c r="D541" s="191"/>
      <c r="E541" s="116"/>
      <c r="F541" s="52"/>
      <c r="G541" s="55"/>
      <c r="H541" s="54"/>
      <c r="I541" s="55"/>
      <c r="J541" s="55"/>
      <c r="K541" s="55"/>
      <c r="L541" s="56"/>
      <c r="M541" s="56"/>
      <c r="N541" s="49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</row>
    <row r="542" spans="1:37" x14ac:dyDescent="0.25">
      <c r="A542" s="46"/>
      <c r="B542" s="114"/>
      <c r="C542" s="191"/>
      <c r="D542" s="191"/>
      <c r="E542" s="116"/>
      <c r="F542" s="52"/>
      <c r="G542" s="55"/>
      <c r="H542" s="54"/>
      <c r="I542" s="55"/>
      <c r="J542" s="55"/>
      <c r="K542" s="55"/>
      <c r="L542" s="56"/>
      <c r="M542" s="56"/>
      <c r="N542" s="49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</row>
    <row r="543" spans="1:37" x14ac:dyDescent="0.25">
      <c r="A543" s="46"/>
      <c r="B543" s="114"/>
      <c r="C543" s="191"/>
      <c r="D543" s="191"/>
      <c r="E543" s="116"/>
      <c r="F543" s="52"/>
      <c r="G543" s="55"/>
      <c r="H543" s="54"/>
      <c r="I543" s="55"/>
      <c r="J543" s="55"/>
      <c r="K543" s="55"/>
      <c r="L543" s="56"/>
      <c r="M543" s="56"/>
      <c r="N543" s="49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</row>
    <row r="544" spans="1:37" x14ac:dyDescent="0.25">
      <c r="A544" s="46"/>
      <c r="B544" s="114"/>
      <c r="C544" s="191"/>
      <c r="D544" s="191"/>
      <c r="E544" s="116"/>
      <c r="F544" s="52"/>
      <c r="G544" s="55"/>
      <c r="H544" s="54"/>
      <c r="I544" s="55"/>
      <c r="J544" s="55"/>
      <c r="K544" s="55"/>
      <c r="L544" s="56"/>
      <c r="M544" s="56"/>
      <c r="N544" s="49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</row>
    <row r="545" spans="1:37" x14ac:dyDescent="0.25">
      <c r="A545" s="46"/>
      <c r="B545" s="114"/>
      <c r="C545" s="191"/>
      <c r="D545" s="191"/>
      <c r="E545" s="116"/>
      <c r="F545" s="52"/>
      <c r="G545" s="55"/>
      <c r="H545" s="54"/>
      <c r="I545" s="55"/>
      <c r="J545" s="55"/>
      <c r="K545" s="55"/>
      <c r="L545" s="56"/>
      <c r="M545" s="56"/>
      <c r="N545" s="49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</row>
    <row r="546" spans="1:37" x14ac:dyDescent="0.25">
      <c r="A546" s="46"/>
      <c r="B546" s="114"/>
      <c r="C546" s="191"/>
      <c r="D546" s="191"/>
      <c r="E546" s="116"/>
      <c r="F546" s="52"/>
      <c r="G546" s="55"/>
      <c r="H546" s="54"/>
      <c r="I546" s="55"/>
      <c r="J546" s="55"/>
      <c r="K546" s="55"/>
      <c r="L546" s="56"/>
      <c r="M546" s="56"/>
      <c r="N546" s="49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</row>
    <row r="547" spans="1:37" x14ac:dyDescent="0.25">
      <c r="A547" s="46"/>
      <c r="B547" s="114"/>
      <c r="C547" s="191"/>
      <c r="D547" s="191"/>
      <c r="E547" s="116"/>
      <c r="F547" s="52"/>
      <c r="G547" s="55"/>
      <c r="H547" s="54"/>
      <c r="I547" s="55"/>
      <c r="J547" s="55"/>
      <c r="K547" s="55"/>
      <c r="L547" s="56"/>
      <c r="M547" s="56"/>
      <c r="N547" s="49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</row>
    <row r="548" spans="1:37" x14ac:dyDescent="0.25">
      <c r="A548" s="46"/>
      <c r="B548" s="114"/>
      <c r="C548" s="191"/>
      <c r="D548" s="191"/>
      <c r="E548" s="116"/>
      <c r="F548" s="52"/>
      <c r="G548" s="55"/>
      <c r="H548" s="54"/>
      <c r="I548" s="55"/>
      <c r="J548" s="55"/>
      <c r="K548" s="55"/>
      <c r="L548" s="56"/>
      <c r="M548" s="56"/>
      <c r="N548" s="49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</row>
    <row r="549" spans="1:37" x14ac:dyDescent="0.25">
      <c r="A549" s="46"/>
      <c r="B549" s="114"/>
      <c r="C549" s="191"/>
      <c r="D549" s="191"/>
      <c r="E549" s="116"/>
      <c r="F549" s="52"/>
      <c r="G549" s="55"/>
      <c r="H549" s="54"/>
      <c r="I549" s="55"/>
      <c r="J549" s="55"/>
      <c r="K549" s="55"/>
      <c r="L549" s="56"/>
      <c r="M549" s="56"/>
      <c r="N549" s="49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</row>
    <row r="550" spans="1:37" x14ac:dyDescent="0.25">
      <c r="A550" s="46"/>
      <c r="B550" s="114"/>
      <c r="C550" s="191"/>
      <c r="D550" s="191"/>
      <c r="E550" s="116"/>
      <c r="F550" s="52"/>
      <c r="G550" s="55"/>
      <c r="H550" s="54"/>
      <c r="I550" s="55"/>
      <c r="J550" s="55"/>
      <c r="K550" s="55"/>
      <c r="L550" s="56"/>
      <c r="M550" s="56"/>
      <c r="N550" s="49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</row>
    <row r="551" spans="1:37" x14ac:dyDescent="0.25">
      <c r="A551" s="46"/>
      <c r="B551" s="114"/>
      <c r="C551" s="191"/>
      <c r="D551" s="191"/>
      <c r="E551" s="116"/>
      <c r="F551" s="52"/>
      <c r="G551" s="55"/>
      <c r="H551" s="54"/>
      <c r="I551" s="55"/>
      <c r="J551" s="55"/>
      <c r="K551" s="55"/>
      <c r="L551" s="56"/>
      <c r="M551" s="56"/>
      <c r="N551" s="49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</row>
    <row r="552" spans="1:37" x14ac:dyDescent="0.25">
      <c r="A552" s="46"/>
      <c r="B552" s="114"/>
      <c r="C552" s="191"/>
      <c r="D552" s="191"/>
      <c r="E552" s="116"/>
      <c r="F552" s="52"/>
      <c r="G552" s="55"/>
      <c r="H552" s="54"/>
      <c r="I552" s="55"/>
      <c r="J552" s="55"/>
      <c r="K552" s="55"/>
      <c r="L552" s="56"/>
      <c r="M552" s="56"/>
      <c r="N552" s="49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</row>
    <row r="553" spans="1:37" x14ac:dyDescent="0.25">
      <c r="A553" s="46"/>
      <c r="B553" s="114"/>
      <c r="C553" s="191"/>
      <c r="D553" s="191"/>
      <c r="E553" s="116"/>
      <c r="F553" s="52"/>
      <c r="G553" s="55"/>
      <c r="H553" s="54"/>
      <c r="I553" s="55"/>
      <c r="J553" s="55"/>
      <c r="K553" s="55"/>
      <c r="L553" s="56"/>
      <c r="M553" s="56"/>
      <c r="N553" s="49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</row>
    <row r="554" spans="1:37" x14ac:dyDescent="0.25">
      <c r="A554" s="46"/>
      <c r="B554" s="114"/>
      <c r="C554" s="191"/>
      <c r="D554" s="191"/>
      <c r="E554" s="116"/>
      <c r="F554" s="52"/>
      <c r="G554" s="55"/>
      <c r="H554" s="54"/>
      <c r="I554" s="55"/>
      <c r="J554" s="55"/>
      <c r="K554" s="55"/>
      <c r="L554" s="56"/>
      <c r="M554" s="56"/>
      <c r="N554" s="49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</row>
    <row r="555" spans="1:37" x14ac:dyDescent="0.25">
      <c r="A555" s="46"/>
      <c r="B555" s="114"/>
      <c r="C555" s="191"/>
      <c r="D555" s="191"/>
      <c r="E555" s="116"/>
      <c r="F555" s="52"/>
      <c r="G555" s="55"/>
      <c r="H555" s="54"/>
      <c r="I555" s="55"/>
      <c r="J555" s="55"/>
      <c r="K555" s="55"/>
      <c r="L555" s="56"/>
      <c r="M555" s="56"/>
      <c r="N555" s="49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</row>
    <row r="556" spans="1:37" x14ac:dyDescent="0.25">
      <c r="A556" s="46"/>
      <c r="B556" s="114"/>
      <c r="C556" s="191"/>
      <c r="D556" s="191"/>
      <c r="E556" s="116"/>
      <c r="F556" s="52"/>
      <c r="G556" s="55"/>
      <c r="H556" s="54"/>
      <c r="I556" s="55"/>
      <c r="J556" s="55"/>
      <c r="K556" s="55"/>
      <c r="L556" s="56"/>
      <c r="M556" s="56"/>
      <c r="N556" s="49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</row>
    <row r="557" spans="1:37" x14ac:dyDescent="0.25">
      <c r="A557" s="46"/>
      <c r="B557" s="114"/>
      <c r="C557" s="191"/>
      <c r="D557" s="191"/>
      <c r="E557" s="116"/>
      <c r="F557" s="52"/>
      <c r="G557" s="55"/>
      <c r="H557" s="54"/>
      <c r="I557" s="55"/>
      <c r="J557" s="55"/>
      <c r="K557" s="55"/>
      <c r="L557" s="56"/>
      <c r="M557" s="56"/>
      <c r="N557" s="49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</row>
    <row r="558" spans="1:37" x14ac:dyDescent="0.25">
      <c r="A558" s="46"/>
      <c r="B558" s="114"/>
      <c r="C558" s="191"/>
      <c r="D558" s="191"/>
      <c r="E558" s="116"/>
      <c r="F558" s="52"/>
      <c r="G558" s="55"/>
      <c r="H558" s="54"/>
      <c r="I558" s="55"/>
      <c r="J558" s="55"/>
      <c r="K558" s="55"/>
      <c r="L558" s="56"/>
      <c r="M558" s="56"/>
      <c r="N558" s="49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</row>
    <row r="559" spans="1:37" x14ac:dyDescent="0.25">
      <c r="A559" s="46"/>
      <c r="B559" s="114"/>
      <c r="C559" s="191"/>
      <c r="D559" s="191"/>
      <c r="E559" s="116"/>
      <c r="F559" s="52"/>
      <c r="G559" s="55"/>
      <c r="H559" s="54"/>
      <c r="I559" s="55"/>
      <c r="J559" s="55"/>
      <c r="K559" s="55"/>
      <c r="L559" s="56"/>
      <c r="M559" s="56"/>
      <c r="N559" s="49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</row>
    <row r="560" spans="1:37" x14ac:dyDescent="0.25">
      <c r="A560" s="46"/>
      <c r="B560" s="114"/>
      <c r="C560" s="191"/>
      <c r="D560" s="191"/>
      <c r="E560" s="116"/>
      <c r="F560" s="52"/>
      <c r="G560" s="55"/>
      <c r="H560" s="54"/>
      <c r="I560" s="55"/>
      <c r="J560" s="55"/>
      <c r="K560" s="55"/>
      <c r="L560" s="56"/>
      <c r="M560" s="56"/>
      <c r="N560" s="49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</row>
    <row r="561" spans="1:37" x14ac:dyDescent="0.25">
      <c r="A561" s="46"/>
      <c r="B561" s="114"/>
      <c r="C561" s="191"/>
      <c r="D561" s="191"/>
      <c r="E561" s="116"/>
      <c r="F561" s="52"/>
      <c r="G561" s="55"/>
      <c r="H561" s="54"/>
      <c r="I561" s="55"/>
      <c r="J561" s="55"/>
      <c r="K561" s="55"/>
      <c r="L561" s="56"/>
      <c r="M561" s="56"/>
      <c r="N561" s="49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</row>
    <row r="562" spans="1:37" x14ac:dyDescent="0.25">
      <c r="A562" s="46"/>
      <c r="B562" s="114"/>
      <c r="C562" s="191"/>
      <c r="D562" s="191"/>
      <c r="E562" s="116"/>
      <c r="F562" s="52"/>
      <c r="G562" s="55"/>
      <c r="H562" s="54"/>
      <c r="I562" s="55"/>
      <c r="J562" s="55"/>
      <c r="K562" s="55"/>
      <c r="L562" s="56"/>
      <c r="M562" s="56"/>
      <c r="N562" s="49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</row>
    <row r="563" spans="1:37" x14ac:dyDescent="0.25">
      <c r="A563" s="46"/>
      <c r="B563" s="114"/>
      <c r="C563" s="191"/>
      <c r="D563" s="191"/>
      <c r="E563" s="116"/>
      <c r="F563" s="52"/>
      <c r="G563" s="55"/>
      <c r="H563" s="54"/>
      <c r="I563" s="55"/>
      <c r="J563" s="55"/>
      <c r="K563" s="55"/>
      <c r="L563" s="56"/>
      <c r="M563" s="56"/>
      <c r="N563" s="49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</row>
    <row r="564" spans="1:37" x14ac:dyDescent="0.25">
      <c r="A564" s="46"/>
      <c r="B564" s="114"/>
      <c r="C564" s="191"/>
      <c r="D564" s="191"/>
      <c r="E564" s="116"/>
      <c r="F564" s="52"/>
      <c r="G564" s="55"/>
      <c r="H564" s="54"/>
      <c r="I564" s="55"/>
      <c r="J564" s="55"/>
      <c r="K564" s="55"/>
      <c r="L564" s="56"/>
      <c r="M564" s="56"/>
      <c r="N564" s="49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</row>
    <row r="565" spans="1:37" x14ac:dyDescent="0.25">
      <c r="A565" s="46"/>
      <c r="B565" s="114"/>
      <c r="C565" s="191"/>
      <c r="D565" s="191"/>
      <c r="E565" s="116"/>
      <c r="F565" s="52"/>
      <c r="G565" s="55"/>
      <c r="H565" s="54"/>
      <c r="I565" s="55"/>
      <c r="J565" s="55"/>
      <c r="K565" s="55"/>
      <c r="L565" s="56"/>
      <c r="M565" s="56"/>
      <c r="N565" s="49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</row>
    <row r="566" spans="1:37" x14ac:dyDescent="0.25">
      <c r="A566" s="46"/>
      <c r="B566" s="114"/>
      <c r="C566" s="191"/>
      <c r="D566" s="191"/>
      <c r="E566" s="116"/>
      <c r="F566" s="52"/>
      <c r="G566" s="55"/>
      <c r="H566" s="54"/>
      <c r="I566" s="55"/>
      <c r="J566" s="55"/>
      <c r="K566" s="55"/>
      <c r="L566" s="56"/>
      <c r="M566" s="56"/>
      <c r="N566" s="49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</row>
    <row r="567" spans="1:37" x14ac:dyDescent="0.25">
      <c r="A567" s="46"/>
      <c r="B567" s="114"/>
      <c r="C567" s="191"/>
      <c r="D567" s="191"/>
      <c r="E567" s="116"/>
      <c r="F567" s="52"/>
      <c r="G567" s="55"/>
      <c r="H567" s="54"/>
      <c r="I567" s="55"/>
      <c r="J567" s="55"/>
      <c r="K567" s="55"/>
      <c r="L567" s="56"/>
      <c r="M567" s="56"/>
      <c r="N567" s="49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</row>
    <row r="568" spans="1:37" x14ac:dyDescent="0.25">
      <c r="A568" s="46"/>
      <c r="B568" s="114"/>
      <c r="C568" s="191"/>
      <c r="D568" s="191"/>
      <c r="E568" s="116"/>
      <c r="F568" s="52"/>
      <c r="G568" s="55"/>
      <c r="H568" s="54"/>
      <c r="I568" s="55"/>
      <c r="J568" s="55"/>
      <c r="K568" s="55"/>
      <c r="L568" s="56"/>
      <c r="M568" s="56"/>
      <c r="N568" s="49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</row>
    <row r="569" spans="1:37" x14ac:dyDescent="0.25">
      <c r="A569" s="46"/>
      <c r="B569" s="114"/>
      <c r="C569" s="191"/>
      <c r="D569" s="191"/>
      <c r="E569" s="116"/>
      <c r="F569" s="52"/>
      <c r="G569" s="55"/>
      <c r="H569" s="54"/>
      <c r="I569" s="55"/>
      <c r="J569" s="55"/>
      <c r="K569" s="55"/>
      <c r="L569" s="56"/>
      <c r="M569" s="56"/>
      <c r="N569" s="49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</row>
    <row r="570" spans="1:37" x14ac:dyDescent="0.25">
      <c r="A570" s="46"/>
      <c r="B570" s="114"/>
      <c r="C570" s="191"/>
      <c r="D570" s="191"/>
      <c r="E570" s="116"/>
      <c r="F570" s="52"/>
      <c r="G570" s="55"/>
      <c r="H570" s="54"/>
      <c r="I570" s="55"/>
      <c r="J570" s="55"/>
      <c r="K570" s="55"/>
      <c r="L570" s="56"/>
      <c r="M570" s="56"/>
      <c r="N570" s="49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</row>
    <row r="571" spans="1:37" x14ac:dyDescent="0.25">
      <c r="A571" s="46"/>
      <c r="B571" s="114"/>
      <c r="C571" s="191"/>
      <c r="D571" s="191"/>
      <c r="E571" s="116"/>
      <c r="F571" s="52"/>
      <c r="G571" s="55"/>
      <c r="H571" s="54"/>
      <c r="I571" s="55"/>
      <c r="J571" s="55"/>
      <c r="K571" s="55"/>
      <c r="L571" s="56"/>
      <c r="M571" s="56"/>
      <c r="N571" s="49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</row>
    <row r="572" spans="1:37" x14ac:dyDescent="0.25">
      <c r="A572" s="46"/>
      <c r="B572" s="114"/>
      <c r="C572" s="191"/>
      <c r="D572" s="191"/>
      <c r="E572" s="116"/>
      <c r="F572" s="52"/>
      <c r="G572" s="55"/>
      <c r="H572" s="54"/>
      <c r="I572" s="55"/>
      <c r="J572" s="55"/>
      <c r="K572" s="55"/>
      <c r="L572" s="56"/>
      <c r="M572" s="56"/>
      <c r="N572" s="49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</row>
    <row r="573" spans="1:37" x14ac:dyDescent="0.25">
      <c r="A573" s="46"/>
      <c r="B573" s="114"/>
      <c r="C573" s="191"/>
      <c r="D573" s="191"/>
      <c r="E573" s="116"/>
      <c r="F573" s="52"/>
      <c r="G573" s="55"/>
      <c r="H573" s="54"/>
      <c r="I573" s="55"/>
      <c r="J573" s="55"/>
      <c r="K573" s="55"/>
      <c r="L573" s="56"/>
      <c r="M573" s="56"/>
      <c r="N573" s="49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</row>
    <row r="574" spans="1:37" x14ac:dyDescent="0.25">
      <c r="A574" s="46"/>
      <c r="B574" s="114"/>
      <c r="C574" s="191"/>
      <c r="D574" s="191"/>
      <c r="E574" s="116"/>
      <c r="F574" s="52"/>
      <c r="G574" s="55"/>
      <c r="H574" s="54"/>
      <c r="I574" s="55"/>
      <c r="J574" s="55"/>
      <c r="K574" s="55"/>
      <c r="L574" s="56"/>
      <c r="M574" s="56"/>
      <c r="N574" s="49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</row>
    <row r="575" spans="1:37" x14ac:dyDescent="0.25">
      <c r="A575" s="46"/>
      <c r="B575" s="114"/>
      <c r="C575" s="191"/>
      <c r="D575" s="191"/>
      <c r="E575" s="116"/>
      <c r="F575" s="52"/>
      <c r="G575" s="55"/>
      <c r="H575" s="54"/>
      <c r="I575" s="55"/>
      <c r="J575" s="55"/>
      <c r="K575" s="55"/>
      <c r="L575" s="56"/>
      <c r="M575" s="56"/>
      <c r="N575" s="49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</row>
    <row r="576" spans="1:37" x14ac:dyDescent="0.25">
      <c r="A576" s="46"/>
      <c r="B576" s="114"/>
      <c r="C576" s="191"/>
      <c r="D576" s="191"/>
      <c r="E576" s="116"/>
      <c r="F576" s="52"/>
      <c r="G576" s="55"/>
      <c r="H576" s="54"/>
      <c r="I576" s="55"/>
      <c r="J576" s="55"/>
      <c r="K576" s="55"/>
      <c r="L576" s="56"/>
      <c r="M576" s="56"/>
      <c r="N576" s="49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</row>
    <row r="577" spans="1:37" x14ac:dyDescent="0.25">
      <c r="A577" s="46"/>
      <c r="B577" s="114"/>
      <c r="C577" s="191"/>
      <c r="D577" s="191"/>
      <c r="E577" s="116"/>
      <c r="F577" s="52"/>
      <c r="G577" s="55"/>
      <c r="H577" s="54"/>
      <c r="I577" s="55"/>
      <c r="J577" s="55"/>
      <c r="K577" s="55"/>
      <c r="L577" s="56"/>
      <c r="M577" s="56"/>
      <c r="N577" s="49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</row>
    <row r="578" spans="1:37" x14ac:dyDescent="0.25">
      <c r="A578" s="46"/>
      <c r="B578" s="114"/>
      <c r="C578" s="191"/>
      <c r="D578" s="191"/>
      <c r="E578" s="116"/>
      <c r="F578" s="52"/>
      <c r="G578" s="55"/>
      <c r="H578" s="54"/>
      <c r="I578" s="55"/>
      <c r="J578" s="55"/>
      <c r="K578" s="55"/>
      <c r="L578" s="56"/>
      <c r="M578" s="56"/>
      <c r="N578" s="49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</row>
    <row r="579" spans="1:37" x14ac:dyDescent="0.25">
      <c r="A579" s="46"/>
      <c r="B579" s="114"/>
      <c r="C579" s="191"/>
      <c r="D579" s="191"/>
      <c r="E579" s="116"/>
      <c r="F579" s="52"/>
      <c r="G579" s="55"/>
      <c r="H579" s="54"/>
      <c r="I579" s="55"/>
      <c r="J579" s="55"/>
      <c r="K579" s="55"/>
      <c r="L579" s="56"/>
      <c r="M579" s="56"/>
      <c r="N579" s="49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</row>
    <row r="580" spans="1:37" x14ac:dyDescent="0.25">
      <c r="A580" s="46"/>
      <c r="B580" s="114"/>
      <c r="C580" s="191"/>
      <c r="D580" s="191"/>
      <c r="E580" s="116"/>
      <c r="F580" s="52"/>
      <c r="G580" s="55"/>
      <c r="H580" s="54"/>
      <c r="I580" s="55"/>
      <c r="J580" s="55"/>
      <c r="K580" s="55"/>
      <c r="L580" s="56"/>
      <c r="M580" s="56"/>
      <c r="N580" s="49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</row>
    <row r="581" spans="1:37" x14ac:dyDescent="0.25">
      <c r="A581" s="46"/>
      <c r="B581" s="114"/>
      <c r="C581" s="191"/>
      <c r="D581" s="191"/>
      <c r="E581" s="116"/>
      <c r="F581" s="52"/>
      <c r="G581" s="55"/>
      <c r="H581" s="54"/>
      <c r="I581" s="55"/>
      <c r="J581" s="55"/>
      <c r="K581" s="55"/>
      <c r="L581" s="56"/>
      <c r="M581" s="56"/>
      <c r="N581" s="49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</row>
    <row r="582" spans="1:37" x14ac:dyDescent="0.25">
      <c r="A582" s="46"/>
      <c r="B582" s="114"/>
      <c r="C582" s="191"/>
      <c r="D582" s="191"/>
      <c r="E582" s="116"/>
      <c r="F582" s="52"/>
      <c r="G582" s="55"/>
      <c r="H582" s="54"/>
      <c r="I582" s="55"/>
      <c r="J582" s="55"/>
      <c r="K582" s="55"/>
      <c r="L582" s="56"/>
      <c r="M582" s="56"/>
      <c r="N582" s="49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</row>
    <row r="583" spans="1:37" x14ac:dyDescent="0.25">
      <c r="A583" s="46"/>
      <c r="B583" s="114"/>
      <c r="C583" s="191"/>
      <c r="D583" s="191"/>
      <c r="E583" s="116"/>
      <c r="F583" s="52"/>
      <c r="G583" s="55"/>
      <c r="H583" s="54"/>
      <c r="I583" s="55"/>
      <c r="J583" s="55"/>
      <c r="K583" s="55"/>
      <c r="L583" s="56"/>
      <c r="M583" s="56"/>
      <c r="N583" s="49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</row>
    <row r="584" spans="1:37" x14ac:dyDescent="0.25">
      <c r="A584" s="46"/>
      <c r="B584" s="114"/>
      <c r="C584" s="191"/>
      <c r="D584" s="191"/>
      <c r="E584" s="116"/>
      <c r="F584" s="52"/>
      <c r="G584" s="55"/>
      <c r="H584" s="54"/>
      <c r="I584" s="55"/>
      <c r="J584" s="55"/>
      <c r="K584" s="55"/>
      <c r="L584" s="56"/>
      <c r="M584" s="56"/>
      <c r="N584" s="49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</row>
    <row r="585" spans="1:37" x14ac:dyDescent="0.25">
      <c r="A585" s="46"/>
      <c r="B585" s="114"/>
      <c r="C585" s="191"/>
      <c r="D585" s="191"/>
      <c r="E585" s="116"/>
      <c r="F585" s="52"/>
      <c r="G585" s="55"/>
      <c r="H585" s="54"/>
      <c r="I585" s="55"/>
      <c r="J585" s="55"/>
      <c r="K585" s="55"/>
      <c r="L585" s="56"/>
      <c r="M585" s="56"/>
      <c r="N585" s="49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</row>
    <row r="586" spans="1:37" x14ac:dyDescent="0.25">
      <c r="A586" s="46"/>
      <c r="B586" s="114"/>
      <c r="C586" s="191"/>
      <c r="D586" s="191"/>
      <c r="E586" s="116"/>
      <c r="F586" s="52"/>
      <c r="G586" s="55"/>
      <c r="H586" s="54"/>
      <c r="I586" s="55"/>
      <c r="J586" s="55"/>
      <c r="K586" s="55"/>
      <c r="L586" s="56"/>
      <c r="M586" s="56"/>
      <c r="N586" s="49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</row>
    <row r="587" spans="1:37" x14ac:dyDescent="0.25">
      <c r="A587" s="46"/>
      <c r="B587" s="114"/>
      <c r="C587" s="191"/>
      <c r="D587" s="191"/>
      <c r="E587" s="116"/>
      <c r="F587" s="52"/>
      <c r="G587" s="55"/>
      <c r="H587" s="54"/>
      <c r="I587" s="55"/>
      <c r="J587" s="55"/>
      <c r="K587" s="55"/>
      <c r="L587" s="56"/>
      <c r="M587" s="56"/>
      <c r="N587" s="49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</row>
    <row r="588" spans="1:37" x14ac:dyDescent="0.25">
      <c r="A588" s="46"/>
      <c r="B588" s="114"/>
      <c r="C588" s="191"/>
      <c r="D588" s="191"/>
      <c r="E588" s="116"/>
      <c r="F588" s="52"/>
      <c r="G588" s="55"/>
      <c r="H588" s="54"/>
      <c r="I588" s="55"/>
      <c r="J588" s="55"/>
      <c r="K588" s="55"/>
      <c r="L588" s="56"/>
      <c r="M588" s="56"/>
      <c r="N588" s="49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</row>
    <row r="589" spans="1:37" x14ac:dyDescent="0.25">
      <c r="A589" s="46"/>
      <c r="B589" s="114"/>
      <c r="C589" s="191"/>
      <c r="D589" s="191"/>
      <c r="E589" s="116"/>
      <c r="F589" s="52"/>
      <c r="G589" s="55"/>
      <c r="H589" s="54"/>
      <c r="I589" s="55"/>
      <c r="J589" s="55"/>
      <c r="K589" s="55"/>
      <c r="L589" s="56"/>
      <c r="M589" s="56"/>
      <c r="N589" s="49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</row>
    <row r="590" spans="1:37" x14ac:dyDescent="0.25">
      <c r="A590" s="46"/>
      <c r="B590" s="114"/>
      <c r="C590" s="191"/>
      <c r="D590" s="191"/>
      <c r="E590" s="116"/>
      <c r="F590" s="52"/>
      <c r="G590" s="55"/>
      <c r="H590" s="54"/>
      <c r="I590" s="55"/>
      <c r="J590" s="55"/>
      <c r="K590" s="55"/>
      <c r="L590" s="56"/>
      <c r="M590" s="56"/>
      <c r="N590" s="49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</row>
    <row r="591" spans="1:37" x14ac:dyDescent="0.25">
      <c r="A591" s="46"/>
      <c r="B591" s="114"/>
      <c r="C591" s="191"/>
      <c r="D591" s="191"/>
      <c r="E591" s="116"/>
      <c r="F591" s="52"/>
      <c r="G591" s="55"/>
      <c r="H591" s="54"/>
      <c r="I591" s="55"/>
      <c r="J591" s="55"/>
      <c r="K591" s="55"/>
      <c r="L591" s="56"/>
      <c r="M591" s="56"/>
      <c r="N591" s="49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</row>
    <row r="592" spans="1:37" x14ac:dyDescent="0.25">
      <c r="A592" s="46"/>
      <c r="B592" s="114"/>
      <c r="C592" s="191"/>
      <c r="D592" s="191"/>
      <c r="E592" s="116"/>
      <c r="F592" s="52"/>
      <c r="G592" s="55"/>
      <c r="H592" s="54"/>
      <c r="I592" s="55"/>
      <c r="J592" s="55"/>
      <c r="K592" s="55"/>
      <c r="L592" s="56"/>
      <c r="M592" s="56"/>
      <c r="N592" s="49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</row>
    <row r="593" spans="1:37" x14ac:dyDescent="0.25">
      <c r="A593" s="46"/>
      <c r="B593" s="114"/>
      <c r="C593" s="191"/>
      <c r="D593" s="191"/>
      <c r="E593" s="116"/>
      <c r="F593" s="52"/>
      <c r="G593" s="55"/>
      <c r="H593" s="54"/>
      <c r="I593" s="55"/>
      <c r="J593" s="55"/>
      <c r="K593" s="55"/>
      <c r="L593" s="56"/>
      <c r="M593" s="56"/>
      <c r="N593" s="49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</row>
    <row r="594" spans="1:37" x14ac:dyDescent="0.25">
      <c r="A594" s="46"/>
      <c r="B594" s="114"/>
      <c r="C594" s="191"/>
      <c r="D594" s="191"/>
      <c r="E594" s="116"/>
      <c r="F594" s="52"/>
      <c r="G594" s="55"/>
      <c r="H594" s="54"/>
      <c r="I594" s="55"/>
      <c r="J594" s="55"/>
      <c r="K594" s="55"/>
      <c r="L594" s="56"/>
      <c r="M594" s="56"/>
      <c r="N594" s="49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</row>
    <row r="595" spans="1:37" x14ac:dyDescent="0.25">
      <c r="A595" s="46"/>
      <c r="B595" s="114"/>
      <c r="C595" s="191"/>
      <c r="D595" s="191"/>
      <c r="E595" s="116"/>
      <c r="F595" s="52"/>
      <c r="G595" s="55"/>
      <c r="H595" s="54"/>
      <c r="I595" s="55"/>
      <c r="J595" s="55"/>
      <c r="K595" s="55"/>
      <c r="L595" s="56"/>
      <c r="M595" s="56"/>
      <c r="N595" s="49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</row>
    <row r="596" spans="1:37" x14ac:dyDescent="0.25">
      <c r="A596" s="46"/>
      <c r="B596" s="114"/>
      <c r="C596" s="191"/>
      <c r="D596" s="191"/>
      <c r="E596" s="116"/>
      <c r="F596" s="52"/>
      <c r="G596" s="55"/>
      <c r="H596" s="54"/>
      <c r="I596" s="55"/>
      <c r="J596" s="55"/>
      <c r="K596" s="55"/>
      <c r="L596" s="56"/>
      <c r="M596" s="56"/>
      <c r="N596" s="49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</row>
    <row r="597" spans="1:37" x14ac:dyDescent="0.25">
      <c r="A597" s="46"/>
      <c r="B597" s="114"/>
      <c r="C597" s="191"/>
      <c r="D597" s="191"/>
      <c r="E597" s="116"/>
      <c r="F597" s="52"/>
      <c r="G597" s="55"/>
      <c r="H597" s="54"/>
      <c r="I597" s="55"/>
      <c r="J597" s="55"/>
      <c r="K597" s="55"/>
      <c r="L597" s="56"/>
      <c r="M597" s="56"/>
      <c r="N597" s="49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</row>
    <row r="598" spans="1:37" x14ac:dyDescent="0.25">
      <c r="A598" s="46"/>
      <c r="B598" s="114"/>
      <c r="C598" s="191"/>
      <c r="D598" s="191"/>
      <c r="E598" s="116"/>
      <c r="F598" s="52"/>
      <c r="G598" s="55"/>
      <c r="H598" s="54"/>
      <c r="I598" s="55"/>
      <c r="J598" s="55"/>
      <c r="K598" s="55"/>
      <c r="L598" s="56"/>
      <c r="M598" s="56"/>
      <c r="N598" s="49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</row>
    <row r="599" spans="1:37" x14ac:dyDescent="0.25">
      <c r="A599" s="46"/>
      <c r="B599" s="114"/>
      <c r="C599" s="191"/>
      <c r="D599" s="191"/>
      <c r="E599" s="116"/>
      <c r="F599" s="52"/>
      <c r="G599" s="55"/>
      <c r="H599" s="54"/>
      <c r="I599" s="55"/>
      <c r="J599" s="55"/>
      <c r="K599" s="55"/>
      <c r="L599" s="56"/>
      <c r="M599" s="56"/>
      <c r="N599" s="49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</row>
    <row r="600" spans="1:37" x14ac:dyDescent="0.25">
      <c r="A600" s="46"/>
      <c r="B600" s="114"/>
      <c r="C600" s="191"/>
      <c r="D600" s="191"/>
      <c r="E600" s="116"/>
      <c r="F600" s="52"/>
      <c r="G600" s="55"/>
      <c r="H600" s="54"/>
      <c r="I600" s="55"/>
      <c r="J600" s="55"/>
      <c r="K600" s="55"/>
      <c r="L600" s="56"/>
      <c r="M600" s="56"/>
      <c r="N600" s="49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</row>
    <row r="601" spans="1:37" x14ac:dyDescent="0.25">
      <c r="A601" s="46"/>
      <c r="B601" s="114"/>
      <c r="C601" s="191"/>
      <c r="D601" s="191"/>
      <c r="E601" s="116"/>
      <c r="F601" s="52"/>
      <c r="G601" s="55"/>
      <c r="H601" s="54"/>
      <c r="I601" s="55"/>
      <c r="J601" s="55"/>
      <c r="K601" s="55"/>
      <c r="L601" s="56"/>
      <c r="M601" s="56"/>
      <c r="N601" s="49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</row>
    <row r="602" spans="1:37" x14ac:dyDescent="0.25">
      <c r="A602" s="46"/>
      <c r="B602" s="114"/>
      <c r="C602" s="191"/>
      <c r="D602" s="191"/>
      <c r="E602" s="116"/>
      <c r="F602" s="52"/>
      <c r="G602" s="55"/>
      <c r="H602" s="54"/>
      <c r="I602" s="55"/>
      <c r="J602" s="55"/>
      <c r="K602" s="55"/>
      <c r="L602" s="56"/>
      <c r="M602" s="56"/>
      <c r="N602" s="49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</row>
    <row r="603" spans="1:37" x14ac:dyDescent="0.25">
      <c r="A603" s="46"/>
      <c r="B603" s="114"/>
      <c r="C603" s="191"/>
      <c r="D603" s="191"/>
      <c r="E603" s="116"/>
      <c r="F603" s="52"/>
      <c r="G603" s="55"/>
      <c r="H603" s="54"/>
      <c r="I603" s="55"/>
      <c r="J603" s="55"/>
      <c r="K603" s="55"/>
      <c r="L603" s="56"/>
      <c r="M603" s="56"/>
      <c r="N603" s="49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</row>
    <row r="604" spans="1:37" x14ac:dyDescent="0.25">
      <c r="A604" s="46"/>
      <c r="B604" s="114"/>
      <c r="C604" s="191"/>
      <c r="D604" s="191"/>
      <c r="E604" s="116"/>
      <c r="F604" s="52"/>
      <c r="G604" s="55"/>
      <c r="H604" s="54"/>
      <c r="I604" s="55"/>
      <c r="J604" s="55"/>
      <c r="K604" s="55"/>
      <c r="L604" s="56"/>
      <c r="M604" s="56"/>
      <c r="N604" s="49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</row>
    <row r="605" spans="1:37" x14ac:dyDescent="0.25">
      <c r="A605" s="46"/>
      <c r="B605" s="114"/>
      <c r="C605" s="191"/>
      <c r="D605" s="191"/>
      <c r="E605" s="116"/>
      <c r="F605" s="52"/>
      <c r="G605" s="55"/>
      <c r="H605" s="54"/>
      <c r="I605" s="55"/>
      <c r="J605" s="55"/>
      <c r="K605" s="55"/>
      <c r="L605" s="56"/>
      <c r="M605" s="56"/>
      <c r="N605" s="49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</row>
    <row r="606" spans="1:37" x14ac:dyDescent="0.25">
      <c r="A606" s="46"/>
      <c r="B606" s="114"/>
      <c r="C606" s="191"/>
      <c r="D606" s="191"/>
      <c r="E606" s="116"/>
      <c r="F606" s="52"/>
      <c r="G606" s="55"/>
      <c r="H606" s="54"/>
      <c r="I606" s="55"/>
      <c r="J606" s="55"/>
      <c r="K606" s="55"/>
      <c r="L606" s="56"/>
      <c r="M606" s="56"/>
      <c r="N606" s="49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</row>
    <row r="607" spans="1:37" x14ac:dyDescent="0.25">
      <c r="A607" s="46"/>
      <c r="B607" s="114"/>
      <c r="C607" s="191"/>
      <c r="D607" s="191"/>
      <c r="E607" s="116"/>
      <c r="F607" s="52"/>
      <c r="G607" s="55"/>
      <c r="H607" s="54"/>
      <c r="I607" s="55"/>
      <c r="J607" s="55"/>
      <c r="K607" s="55"/>
      <c r="L607" s="56"/>
      <c r="M607" s="56"/>
      <c r="N607" s="49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</row>
    <row r="608" spans="1:37" x14ac:dyDescent="0.25">
      <c r="A608" s="46"/>
      <c r="B608" s="114"/>
      <c r="C608" s="191"/>
      <c r="D608" s="191"/>
      <c r="E608" s="116"/>
      <c r="F608" s="52"/>
      <c r="G608" s="55"/>
      <c r="H608" s="54"/>
      <c r="I608" s="55"/>
      <c r="J608" s="55"/>
      <c r="K608" s="55"/>
      <c r="L608" s="56"/>
      <c r="M608" s="56"/>
      <c r="N608" s="49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</row>
    <row r="609" spans="1:37" x14ac:dyDescent="0.25">
      <c r="A609" s="46"/>
      <c r="B609" s="114"/>
      <c r="C609" s="191"/>
      <c r="D609" s="191"/>
      <c r="E609" s="116"/>
      <c r="F609" s="52"/>
      <c r="G609" s="55"/>
      <c r="H609" s="54"/>
      <c r="I609" s="55"/>
      <c r="J609" s="55"/>
      <c r="K609" s="55"/>
      <c r="L609" s="56"/>
      <c r="M609" s="56"/>
      <c r="N609" s="49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</row>
    <row r="610" spans="1:37" x14ac:dyDescent="0.25">
      <c r="A610" s="46"/>
      <c r="B610" s="114"/>
      <c r="C610" s="191"/>
      <c r="D610" s="191"/>
      <c r="E610" s="116"/>
      <c r="F610" s="52"/>
      <c r="G610" s="55"/>
      <c r="H610" s="54"/>
      <c r="I610" s="55"/>
      <c r="J610" s="55"/>
      <c r="K610" s="55"/>
      <c r="L610" s="56"/>
      <c r="M610" s="56"/>
      <c r="N610" s="49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</row>
    <row r="611" spans="1:37" x14ac:dyDescent="0.25">
      <c r="A611" s="46"/>
      <c r="B611" s="114"/>
      <c r="C611" s="191"/>
      <c r="D611" s="191"/>
      <c r="E611" s="116"/>
      <c r="F611" s="52"/>
      <c r="G611" s="55"/>
      <c r="H611" s="54"/>
      <c r="I611" s="55"/>
      <c r="J611" s="55"/>
      <c r="K611" s="55"/>
      <c r="L611" s="56"/>
      <c r="M611" s="56"/>
      <c r="N611" s="49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</row>
    <row r="612" spans="1:37" x14ac:dyDescent="0.25">
      <c r="A612" s="46"/>
      <c r="B612" s="114"/>
      <c r="C612" s="191"/>
      <c r="D612" s="191"/>
      <c r="E612" s="116"/>
      <c r="F612" s="52"/>
      <c r="G612" s="55"/>
      <c r="H612" s="54"/>
      <c r="I612" s="55"/>
      <c r="J612" s="55"/>
      <c r="K612" s="55"/>
      <c r="L612" s="56"/>
      <c r="M612" s="56"/>
      <c r="N612" s="49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</row>
    <row r="613" spans="1:37" x14ac:dyDescent="0.25">
      <c r="A613" s="46"/>
      <c r="B613" s="114"/>
      <c r="C613" s="191"/>
      <c r="D613" s="191"/>
      <c r="E613" s="116"/>
      <c r="F613" s="52"/>
      <c r="G613" s="55"/>
      <c r="H613" s="54"/>
      <c r="I613" s="55"/>
      <c r="J613" s="55"/>
      <c r="K613" s="55"/>
      <c r="L613" s="56"/>
      <c r="M613" s="56"/>
      <c r="N613" s="49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</row>
    <row r="614" spans="1:37" x14ac:dyDescent="0.25">
      <c r="A614" s="46"/>
      <c r="B614" s="114"/>
      <c r="C614" s="191"/>
      <c r="D614" s="191"/>
      <c r="E614" s="116"/>
      <c r="F614" s="52"/>
      <c r="G614" s="55"/>
      <c r="H614" s="54"/>
      <c r="I614" s="55"/>
      <c r="J614" s="55"/>
      <c r="K614" s="55"/>
      <c r="L614" s="56"/>
      <c r="M614" s="56"/>
      <c r="N614" s="49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</row>
    <row r="615" spans="1:37" x14ac:dyDescent="0.25">
      <c r="A615" s="46"/>
      <c r="B615" s="114"/>
      <c r="C615" s="191"/>
      <c r="D615" s="191"/>
      <c r="E615" s="116"/>
      <c r="F615" s="52"/>
      <c r="G615" s="55"/>
      <c r="H615" s="54"/>
      <c r="I615" s="55"/>
      <c r="J615" s="55"/>
      <c r="K615" s="55"/>
      <c r="L615" s="56"/>
      <c r="M615" s="56"/>
      <c r="N615" s="49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</row>
    <row r="616" spans="1:37" x14ac:dyDescent="0.25">
      <c r="A616" s="46"/>
      <c r="B616" s="114"/>
      <c r="C616" s="191"/>
      <c r="D616" s="191"/>
      <c r="E616" s="116"/>
      <c r="F616" s="52"/>
      <c r="G616" s="55"/>
      <c r="H616" s="54"/>
      <c r="I616" s="55"/>
      <c r="J616" s="55"/>
      <c r="K616" s="55"/>
      <c r="L616" s="56"/>
      <c r="M616" s="56"/>
      <c r="N616" s="49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</row>
    <row r="617" spans="1:37" x14ac:dyDescent="0.25">
      <c r="A617" s="46"/>
      <c r="B617" s="114"/>
      <c r="C617" s="191"/>
      <c r="D617" s="191"/>
      <c r="E617" s="116"/>
      <c r="F617" s="52"/>
      <c r="G617" s="55"/>
      <c r="H617" s="54"/>
      <c r="I617" s="55"/>
      <c r="J617" s="55"/>
      <c r="K617" s="55"/>
      <c r="L617" s="56"/>
      <c r="M617" s="56"/>
      <c r="N617" s="49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</row>
    <row r="618" spans="1:37" x14ac:dyDescent="0.25">
      <c r="A618" s="46"/>
      <c r="B618" s="114"/>
      <c r="C618" s="191"/>
      <c r="D618" s="191"/>
      <c r="E618" s="116"/>
      <c r="F618" s="52"/>
      <c r="G618" s="55"/>
      <c r="H618" s="54"/>
      <c r="I618" s="55"/>
      <c r="J618" s="55"/>
      <c r="K618" s="55"/>
      <c r="L618" s="56"/>
      <c r="M618" s="56"/>
      <c r="N618" s="49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</row>
    <row r="619" spans="1:37" x14ac:dyDescent="0.25">
      <c r="A619" s="46"/>
      <c r="B619" s="114"/>
      <c r="C619" s="191"/>
      <c r="D619" s="191"/>
      <c r="E619" s="116"/>
      <c r="F619" s="52"/>
      <c r="G619" s="55"/>
      <c r="H619" s="54"/>
      <c r="I619" s="55"/>
      <c r="J619" s="55"/>
      <c r="K619" s="55"/>
      <c r="L619" s="56"/>
      <c r="M619" s="56"/>
      <c r="N619" s="49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</row>
    <row r="620" spans="1:37" x14ac:dyDescent="0.25">
      <c r="A620" s="46"/>
      <c r="B620" s="114"/>
      <c r="C620" s="191"/>
      <c r="D620" s="191"/>
      <c r="E620" s="116"/>
      <c r="F620" s="52"/>
      <c r="G620" s="55"/>
      <c r="H620" s="54"/>
      <c r="I620" s="55"/>
      <c r="J620" s="55"/>
      <c r="K620" s="55"/>
      <c r="L620" s="56"/>
      <c r="M620" s="56"/>
      <c r="N620" s="49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</row>
    <row r="621" spans="1:37" x14ac:dyDescent="0.25">
      <c r="A621" s="46"/>
      <c r="B621" s="114"/>
      <c r="C621" s="191"/>
      <c r="D621" s="191"/>
      <c r="E621" s="116"/>
      <c r="F621" s="52"/>
      <c r="G621" s="55"/>
      <c r="H621" s="54"/>
      <c r="I621" s="55"/>
      <c r="J621" s="55"/>
      <c r="K621" s="55"/>
      <c r="L621" s="56"/>
      <c r="M621" s="56"/>
      <c r="N621" s="49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</row>
    <row r="622" spans="1:37" x14ac:dyDescent="0.25">
      <c r="A622" s="46"/>
      <c r="B622" s="114"/>
      <c r="C622" s="191"/>
      <c r="D622" s="191"/>
      <c r="E622" s="116"/>
      <c r="F622" s="52"/>
      <c r="G622" s="55"/>
      <c r="H622" s="54"/>
      <c r="I622" s="55"/>
      <c r="J622" s="55"/>
      <c r="K622" s="55"/>
      <c r="L622" s="56"/>
      <c r="M622" s="56"/>
      <c r="N622" s="49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</row>
    <row r="623" spans="1:37" x14ac:dyDescent="0.25">
      <c r="A623" s="46"/>
      <c r="B623" s="114"/>
      <c r="C623" s="191"/>
      <c r="D623" s="191"/>
      <c r="E623" s="116"/>
      <c r="F623" s="52"/>
      <c r="G623" s="55"/>
      <c r="H623" s="54"/>
      <c r="I623" s="55"/>
      <c r="J623" s="55"/>
      <c r="K623" s="55"/>
      <c r="L623" s="56"/>
      <c r="M623" s="56"/>
      <c r="N623" s="49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</row>
    <row r="624" spans="1:37" x14ac:dyDescent="0.25">
      <c r="A624" s="46"/>
      <c r="B624" s="114"/>
      <c r="C624" s="191"/>
      <c r="D624" s="191"/>
      <c r="E624" s="116"/>
      <c r="F624" s="52"/>
      <c r="G624" s="55"/>
      <c r="H624" s="54"/>
      <c r="I624" s="55"/>
      <c r="J624" s="55"/>
      <c r="K624" s="55"/>
      <c r="L624" s="56"/>
      <c r="M624" s="56"/>
      <c r="N624" s="49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</row>
    <row r="625" spans="1:37" x14ac:dyDescent="0.25">
      <c r="A625" s="46"/>
      <c r="B625" s="114"/>
      <c r="C625" s="191"/>
      <c r="D625" s="191"/>
      <c r="E625" s="116"/>
      <c r="F625" s="52"/>
      <c r="G625" s="55"/>
      <c r="H625" s="54"/>
      <c r="I625" s="55"/>
      <c r="J625" s="55"/>
      <c r="K625" s="55"/>
      <c r="L625" s="56"/>
      <c r="M625" s="56"/>
      <c r="N625" s="49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</row>
    <row r="626" spans="1:37" x14ac:dyDescent="0.25">
      <c r="A626" s="46"/>
      <c r="B626" s="114"/>
      <c r="C626" s="191"/>
      <c r="D626" s="191"/>
      <c r="E626" s="116"/>
      <c r="F626" s="52"/>
      <c r="G626" s="55"/>
      <c r="H626" s="54"/>
      <c r="I626" s="55"/>
      <c r="J626" s="55"/>
      <c r="K626" s="55"/>
      <c r="L626" s="56"/>
      <c r="M626" s="56"/>
      <c r="N626" s="49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</row>
    <row r="627" spans="1:37" x14ac:dyDescent="0.25">
      <c r="A627" s="46"/>
      <c r="B627" s="114"/>
      <c r="C627" s="191"/>
      <c r="D627" s="191"/>
      <c r="E627" s="116"/>
      <c r="F627" s="52"/>
      <c r="G627" s="55"/>
      <c r="H627" s="54"/>
      <c r="I627" s="55"/>
      <c r="J627" s="55"/>
      <c r="K627" s="55"/>
      <c r="L627" s="56"/>
      <c r="M627" s="56"/>
      <c r="N627" s="49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</row>
    <row r="628" spans="1:37" x14ac:dyDescent="0.25">
      <c r="A628" s="46"/>
      <c r="B628" s="114"/>
      <c r="C628" s="191"/>
      <c r="D628" s="191"/>
      <c r="E628" s="116"/>
      <c r="F628" s="52"/>
      <c r="G628" s="55"/>
      <c r="H628" s="54"/>
      <c r="I628" s="55"/>
      <c r="J628" s="55"/>
      <c r="K628" s="55"/>
      <c r="L628" s="56"/>
      <c r="M628" s="56"/>
      <c r="N628" s="49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</row>
    <row r="629" spans="1:37" x14ac:dyDescent="0.25">
      <c r="A629" s="46"/>
      <c r="B629" s="114"/>
      <c r="C629" s="191"/>
      <c r="D629" s="191"/>
      <c r="E629" s="116"/>
      <c r="F629" s="52"/>
      <c r="G629" s="55"/>
      <c r="H629" s="54"/>
      <c r="I629" s="55"/>
      <c r="J629" s="55"/>
      <c r="K629" s="55"/>
      <c r="L629" s="56"/>
      <c r="M629" s="56"/>
      <c r="N629" s="49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</row>
    <row r="630" spans="1:37" x14ac:dyDescent="0.25">
      <c r="A630" s="46"/>
      <c r="B630" s="114"/>
      <c r="C630" s="191"/>
      <c r="D630" s="191"/>
      <c r="E630" s="116"/>
      <c r="F630" s="52"/>
      <c r="G630" s="55"/>
      <c r="H630" s="54"/>
      <c r="I630" s="55"/>
      <c r="J630" s="55"/>
      <c r="K630" s="55"/>
      <c r="L630" s="56"/>
      <c r="M630" s="56"/>
      <c r="N630" s="49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</row>
    <row r="631" spans="1:37" x14ac:dyDescent="0.25">
      <c r="A631" s="46"/>
      <c r="B631" s="114"/>
      <c r="C631" s="191"/>
      <c r="D631" s="191"/>
      <c r="E631" s="116"/>
      <c r="F631" s="52"/>
      <c r="G631" s="55"/>
      <c r="H631" s="54"/>
      <c r="I631" s="55"/>
      <c r="J631" s="55"/>
      <c r="K631" s="55"/>
      <c r="L631" s="56"/>
      <c r="M631" s="56"/>
      <c r="N631" s="49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</row>
    <row r="632" spans="1:37" x14ac:dyDescent="0.25">
      <c r="A632" s="46"/>
      <c r="B632" s="114"/>
      <c r="C632" s="191"/>
      <c r="D632" s="191"/>
      <c r="E632" s="116"/>
      <c r="F632" s="52"/>
      <c r="G632" s="55"/>
      <c r="H632" s="54"/>
      <c r="I632" s="55"/>
      <c r="J632" s="55"/>
      <c r="K632" s="55"/>
      <c r="L632" s="56"/>
      <c r="M632" s="56"/>
      <c r="N632" s="49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</row>
    <row r="633" spans="1:37" x14ac:dyDescent="0.25">
      <c r="A633" s="46"/>
      <c r="B633" s="114"/>
      <c r="C633" s="191"/>
      <c r="D633" s="191"/>
      <c r="E633" s="116"/>
      <c r="F633" s="52"/>
      <c r="G633" s="55"/>
      <c r="H633" s="54"/>
      <c r="I633" s="55"/>
      <c r="J633" s="55"/>
      <c r="K633" s="55"/>
      <c r="L633" s="56"/>
      <c r="M633" s="56"/>
      <c r="N633" s="49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</row>
    <row r="634" spans="1:37" x14ac:dyDescent="0.25">
      <c r="A634" s="46"/>
      <c r="B634" s="114"/>
      <c r="C634" s="191"/>
      <c r="D634" s="191"/>
      <c r="E634" s="116"/>
      <c r="F634" s="52"/>
      <c r="G634" s="55"/>
      <c r="H634" s="54"/>
      <c r="I634" s="55"/>
      <c r="J634" s="55"/>
      <c r="K634" s="55"/>
      <c r="L634" s="56"/>
      <c r="M634" s="56"/>
      <c r="N634" s="49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</row>
    <row r="635" spans="1:37" x14ac:dyDescent="0.25">
      <c r="A635" s="46"/>
      <c r="B635" s="114"/>
      <c r="C635" s="191"/>
      <c r="D635" s="191"/>
      <c r="E635" s="116"/>
      <c r="F635" s="52"/>
      <c r="G635" s="55"/>
      <c r="H635" s="54"/>
      <c r="I635" s="55"/>
      <c r="J635" s="55"/>
      <c r="K635" s="55"/>
      <c r="L635" s="56"/>
      <c r="M635" s="56"/>
      <c r="N635" s="49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</row>
    <row r="636" spans="1:37" x14ac:dyDescent="0.25">
      <c r="A636" s="46"/>
      <c r="B636" s="114"/>
      <c r="C636" s="191"/>
      <c r="D636" s="191"/>
      <c r="E636" s="116"/>
      <c r="F636" s="52"/>
      <c r="G636" s="55"/>
      <c r="H636" s="54"/>
      <c r="I636" s="55"/>
      <c r="J636" s="55"/>
      <c r="K636" s="55"/>
      <c r="L636" s="56"/>
      <c r="M636" s="56"/>
      <c r="N636" s="49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</row>
    <row r="637" spans="1:37" x14ac:dyDescent="0.25">
      <c r="A637" s="46"/>
      <c r="B637" s="114"/>
      <c r="C637" s="191"/>
      <c r="D637" s="191"/>
      <c r="E637" s="116"/>
      <c r="F637" s="52"/>
      <c r="G637" s="55"/>
      <c r="H637" s="54"/>
      <c r="I637" s="55"/>
      <c r="J637" s="55"/>
      <c r="K637" s="55"/>
      <c r="L637" s="56"/>
      <c r="M637" s="56"/>
      <c r="N637" s="49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</row>
    <row r="638" spans="1:37" x14ac:dyDescent="0.25">
      <c r="A638" s="46"/>
      <c r="B638" s="114"/>
      <c r="C638" s="191"/>
      <c r="D638" s="191"/>
      <c r="E638" s="116"/>
      <c r="F638" s="52"/>
      <c r="G638" s="55"/>
      <c r="H638" s="54"/>
      <c r="I638" s="55"/>
      <c r="J638" s="55"/>
      <c r="K638" s="55"/>
      <c r="L638" s="56"/>
      <c r="M638" s="56"/>
      <c r="N638" s="49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</row>
    <row r="639" spans="1:37" x14ac:dyDescent="0.25">
      <c r="A639" s="46"/>
      <c r="B639" s="114"/>
      <c r="C639" s="191"/>
      <c r="D639" s="191"/>
      <c r="E639" s="116"/>
      <c r="F639" s="52"/>
      <c r="G639" s="55"/>
      <c r="H639" s="54"/>
      <c r="I639" s="55"/>
      <c r="J639" s="55"/>
      <c r="K639" s="55"/>
      <c r="L639" s="56"/>
      <c r="M639" s="56"/>
      <c r="N639" s="49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</row>
    <row r="640" spans="1:37" x14ac:dyDescent="0.25">
      <c r="A640" s="46"/>
      <c r="B640" s="114"/>
      <c r="C640" s="191"/>
      <c r="D640" s="191"/>
      <c r="E640" s="116"/>
      <c r="F640" s="52"/>
      <c r="G640" s="55"/>
      <c r="H640" s="54"/>
      <c r="I640" s="55"/>
      <c r="J640" s="55"/>
      <c r="K640" s="55"/>
      <c r="L640" s="56"/>
      <c r="M640" s="56"/>
      <c r="N640" s="49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</row>
    <row r="641" spans="1:37" x14ac:dyDescent="0.25">
      <c r="A641" s="46"/>
      <c r="B641" s="114"/>
      <c r="C641" s="191"/>
      <c r="D641" s="191"/>
      <c r="E641" s="116"/>
      <c r="F641" s="52"/>
      <c r="G641" s="55"/>
      <c r="H641" s="54"/>
      <c r="I641" s="55"/>
      <c r="J641" s="55"/>
      <c r="K641" s="55"/>
      <c r="L641" s="56"/>
      <c r="M641" s="56"/>
      <c r="N641" s="49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</row>
    <row r="642" spans="1:37" x14ac:dyDescent="0.25">
      <c r="A642" s="46"/>
      <c r="B642" s="114"/>
      <c r="C642" s="191"/>
      <c r="D642" s="191"/>
      <c r="E642" s="116"/>
      <c r="F642" s="52"/>
      <c r="G642" s="55"/>
      <c r="H642" s="54"/>
      <c r="I642" s="55"/>
      <c r="J642" s="55"/>
      <c r="K642" s="55"/>
      <c r="L642" s="56"/>
      <c r="M642" s="56"/>
      <c r="N642" s="49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</row>
    <row r="643" spans="1:37" x14ac:dyDescent="0.25">
      <c r="A643" s="46"/>
      <c r="B643" s="114"/>
      <c r="C643" s="191"/>
      <c r="D643" s="191"/>
      <c r="E643" s="116"/>
      <c r="F643" s="52"/>
      <c r="G643" s="55"/>
      <c r="H643" s="54"/>
      <c r="I643" s="55"/>
      <c r="J643" s="55"/>
      <c r="K643" s="55"/>
      <c r="L643" s="56"/>
      <c r="M643" s="56"/>
      <c r="N643" s="49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</row>
    <row r="644" spans="1:37" x14ac:dyDescent="0.25">
      <c r="A644" s="46"/>
      <c r="B644" s="114"/>
      <c r="C644" s="191"/>
      <c r="D644" s="191"/>
      <c r="E644" s="116"/>
      <c r="F644" s="52"/>
      <c r="G644" s="55"/>
      <c r="H644" s="54"/>
      <c r="I644" s="55"/>
      <c r="J644" s="55"/>
      <c r="K644" s="55"/>
      <c r="L644" s="56"/>
      <c r="M644" s="56"/>
      <c r="N644" s="49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</row>
    <row r="645" spans="1:37" x14ac:dyDescent="0.25">
      <c r="A645" s="46"/>
      <c r="B645" s="114"/>
      <c r="C645" s="191"/>
      <c r="D645" s="191"/>
      <c r="E645" s="116"/>
      <c r="F645" s="52"/>
      <c r="G645" s="55"/>
      <c r="H645" s="54"/>
      <c r="I645" s="55"/>
      <c r="J645" s="55"/>
      <c r="K645" s="55"/>
      <c r="L645" s="56"/>
      <c r="M645" s="56"/>
      <c r="N645" s="49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</row>
    <row r="646" spans="1:37" x14ac:dyDescent="0.25">
      <c r="A646" s="46"/>
      <c r="B646" s="114"/>
      <c r="C646" s="191"/>
      <c r="D646" s="191"/>
      <c r="E646" s="116"/>
      <c r="F646" s="52"/>
      <c r="G646" s="55"/>
      <c r="H646" s="54"/>
      <c r="I646" s="55"/>
      <c r="J646" s="55"/>
      <c r="K646" s="55"/>
      <c r="L646" s="56"/>
      <c r="M646" s="56"/>
      <c r="N646" s="49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</row>
    <row r="647" spans="1:37" x14ac:dyDescent="0.25">
      <c r="A647" s="46"/>
      <c r="B647" s="114"/>
      <c r="C647" s="191"/>
      <c r="D647" s="191"/>
      <c r="E647" s="116"/>
      <c r="F647" s="52"/>
      <c r="G647" s="55"/>
      <c r="H647" s="54"/>
      <c r="I647" s="55"/>
      <c r="J647" s="55"/>
      <c r="K647" s="55"/>
      <c r="L647" s="56"/>
      <c r="M647" s="56"/>
      <c r="N647" s="49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</row>
    <row r="648" spans="1:37" x14ac:dyDescent="0.25">
      <c r="A648" s="46"/>
      <c r="B648" s="114"/>
      <c r="C648" s="191"/>
      <c r="D648" s="191"/>
      <c r="E648" s="116"/>
      <c r="F648" s="52"/>
      <c r="G648" s="55"/>
      <c r="H648" s="54"/>
      <c r="I648" s="55"/>
      <c r="J648" s="55"/>
      <c r="K648" s="55"/>
      <c r="L648" s="56"/>
      <c r="M648" s="56"/>
      <c r="N648" s="49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</row>
    <row r="649" spans="1:37" x14ac:dyDescent="0.25">
      <c r="A649" s="46"/>
      <c r="B649" s="114"/>
      <c r="C649" s="191"/>
      <c r="D649" s="191"/>
      <c r="E649" s="116"/>
      <c r="F649" s="52"/>
      <c r="G649" s="55"/>
      <c r="H649" s="54"/>
      <c r="I649" s="55"/>
      <c r="J649" s="55"/>
      <c r="K649" s="55"/>
      <c r="L649" s="56"/>
      <c r="M649" s="56"/>
      <c r="N649" s="49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</row>
    <row r="650" spans="1:37" x14ac:dyDescent="0.25">
      <c r="A650" s="46"/>
      <c r="B650" s="114"/>
      <c r="C650" s="191"/>
      <c r="D650" s="191"/>
      <c r="E650" s="116"/>
      <c r="F650" s="52"/>
      <c r="G650" s="55"/>
      <c r="H650" s="54"/>
      <c r="I650" s="55"/>
      <c r="J650" s="55"/>
      <c r="K650" s="55"/>
      <c r="L650" s="56"/>
      <c r="M650" s="56"/>
      <c r="N650" s="49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</row>
    <row r="651" spans="1:37" x14ac:dyDescent="0.25">
      <c r="A651" s="46"/>
      <c r="B651" s="114"/>
      <c r="C651" s="191"/>
      <c r="D651" s="191"/>
      <c r="E651" s="116"/>
      <c r="F651" s="52"/>
      <c r="G651" s="55"/>
      <c r="H651" s="54"/>
      <c r="I651" s="55"/>
      <c r="J651" s="55"/>
      <c r="K651" s="55"/>
      <c r="L651" s="56"/>
      <c r="M651" s="56"/>
      <c r="N651" s="49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</row>
    <row r="652" spans="1:37" x14ac:dyDescent="0.25">
      <c r="A652" s="46"/>
      <c r="B652" s="114"/>
      <c r="C652" s="191"/>
      <c r="D652" s="191"/>
      <c r="E652" s="116"/>
      <c r="F652" s="52"/>
      <c r="G652" s="55"/>
      <c r="H652" s="54"/>
      <c r="I652" s="55"/>
      <c r="J652" s="55"/>
      <c r="K652" s="55"/>
      <c r="L652" s="56"/>
      <c r="M652" s="56"/>
      <c r="N652" s="49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</row>
    <row r="653" spans="1:37" x14ac:dyDescent="0.25">
      <c r="A653" s="46"/>
      <c r="B653" s="114"/>
      <c r="C653" s="191"/>
      <c r="D653" s="191"/>
      <c r="E653" s="116"/>
      <c r="F653" s="52"/>
      <c r="G653" s="55"/>
      <c r="H653" s="54"/>
      <c r="I653" s="55"/>
      <c r="J653" s="55"/>
      <c r="K653" s="55"/>
      <c r="L653" s="56"/>
      <c r="M653" s="56"/>
      <c r="N653" s="49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</row>
    <row r="654" spans="1:37" x14ac:dyDescent="0.25">
      <c r="A654" s="46"/>
      <c r="B654" s="114"/>
      <c r="C654" s="191"/>
      <c r="D654" s="191"/>
      <c r="E654" s="116"/>
      <c r="F654" s="52"/>
      <c r="G654" s="55"/>
      <c r="H654" s="54"/>
      <c r="I654" s="55"/>
      <c r="J654" s="55"/>
      <c r="K654" s="55"/>
      <c r="L654" s="56"/>
      <c r="M654" s="56"/>
      <c r="N654" s="49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</row>
    <row r="655" spans="1:37" x14ac:dyDescent="0.25">
      <c r="A655" s="46"/>
      <c r="B655" s="114"/>
      <c r="C655" s="191"/>
      <c r="D655" s="191"/>
      <c r="E655" s="116"/>
      <c r="F655" s="52"/>
      <c r="G655" s="55"/>
      <c r="H655" s="54"/>
      <c r="I655" s="55"/>
      <c r="J655" s="55"/>
      <c r="K655" s="55"/>
      <c r="L655" s="56"/>
      <c r="M655" s="56"/>
      <c r="N655" s="49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</row>
    <row r="656" spans="1:37" x14ac:dyDescent="0.25">
      <c r="A656" s="46"/>
      <c r="B656" s="114"/>
      <c r="C656" s="191"/>
      <c r="D656" s="191"/>
      <c r="E656" s="116"/>
      <c r="F656" s="52"/>
      <c r="G656" s="55"/>
      <c r="H656" s="54"/>
      <c r="I656" s="55"/>
      <c r="J656" s="55"/>
      <c r="K656" s="55"/>
      <c r="L656" s="56"/>
      <c r="M656" s="56"/>
      <c r="N656" s="49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</row>
    <row r="657" spans="1:37" x14ac:dyDescent="0.25">
      <c r="A657" s="46"/>
      <c r="B657" s="114"/>
      <c r="C657" s="191"/>
      <c r="D657" s="191"/>
      <c r="E657" s="116"/>
      <c r="F657" s="52"/>
      <c r="G657" s="55"/>
      <c r="H657" s="54"/>
      <c r="I657" s="55"/>
      <c r="J657" s="55"/>
      <c r="K657" s="55"/>
      <c r="L657" s="56"/>
      <c r="M657" s="56"/>
      <c r="N657" s="49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</row>
    <row r="658" spans="1:37" x14ac:dyDescent="0.25">
      <c r="A658" s="46"/>
      <c r="B658" s="114"/>
      <c r="C658" s="191"/>
      <c r="D658" s="191"/>
      <c r="E658" s="116"/>
      <c r="F658" s="52"/>
      <c r="G658" s="55"/>
      <c r="H658" s="54"/>
      <c r="I658" s="55"/>
      <c r="J658" s="55"/>
      <c r="K658" s="55"/>
      <c r="L658" s="56"/>
      <c r="M658" s="56"/>
      <c r="N658" s="49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</row>
    <row r="659" spans="1:37" x14ac:dyDescent="0.25">
      <c r="A659" s="46"/>
      <c r="B659" s="114"/>
      <c r="C659" s="191"/>
      <c r="D659" s="191"/>
      <c r="E659" s="116"/>
      <c r="F659" s="52"/>
      <c r="G659" s="55"/>
      <c r="H659" s="54"/>
      <c r="I659" s="55"/>
      <c r="J659" s="55"/>
      <c r="K659" s="55"/>
      <c r="L659" s="56"/>
      <c r="M659" s="56"/>
      <c r="N659" s="49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</row>
    <row r="660" spans="1:37" x14ac:dyDescent="0.25">
      <c r="A660" s="46"/>
      <c r="B660" s="114"/>
      <c r="C660" s="191"/>
      <c r="D660" s="191"/>
      <c r="E660" s="116"/>
      <c r="F660" s="52"/>
      <c r="G660" s="55"/>
      <c r="H660" s="54"/>
      <c r="I660" s="55"/>
      <c r="J660" s="55"/>
      <c r="K660" s="55"/>
      <c r="L660" s="56"/>
      <c r="M660" s="56"/>
      <c r="N660" s="49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</row>
    <row r="661" spans="1:37" x14ac:dyDescent="0.25">
      <c r="A661" s="46"/>
      <c r="B661" s="114"/>
      <c r="C661" s="191"/>
      <c r="D661" s="191"/>
      <c r="E661" s="116"/>
      <c r="F661" s="52"/>
      <c r="G661" s="55"/>
      <c r="H661" s="54"/>
      <c r="I661" s="55"/>
      <c r="J661" s="55"/>
      <c r="K661" s="55"/>
      <c r="L661" s="56"/>
      <c r="M661" s="56"/>
      <c r="N661" s="49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</row>
    <row r="662" spans="1:37" x14ac:dyDescent="0.25">
      <c r="A662" s="46"/>
      <c r="B662" s="114"/>
      <c r="C662" s="191"/>
      <c r="D662" s="191"/>
      <c r="E662" s="116"/>
      <c r="F662" s="52"/>
      <c r="G662" s="55"/>
      <c r="H662" s="54"/>
      <c r="I662" s="55"/>
      <c r="J662" s="55"/>
      <c r="K662" s="55"/>
      <c r="L662" s="56"/>
      <c r="M662" s="56"/>
      <c r="N662" s="49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</row>
    <row r="663" spans="1:37" x14ac:dyDescent="0.25">
      <c r="A663" s="46"/>
      <c r="B663" s="114"/>
      <c r="C663" s="191"/>
      <c r="D663" s="191"/>
      <c r="E663" s="116"/>
      <c r="F663" s="52"/>
      <c r="G663" s="55"/>
      <c r="H663" s="54"/>
      <c r="I663" s="55"/>
      <c r="J663" s="55"/>
      <c r="K663" s="55"/>
      <c r="L663" s="56"/>
      <c r="M663" s="56"/>
      <c r="N663" s="49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</row>
    <row r="664" spans="1:37" x14ac:dyDescent="0.25">
      <c r="A664" s="46"/>
      <c r="B664" s="114"/>
      <c r="C664" s="191"/>
      <c r="D664" s="191"/>
      <c r="E664" s="116"/>
      <c r="F664" s="52"/>
      <c r="G664" s="55"/>
      <c r="H664" s="54"/>
      <c r="I664" s="55"/>
      <c r="J664" s="55"/>
      <c r="K664" s="55"/>
      <c r="L664" s="56"/>
      <c r="M664" s="56"/>
      <c r="N664" s="49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</row>
    <row r="665" spans="1:37" x14ac:dyDescent="0.25">
      <c r="A665" s="46"/>
      <c r="B665" s="114"/>
      <c r="C665" s="191"/>
      <c r="D665" s="191"/>
      <c r="E665" s="116"/>
      <c r="F665" s="52"/>
      <c r="G665" s="55"/>
      <c r="H665" s="54"/>
      <c r="I665" s="55"/>
      <c r="J665" s="55"/>
      <c r="K665" s="55"/>
      <c r="L665" s="56"/>
      <c r="M665" s="56"/>
      <c r="N665" s="49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</row>
    <row r="666" spans="1:37" x14ac:dyDescent="0.25">
      <c r="A666" s="46"/>
      <c r="B666" s="114"/>
      <c r="C666" s="191"/>
      <c r="D666" s="191"/>
      <c r="E666" s="116"/>
      <c r="F666" s="52"/>
      <c r="G666" s="55"/>
      <c r="H666" s="54"/>
      <c r="I666" s="55"/>
      <c r="J666" s="55"/>
      <c r="K666" s="55"/>
      <c r="L666" s="56"/>
      <c r="M666" s="56"/>
      <c r="N666" s="49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</row>
    <row r="667" spans="1:37" x14ac:dyDescent="0.25">
      <c r="A667" s="46"/>
      <c r="B667" s="114"/>
      <c r="C667" s="191"/>
      <c r="D667" s="191"/>
      <c r="E667" s="116"/>
      <c r="F667" s="52"/>
      <c r="G667" s="55"/>
      <c r="H667" s="54"/>
      <c r="I667" s="55"/>
      <c r="J667" s="55"/>
      <c r="K667" s="55"/>
      <c r="L667" s="56"/>
      <c r="M667" s="56"/>
      <c r="N667" s="49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</row>
    <row r="668" spans="1:37" x14ac:dyDescent="0.25">
      <c r="A668" s="46"/>
      <c r="B668" s="114"/>
      <c r="C668" s="191"/>
      <c r="D668" s="191"/>
      <c r="E668" s="116"/>
      <c r="F668" s="52"/>
      <c r="G668" s="55"/>
      <c r="H668" s="54"/>
      <c r="I668" s="55"/>
      <c r="J668" s="55"/>
      <c r="K668" s="55"/>
      <c r="L668" s="56"/>
      <c r="M668" s="56"/>
      <c r="N668" s="49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</row>
    <row r="669" spans="1:37" x14ac:dyDescent="0.25">
      <c r="A669" s="46"/>
      <c r="B669" s="114"/>
      <c r="C669" s="191"/>
      <c r="D669" s="191"/>
      <c r="E669" s="116"/>
      <c r="F669" s="52"/>
      <c r="G669" s="55"/>
      <c r="H669" s="54"/>
      <c r="I669" s="55"/>
      <c r="J669" s="55"/>
      <c r="K669" s="55"/>
      <c r="L669" s="56"/>
      <c r="M669" s="56"/>
      <c r="N669" s="49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</row>
    <row r="670" spans="1:37" x14ac:dyDescent="0.25">
      <c r="A670" s="46"/>
      <c r="B670" s="114"/>
      <c r="C670" s="191"/>
      <c r="D670" s="191"/>
      <c r="E670" s="116"/>
      <c r="F670" s="52"/>
      <c r="G670" s="55"/>
      <c r="H670" s="54"/>
      <c r="I670" s="55"/>
      <c r="J670" s="55"/>
      <c r="K670" s="55"/>
      <c r="L670" s="56"/>
      <c r="M670" s="56"/>
      <c r="N670" s="49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</row>
    <row r="671" spans="1:37" x14ac:dyDescent="0.25">
      <c r="A671" s="46"/>
      <c r="B671" s="114"/>
      <c r="C671" s="191"/>
      <c r="D671" s="191"/>
      <c r="E671" s="116"/>
      <c r="F671" s="52"/>
      <c r="G671" s="55"/>
      <c r="H671" s="54"/>
      <c r="I671" s="55"/>
      <c r="J671" s="55"/>
      <c r="K671" s="55"/>
      <c r="L671" s="56"/>
      <c r="M671" s="56"/>
      <c r="N671" s="49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</row>
    <row r="672" spans="1:37" x14ac:dyDescent="0.25">
      <c r="A672" s="46"/>
      <c r="B672" s="114"/>
      <c r="C672" s="191"/>
      <c r="D672" s="191"/>
      <c r="E672" s="116"/>
      <c r="F672" s="52"/>
      <c r="G672" s="55"/>
      <c r="H672" s="54"/>
      <c r="I672" s="55"/>
      <c r="J672" s="55"/>
      <c r="K672" s="55"/>
      <c r="L672" s="56"/>
      <c r="M672" s="56"/>
      <c r="N672" s="49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</row>
    <row r="673" spans="1:37" x14ac:dyDescent="0.25">
      <c r="A673" s="46"/>
      <c r="B673" s="114"/>
      <c r="C673" s="191"/>
      <c r="D673" s="191"/>
      <c r="E673" s="116"/>
      <c r="F673" s="52"/>
      <c r="G673" s="55"/>
      <c r="H673" s="54"/>
      <c r="I673" s="55"/>
      <c r="J673" s="55"/>
      <c r="K673" s="55"/>
      <c r="L673" s="56"/>
      <c r="M673" s="56"/>
      <c r="N673" s="49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</row>
    <row r="674" spans="1:37" x14ac:dyDescent="0.25">
      <c r="A674" s="46"/>
      <c r="B674" s="114"/>
      <c r="C674" s="191"/>
      <c r="D674" s="191"/>
      <c r="E674" s="116"/>
      <c r="F674" s="52"/>
      <c r="G674" s="55"/>
      <c r="H674" s="54"/>
      <c r="I674" s="55"/>
      <c r="J674" s="55"/>
      <c r="K674" s="55"/>
      <c r="L674" s="56"/>
      <c r="M674" s="56"/>
      <c r="N674" s="49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</row>
    <row r="675" spans="1:37" x14ac:dyDescent="0.25">
      <c r="A675" s="46"/>
      <c r="B675" s="114"/>
      <c r="C675" s="191"/>
      <c r="D675" s="191"/>
      <c r="E675" s="116"/>
      <c r="F675" s="52"/>
      <c r="G675" s="55"/>
      <c r="H675" s="54"/>
      <c r="I675" s="55"/>
      <c r="J675" s="55"/>
      <c r="K675" s="55"/>
      <c r="L675" s="56"/>
      <c r="M675" s="56"/>
      <c r="N675" s="49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</row>
    <row r="676" spans="1:37" x14ac:dyDescent="0.25">
      <c r="A676" s="46"/>
      <c r="B676" s="114"/>
      <c r="C676" s="191"/>
      <c r="D676" s="191"/>
      <c r="E676" s="116"/>
      <c r="F676" s="52"/>
      <c r="G676" s="55"/>
      <c r="H676" s="54"/>
      <c r="I676" s="55"/>
      <c r="J676" s="55"/>
      <c r="K676" s="55"/>
      <c r="L676" s="56"/>
      <c r="M676" s="56"/>
      <c r="N676" s="49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</row>
    <row r="677" spans="1:37" x14ac:dyDescent="0.25">
      <c r="A677" s="46"/>
      <c r="B677" s="114"/>
      <c r="C677" s="191"/>
      <c r="D677" s="191"/>
      <c r="E677" s="116"/>
      <c r="F677" s="52"/>
      <c r="G677" s="55"/>
      <c r="H677" s="54"/>
      <c r="I677" s="55"/>
      <c r="J677" s="55"/>
      <c r="K677" s="55"/>
      <c r="L677" s="56"/>
      <c r="M677" s="56"/>
      <c r="N677" s="49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</row>
    <row r="678" spans="1:37" x14ac:dyDescent="0.25">
      <c r="A678" s="46"/>
      <c r="B678" s="114"/>
      <c r="C678" s="191"/>
      <c r="D678" s="191"/>
      <c r="E678" s="116"/>
      <c r="F678" s="52"/>
      <c r="G678" s="55"/>
      <c r="H678" s="54"/>
      <c r="I678" s="55"/>
      <c r="J678" s="55"/>
      <c r="K678" s="55"/>
      <c r="L678" s="56"/>
      <c r="M678" s="56"/>
      <c r="N678" s="49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</row>
    <row r="679" spans="1:37" x14ac:dyDescent="0.25">
      <c r="A679" s="46"/>
      <c r="B679" s="114"/>
      <c r="C679" s="191"/>
      <c r="D679" s="191"/>
      <c r="E679" s="116"/>
      <c r="F679" s="52"/>
      <c r="G679" s="55"/>
      <c r="H679" s="54"/>
      <c r="I679" s="55"/>
      <c r="J679" s="55"/>
      <c r="K679" s="55"/>
      <c r="L679" s="56"/>
      <c r="M679" s="56"/>
      <c r="N679" s="49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</row>
    <row r="680" spans="1:37" x14ac:dyDescent="0.25">
      <c r="A680" s="46"/>
      <c r="B680" s="114"/>
      <c r="C680" s="191"/>
      <c r="D680" s="191"/>
      <c r="E680" s="116"/>
      <c r="F680" s="52"/>
      <c r="G680" s="55"/>
      <c r="H680" s="54"/>
      <c r="I680" s="55"/>
      <c r="J680" s="55"/>
      <c r="K680" s="55"/>
      <c r="L680" s="56"/>
      <c r="M680" s="56"/>
      <c r="N680" s="49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</row>
    <row r="681" spans="1:37" x14ac:dyDescent="0.25">
      <c r="A681" s="46"/>
      <c r="B681" s="114"/>
      <c r="C681" s="191"/>
      <c r="D681" s="191"/>
      <c r="E681" s="116"/>
      <c r="F681" s="52"/>
      <c r="G681" s="55"/>
      <c r="H681" s="54"/>
      <c r="I681" s="55"/>
      <c r="J681" s="55"/>
      <c r="K681" s="55"/>
      <c r="L681" s="56"/>
      <c r="M681" s="56"/>
      <c r="N681" s="49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</row>
    <row r="682" spans="1:37" x14ac:dyDescent="0.25">
      <c r="A682" s="46"/>
      <c r="B682" s="114"/>
      <c r="C682" s="191"/>
      <c r="D682" s="191"/>
      <c r="E682" s="116"/>
      <c r="F682" s="52"/>
      <c r="G682" s="55"/>
      <c r="H682" s="54"/>
      <c r="I682" s="55"/>
      <c r="J682" s="55"/>
      <c r="K682" s="55"/>
      <c r="L682" s="56"/>
      <c r="M682" s="56"/>
      <c r="N682" s="49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</row>
    <row r="683" spans="1:37" x14ac:dyDescent="0.25">
      <c r="A683" s="46"/>
      <c r="B683" s="114"/>
      <c r="C683" s="191"/>
      <c r="D683" s="191"/>
      <c r="E683" s="116"/>
      <c r="F683" s="52"/>
      <c r="G683" s="55"/>
      <c r="H683" s="54"/>
      <c r="I683" s="55"/>
      <c r="J683" s="55"/>
      <c r="K683" s="55"/>
      <c r="L683" s="56"/>
      <c r="M683" s="56"/>
      <c r="N683" s="49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</row>
    <row r="684" spans="1:37" x14ac:dyDescent="0.25">
      <c r="A684" s="46"/>
      <c r="B684" s="114"/>
      <c r="C684" s="191"/>
      <c r="D684" s="191"/>
      <c r="E684" s="116"/>
      <c r="F684" s="52"/>
      <c r="G684" s="55"/>
      <c r="H684" s="54"/>
      <c r="I684" s="55"/>
      <c r="J684" s="55"/>
      <c r="K684" s="55"/>
      <c r="L684" s="56"/>
      <c r="M684" s="56"/>
      <c r="N684" s="49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</row>
    <row r="685" spans="1:37" x14ac:dyDescent="0.25">
      <c r="A685" s="46"/>
      <c r="B685" s="114"/>
      <c r="C685" s="191"/>
      <c r="D685" s="191"/>
      <c r="E685" s="116"/>
      <c r="F685" s="52"/>
      <c r="G685" s="55"/>
      <c r="H685" s="54"/>
      <c r="I685" s="55"/>
      <c r="J685" s="55"/>
      <c r="K685" s="55"/>
      <c r="L685" s="56"/>
      <c r="M685" s="56"/>
      <c r="N685" s="49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</row>
    <row r="686" spans="1:37" x14ac:dyDescent="0.25">
      <c r="A686" s="46"/>
      <c r="B686" s="114"/>
      <c r="C686" s="191"/>
      <c r="D686" s="191"/>
      <c r="E686" s="116"/>
      <c r="F686" s="52"/>
      <c r="G686" s="55"/>
      <c r="H686" s="54"/>
      <c r="I686" s="55"/>
      <c r="J686" s="55"/>
      <c r="K686" s="55"/>
      <c r="L686" s="56"/>
      <c r="M686" s="56"/>
      <c r="N686" s="49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</row>
    <row r="687" spans="1:37" x14ac:dyDescent="0.25">
      <c r="A687" s="46"/>
      <c r="B687" s="114"/>
      <c r="C687" s="191"/>
      <c r="D687" s="191"/>
      <c r="E687" s="116"/>
      <c r="F687" s="52"/>
      <c r="G687" s="55"/>
      <c r="H687" s="54"/>
      <c r="I687" s="55"/>
      <c r="J687" s="55"/>
      <c r="K687" s="55"/>
      <c r="L687" s="56"/>
      <c r="M687" s="56"/>
      <c r="N687" s="49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</row>
    <row r="688" spans="1:37" x14ac:dyDescent="0.25">
      <c r="A688" s="46"/>
      <c r="B688" s="114"/>
      <c r="C688" s="191"/>
      <c r="D688" s="191"/>
      <c r="E688" s="116"/>
      <c r="F688" s="52"/>
      <c r="G688" s="55"/>
      <c r="H688" s="54"/>
      <c r="I688" s="55"/>
      <c r="J688" s="55"/>
      <c r="K688" s="55"/>
      <c r="L688" s="56"/>
      <c r="M688" s="56"/>
      <c r="N688" s="49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</row>
    <row r="689" spans="1:37" x14ac:dyDescent="0.25">
      <c r="A689" s="46"/>
      <c r="B689" s="114"/>
      <c r="C689" s="191"/>
      <c r="D689" s="191"/>
      <c r="E689" s="116"/>
      <c r="F689" s="52"/>
      <c r="G689" s="55"/>
      <c r="H689" s="54"/>
      <c r="I689" s="55"/>
      <c r="J689" s="55"/>
      <c r="K689" s="55"/>
      <c r="L689" s="56"/>
      <c r="M689" s="56"/>
      <c r="N689" s="49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</row>
    <row r="690" spans="1:37" x14ac:dyDescent="0.25">
      <c r="A690" s="46"/>
      <c r="B690" s="114"/>
      <c r="C690" s="191"/>
      <c r="D690" s="191"/>
      <c r="E690" s="116"/>
      <c r="F690" s="52"/>
      <c r="G690" s="55"/>
      <c r="H690" s="54"/>
      <c r="I690" s="55"/>
      <c r="J690" s="55"/>
      <c r="K690" s="55"/>
      <c r="L690" s="56"/>
      <c r="M690" s="56"/>
      <c r="N690" s="49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</row>
    <row r="691" spans="1:37" x14ac:dyDescent="0.25">
      <c r="A691" s="46"/>
      <c r="B691" s="114"/>
      <c r="C691" s="191"/>
      <c r="D691" s="191"/>
      <c r="E691" s="116"/>
      <c r="F691" s="52"/>
      <c r="G691" s="55"/>
      <c r="H691" s="54"/>
      <c r="I691" s="55"/>
      <c r="J691" s="55"/>
      <c r="K691" s="55"/>
      <c r="L691" s="56"/>
      <c r="M691" s="56"/>
      <c r="N691" s="49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</row>
    <row r="692" spans="1:37" x14ac:dyDescent="0.25">
      <c r="A692" s="46"/>
      <c r="B692" s="114"/>
      <c r="C692" s="191"/>
      <c r="D692" s="191"/>
      <c r="E692" s="116"/>
      <c r="F692" s="52"/>
      <c r="G692" s="55"/>
      <c r="H692" s="54"/>
      <c r="I692" s="55"/>
      <c r="J692" s="55"/>
      <c r="K692" s="55"/>
      <c r="L692" s="56"/>
      <c r="M692" s="56"/>
      <c r="N692" s="49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</row>
    <row r="693" spans="1:37" x14ac:dyDescent="0.25">
      <c r="A693" s="46"/>
      <c r="B693" s="114"/>
      <c r="C693" s="191"/>
      <c r="D693" s="191"/>
      <c r="E693" s="116"/>
      <c r="F693" s="52"/>
      <c r="G693" s="55"/>
      <c r="H693" s="54"/>
      <c r="I693" s="55"/>
      <c r="J693" s="55"/>
      <c r="K693" s="55"/>
      <c r="L693" s="56"/>
      <c r="M693" s="56"/>
      <c r="N693" s="49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</row>
    <row r="694" spans="1:37" x14ac:dyDescent="0.25">
      <c r="A694" s="46"/>
      <c r="B694" s="114"/>
      <c r="C694" s="191"/>
      <c r="D694" s="191"/>
      <c r="E694" s="116"/>
      <c r="F694" s="52"/>
      <c r="G694" s="55"/>
      <c r="H694" s="54"/>
      <c r="I694" s="55"/>
      <c r="J694" s="55"/>
      <c r="K694" s="55"/>
      <c r="L694" s="56"/>
      <c r="M694" s="56"/>
      <c r="N694" s="49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</row>
    <row r="695" spans="1:37" x14ac:dyDescent="0.25">
      <c r="A695" s="46"/>
      <c r="B695" s="114"/>
      <c r="C695" s="191"/>
      <c r="D695" s="191"/>
      <c r="E695" s="116"/>
      <c r="F695" s="52"/>
      <c r="G695" s="55"/>
      <c r="H695" s="54"/>
      <c r="I695" s="55"/>
      <c r="J695" s="55"/>
      <c r="K695" s="55"/>
      <c r="L695" s="56"/>
      <c r="M695" s="56"/>
      <c r="N695" s="49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</row>
    <row r="696" spans="1:37" x14ac:dyDescent="0.25">
      <c r="A696" s="46"/>
      <c r="B696" s="114"/>
      <c r="C696" s="191"/>
      <c r="D696" s="191"/>
      <c r="E696" s="116"/>
      <c r="F696" s="52"/>
      <c r="G696" s="55"/>
      <c r="H696" s="54"/>
      <c r="I696" s="55"/>
      <c r="J696" s="55"/>
      <c r="K696" s="55"/>
      <c r="L696" s="56"/>
      <c r="M696" s="56"/>
      <c r="N696" s="49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</row>
    <row r="697" spans="1:37" x14ac:dyDescent="0.25">
      <c r="A697" s="46"/>
      <c r="B697" s="114"/>
      <c r="C697" s="191"/>
      <c r="D697" s="191"/>
      <c r="E697" s="116"/>
      <c r="F697" s="52"/>
      <c r="G697" s="55"/>
      <c r="H697" s="54"/>
      <c r="I697" s="55"/>
      <c r="J697" s="55"/>
      <c r="K697" s="55"/>
      <c r="L697" s="56"/>
      <c r="M697" s="56"/>
      <c r="N697" s="49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</row>
    <row r="698" spans="1:37" x14ac:dyDescent="0.25">
      <c r="A698" s="46"/>
      <c r="B698" s="114"/>
      <c r="C698" s="191"/>
      <c r="D698" s="191"/>
      <c r="E698" s="116"/>
      <c r="F698" s="52"/>
      <c r="G698" s="55"/>
      <c r="H698" s="54"/>
      <c r="I698" s="55"/>
      <c r="J698" s="55"/>
      <c r="K698" s="55"/>
      <c r="L698" s="56"/>
      <c r="M698" s="56"/>
      <c r="N698" s="49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</row>
    <row r="699" spans="1:37" x14ac:dyDescent="0.25">
      <c r="A699" s="46"/>
      <c r="B699" s="114"/>
      <c r="C699" s="191"/>
      <c r="D699" s="191"/>
      <c r="E699" s="116"/>
      <c r="F699" s="52"/>
      <c r="G699" s="55"/>
      <c r="H699" s="54"/>
      <c r="I699" s="55"/>
      <c r="J699" s="55"/>
      <c r="K699" s="55"/>
      <c r="L699" s="56"/>
      <c r="M699" s="56"/>
      <c r="N699" s="49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</row>
    <row r="700" spans="1:37" x14ac:dyDescent="0.25">
      <c r="A700" s="46"/>
      <c r="B700" s="114"/>
      <c r="C700" s="191"/>
      <c r="D700" s="191"/>
      <c r="E700" s="116"/>
      <c r="F700" s="52"/>
      <c r="G700" s="55"/>
      <c r="H700" s="54"/>
      <c r="I700" s="55"/>
      <c r="J700" s="55"/>
      <c r="K700" s="55"/>
      <c r="L700" s="56"/>
      <c r="M700" s="56"/>
      <c r="N700" s="49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</row>
    <row r="701" spans="1:37" x14ac:dyDescent="0.25">
      <c r="A701" s="46"/>
      <c r="B701" s="114"/>
      <c r="C701" s="191"/>
      <c r="D701" s="191"/>
      <c r="E701" s="116"/>
      <c r="F701" s="52"/>
      <c r="G701" s="55"/>
      <c r="H701" s="54"/>
      <c r="I701" s="55"/>
      <c r="J701" s="55"/>
      <c r="K701" s="55"/>
      <c r="L701" s="56"/>
      <c r="M701" s="56"/>
      <c r="N701" s="49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</row>
    <row r="702" spans="1:37" x14ac:dyDescent="0.25">
      <c r="A702" s="46"/>
      <c r="B702" s="114"/>
      <c r="C702" s="191"/>
      <c r="D702" s="191"/>
      <c r="E702" s="116"/>
      <c r="F702" s="52"/>
      <c r="G702" s="55"/>
      <c r="H702" s="54"/>
      <c r="I702" s="55"/>
      <c r="J702" s="55"/>
      <c r="K702" s="55"/>
      <c r="L702" s="56"/>
      <c r="M702" s="56"/>
      <c r="N702" s="49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</row>
    <row r="703" spans="1:37" x14ac:dyDescent="0.25">
      <c r="A703" s="46"/>
      <c r="B703" s="114"/>
      <c r="C703" s="191"/>
      <c r="D703" s="191"/>
      <c r="E703" s="116"/>
      <c r="F703" s="52"/>
      <c r="G703" s="55"/>
      <c r="H703" s="54"/>
      <c r="I703" s="55"/>
      <c r="J703" s="55"/>
      <c r="K703" s="55"/>
      <c r="L703" s="56"/>
      <c r="M703" s="56"/>
      <c r="N703" s="49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</row>
    <row r="704" spans="1:37" x14ac:dyDescent="0.25">
      <c r="A704" s="46"/>
      <c r="B704" s="114"/>
      <c r="C704" s="191"/>
      <c r="D704" s="191"/>
      <c r="E704" s="116"/>
      <c r="F704" s="52"/>
      <c r="G704" s="55"/>
      <c r="H704" s="54"/>
      <c r="I704" s="55"/>
      <c r="J704" s="55"/>
      <c r="K704" s="55"/>
      <c r="L704" s="56"/>
      <c r="M704" s="56"/>
      <c r="N704" s="49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</row>
    <row r="705" spans="1:37" x14ac:dyDescent="0.25">
      <c r="A705" s="46"/>
      <c r="B705" s="114"/>
      <c r="C705" s="191"/>
      <c r="D705" s="191"/>
      <c r="E705" s="116"/>
      <c r="F705" s="52"/>
      <c r="G705" s="55"/>
      <c r="H705" s="54"/>
      <c r="I705" s="55"/>
      <c r="J705" s="55"/>
      <c r="K705" s="55"/>
      <c r="L705" s="56"/>
      <c r="M705" s="56"/>
      <c r="N705" s="49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</row>
    <row r="706" spans="1:37" x14ac:dyDescent="0.25">
      <c r="A706" s="46"/>
      <c r="B706" s="114"/>
      <c r="C706" s="191"/>
      <c r="D706" s="191"/>
      <c r="E706" s="116"/>
      <c r="F706" s="52"/>
      <c r="G706" s="55"/>
      <c r="H706" s="54"/>
      <c r="I706" s="55"/>
      <c r="J706" s="55"/>
      <c r="K706" s="55"/>
      <c r="L706" s="56"/>
      <c r="M706" s="56"/>
      <c r="N706" s="49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</row>
    <row r="707" spans="1:37" x14ac:dyDescent="0.25">
      <c r="A707" s="46"/>
      <c r="B707" s="114"/>
      <c r="C707" s="191"/>
      <c r="D707" s="191"/>
      <c r="E707" s="116"/>
      <c r="F707" s="52"/>
      <c r="G707" s="55"/>
      <c r="H707" s="54"/>
      <c r="I707" s="55"/>
      <c r="J707" s="55"/>
      <c r="K707" s="55"/>
      <c r="L707" s="56"/>
      <c r="M707" s="56"/>
      <c r="N707" s="49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</row>
    <row r="708" spans="1:37" x14ac:dyDescent="0.25">
      <c r="A708" s="46"/>
      <c r="B708" s="114"/>
      <c r="C708" s="191"/>
      <c r="D708" s="191"/>
      <c r="E708" s="116"/>
      <c r="F708" s="52"/>
      <c r="G708" s="55"/>
      <c r="H708" s="54"/>
      <c r="I708" s="55"/>
      <c r="J708" s="55"/>
      <c r="K708" s="55"/>
      <c r="L708" s="56"/>
      <c r="M708" s="56"/>
      <c r="N708" s="49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</row>
    <row r="709" spans="1:37" x14ac:dyDescent="0.25">
      <c r="A709" s="46"/>
      <c r="B709" s="114"/>
      <c r="C709" s="191"/>
      <c r="D709" s="191"/>
      <c r="E709" s="116"/>
      <c r="F709" s="52"/>
      <c r="G709" s="55"/>
      <c r="H709" s="54"/>
      <c r="I709" s="55"/>
      <c r="J709" s="55"/>
      <c r="K709" s="55"/>
      <c r="L709" s="56"/>
      <c r="M709" s="56"/>
      <c r="N709" s="49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</row>
    <row r="710" spans="1:37" x14ac:dyDescent="0.25">
      <c r="A710" s="46"/>
      <c r="B710" s="114"/>
      <c r="C710" s="191"/>
      <c r="D710" s="191"/>
      <c r="E710" s="116"/>
      <c r="F710" s="52"/>
      <c r="G710" s="55"/>
      <c r="H710" s="54"/>
      <c r="I710" s="55"/>
      <c r="J710" s="55"/>
      <c r="K710" s="55"/>
      <c r="L710" s="56"/>
      <c r="M710" s="56"/>
      <c r="N710" s="49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</row>
    <row r="711" spans="1:37" x14ac:dyDescent="0.25">
      <c r="A711" s="46"/>
      <c r="B711" s="114"/>
      <c r="C711" s="191"/>
      <c r="D711" s="191"/>
      <c r="E711" s="116"/>
      <c r="F711" s="52"/>
      <c r="G711" s="55"/>
      <c r="H711" s="54"/>
      <c r="I711" s="55"/>
      <c r="J711" s="55"/>
      <c r="K711" s="55"/>
      <c r="L711" s="56"/>
      <c r="M711" s="56"/>
      <c r="N711" s="49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</row>
    <row r="712" spans="1:37" x14ac:dyDescent="0.25">
      <c r="A712" s="46"/>
      <c r="B712" s="114"/>
      <c r="C712" s="191"/>
      <c r="D712" s="191"/>
      <c r="E712" s="116"/>
      <c r="F712" s="52"/>
      <c r="G712" s="55"/>
      <c r="H712" s="54"/>
      <c r="I712" s="55"/>
      <c r="J712" s="55"/>
      <c r="K712" s="55"/>
      <c r="L712" s="56"/>
      <c r="M712" s="56"/>
      <c r="N712" s="49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</row>
    <row r="713" spans="1:37" x14ac:dyDescent="0.25">
      <c r="A713" s="46"/>
      <c r="B713" s="114"/>
      <c r="C713" s="191"/>
      <c r="D713" s="191"/>
      <c r="E713" s="116"/>
      <c r="F713" s="52"/>
      <c r="G713" s="55"/>
      <c r="H713" s="54"/>
      <c r="I713" s="55"/>
      <c r="J713" s="55"/>
      <c r="K713" s="55"/>
      <c r="L713" s="56"/>
      <c r="M713" s="56"/>
      <c r="N713" s="49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</row>
    <row r="714" spans="1:37" x14ac:dyDescent="0.25">
      <c r="A714" s="46"/>
      <c r="B714" s="114"/>
      <c r="C714" s="191"/>
      <c r="D714" s="191"/>
      <c r="E714" s="116"/>
      <c r="F714" s="52"/>
      <c r="G714" s="55"/>
      <c r="H714" s="54"/>
      <c r="I714" s="55"/>
      <c r="J714" s="55"/>
      <c r="K714" s="55"/>
      <c r="L714" s="56"/>
      <c r="M714" s="56"/>
      <c r="N714" s="49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</row>
    <row r="715" spans="1:37" x14ac:dyDescent="0.25">
      <c r="A715" s="46"/>
      <c r="B715" s="114"/>
      <c r="C715" s="191"/>
      <c r="D715" s="191"/>
      <c r="E715" s="116"/>
      <c r="F715" s="52"/>
      <c r="G715" s="55"/>
      <c r="H715" s="54"/>
      <c r="I715" s="55"/>
      <c r="J715" s="55"/>
      <c r="K715" s="55"/>
      <c r="L715" s="56"/>
      <c r="M715" s="56"/>
      <c r="N715" s="49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</row>
    <row r="716" spans="1:37" x14ac:dyDescent="0.25">
      <c r="A716" s="46"/>
      <c r="B716" s="114"/>
      <c r="C716" s="191"/>
      <c r="D716" s="191"/>
      <c r="E716" s="116"/>
      <c r="F716" s="52"/>
      <c r="G716" s="55"/>
      <c r="H716" s="54"/>
      <c r="I716" s="55"/>
      <c r="J716" s="55"/>
      <c r="K716" s="55"/>
      <c r="L716" s="56"/>
      <c r="M716" s="56"/>
      <c r="N716" s="49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</row>
    <row r="717" spans="1:37" x14ac:dyDescent="0.25">
      <c r="A717" s="46"/>
      <c r="B717" s="114"/>
      <c r="C717" s="191"/>
      <c r="D717" s="191"/>
      <c r="E717" s="116"/>
      <c r="F717" s="52"/>
      <c r="G717" s="55"/>
      <c r="H717" s="54"/>
      <c r="I717" s="55"/>
      <c r="J717" s="55"/>
      <c r="K717" s="55"/>
      <c r="L717" s="56"/>
      <c r="M717" s="56"/>
      <c r="N717" s="49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</row>
    <row r="718" spans="1:37" x14ac:dyDescent="0.25">
      <c r="A718" s="46"/>
      <c r="B718" s="114"/>
      <c r="C718" s="191"/>
      <c r="D718" s="191"/>
      <c r="E718" s="116"/>
      <c r="F718" s="52"/>
      <c r="G718" s="55"/>
      <c r="H718" s="54"/>
      <c r="I718" s="55"/>
      <c r="J718" s="55"/>
      <c r="K718" s="55"/>
      <c r="L718" s="56"/>
      <c r="M718" s="56"/>
      <c r="N718" s="49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</row>
    <row r="719" spans="1:37" x14ac:dyDescent="0.25">
      <c r="A719" s="46"/>
      <c r="B719" s="114"/>
      <c r="C719" s="191"/>
      <c r="D719" s="191"/>
      <c r="E719" s="116"/>
      <c r="F719" s="52"/>
      <c r="G719" s="55"/>
      <c r="H719" s="54"/>
      <c r="I719" s="55"/>
      <c r="J719" s="55"/>
      <c r="K719" s="55"/>
      <c r="L719" s="56"/>
      <c r="M719" s="56"/>
      <c r="N719" s="49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</row>
    <row r="720" spans="1:37" x14ac:dyDescent="0.25">
      <c r="A720" s="46"/>
      <c r="B720" s="114"/>
      <c r="C720" s="191"/>
      <c r="D720" s="191"/>
      <c r="E720" s="116"/>
      <c r="F720" s="52"/>
      <c r="G720" s="55"/>
      <c r="H720" s="54"/>
      <c r="I720" s="55"/>
      <c r="J720" s="55"/>
      <c r="K720" s="55"/>
      <c r="L720" s="56"/>
      <c r="M720" s="56"/>
      <c r="N720" s="49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</row>
    <row r="721" spans="1:37" x14ac:dyDescent="0.25">
      <c r="A721" s="46"/>
      <c r="B721" s="114"/>
      <c r="C721" s="191"/>
      <c r="D721" s="191"/>
      <c r="E721" s="116"/>
      <c r="F721" s="52"/>
      <c r="G721" s="55"/>
      <c r="H721" s="54"/>
      <c r="I721" s="55"/>
      <c r="J721" s="55"/>
      <c r="K721" s="55"/>
      <c r="L721" s="56"/>
      <c r="M721" s="56"/>
      <c r="N721" s="49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</row>
    <row r="722" spans="1:37" x14ac:dyDescent="0.25">
      <c r="A722" s="46"/>
      <c r="B722" s="114"/>
      <c r="C722" s="191"/>
      <c r="D722" s="191"/>
      <c r="E722" s="116"/>
      <c r="F722" s="52"/>
      <c r="G722" s="55"/>
      <c r="H722" s="54"/>
      <c r="I722" s="55"/>
      <c r="J722" s="55"/>
      <c r="K722" s="55"/>
      <c r="L722" s="56"/>
      <c r="M722" s="56"/>
      <c r="N722" s="49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</row>
    <row r="723" spans="1:37" x14ac:dyDescent="0.25">
      <c r="A723" s="46"/>
      <c r="B723" s="114"/>
      <c r="C723" s="191"/>
      <c r="D723" s="191"/>
      <c r="E723" s="116"/>
      <c r="F723" s="52"/>
      <c r="G723" s="55"/>
      <c r="H723" s="54"/>
      <c r="I723" s="55"/>
      <c r="J723" s="55"/>
      <c r="K723" s="55"/>
      <c r="L723" s="56"/>
      <c r="M723" s="56"/>
      <c r="N723" s="49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</row>
    <row r="724" spans="1:37" x14ac:dyDescent="0.25">
      <c r="A724" s="46"/>
      <c r="B724" s="114"/>
      <c r="C724" s="191"/>
      <c r="D724" s="191"/>
      <c r="E724" s="116"/>
      <c r="F724" s="52"/>
      <c r="G724" s="55"/>
      <c r="H724" s="54"/>
      <c r="I724" s="55"/>
      <c r="J724" s="55"/>
      <c r="K724" s="55"/>
      <c r="L724" s="56"/>
      <c r="M724" s="56"/>
      <c r="N724" s="49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</row>
    <row r="725" spans="1:37" x14ac:dyDescent="0.25">
      <c r="A725" s="46"/>
      <c r="B725" s="114"/>
      <c r="C725" s="191"/>
      <c r="D725" s="191"/>
      <c r="E725" s="116"/>
      <c r="F725" s="52"/>
      <c r="G725" s="55"/>
      <c r="H725" s="54"/>
      <c r="I725" s="55"/>
      <c r="J725" s="55"/>
      <c r="K725" s="55"/>
      <c r="L725" s="56"/>
      <c r="M725" s="56"/>
      <c r="N725" s="49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</row>
    <row r="726" spans="1:37" x14ac:dyDescent="0.25">
      <c r="A726" s="46"/>
      <c r="B726" s="114"/>
      <c r="C726" s="191"/>
      <c r="D726" s="191"/>
      <c r="E726" s="116"/>
      <c r="F726" s="52"/>
      <c r="G726" s="55"/>
      <c r="H726" s="54"/>
      <c r="I726" s="55"/>
      <c r="J726" s="55"/>
      <c r="K726" s="55"/>
      <c r="L726" s="56"/>
      <c r="M726" s="56"/>
      <c r="N726" s="49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</row>
    <row r="727" spans="1:37" x14ac:dyDescent="0.25">
      <c r="A727" s="46"/>
      <c r="B727" s="114"/>
      <c r="C727" s="191"/>
      <c r="D727" s="191"/>
      <c r="E727" s="116"/>
      <c r="F727" s="52"/>
      <c r="G727" s="55"/>
      <c r="H727" s="54"/>
      <c r="I727" s="55"/>
      <c r="J727" s="55"/>
      <c r="K727" s="55"/>
      <c r="L727" s="56"/>
      <c r="M727" s="56"/>
      <c r="N727" s="49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</row>
    <row r="728" spans="1:37" x14ac:dyDescent="0.25">
      <c r="A728" s="46"/>
      <c r="B728" s="114"/>
      <c r="C728" s="191"/>
      <c r="D728" s="191"/>
      <c r="E728" s="116"/>
      <c r="F728" s="52"/>
      <c r="G728" s="55"/>
      <c r="H728" s="54"/>
      <c r="I728" s="55"/>
      <c r="J728" s="55"/>
      <c r="K728" s="55"/>
      <c r="L728" s="56"/>
      <c r="M728" s="56"/>
      <c r="N728" s="49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</row>
    <row r="729" spans="1:37" x14ac:dyDescent="0.25">
      <c r="A729" s="46"/>
      <c r="B729" s="114"/>
      <c r="C729" s="191"/>
      <c r="D729" s="191"/>
      <c r="E729" s="116"/>
      <c r="F729" s="52"/>
      <c r="G729" s="55"/>
      <c r="H729" s="54"/>
      <c r="I729" s="55"/>
      <c r="J729" s="55"/>
      <c r="K729" s="55"/>
      <c r="L729" s="56"/>
      <c r="M729" s="56"/>
      <c r="N729" s="49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</row>
    <row r="730" spans="1:37" x14ac:dyDescent="0.25">
      <c r="A730" s="46"/>
      <c r="B730" s="114"/>
      <c r="C730" s="191"/>
      <c r="D730" s="191"/>
      <c r="E730" s="116"/>
      <c r="F730" s="52"/>
      <c r="G730" s="55"/>
      <c r="H730" s="54"/>
      <c r="I730" s="55"/>
      <c r="J730" s="55"/>
      <c r="K730" s="55"/>
      <c r="L730" s="56"/>
      <c r="M730" s="56"/>
      <c r="N730" s="49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</row>
    <row r="731" spans="1:37" x14ac:dyDescent="0.25">
      <c r="A731" s="46"/>
      <c r="B731" s="114"/>
      <c r="C731" s="191"/>
      <c r="D731" s="191"/>
      <c r="E731" s="116"/>
      <c r="F731" s="52"/>
      <c r="G731" s="55"/>
      <c r="H731" s="54"/>
      <c r="I731" s="55"/>
      <c r="J731" s="55"/>
      <c r="K731" s="55"/>
      <c r="L731" s="56"/>
      <c r="M731" s="56"/>
      <c r="N731" s="49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</row>
    <row r="732" spans="1:37" x14ac:dyDescent="0.25">
      <c r="A732" s="46"/>
      <c r="B732" s="114"/>
      <c r="C732" s="191"/>
      <c r="D732" s="191"/>
      <c r="E732" s="116"/>
      <c r="F732" s="52"/>
      <c r="G732" s="55"/>
      <c r="H732" s="54"/>
      <c r="I732" s="55"/>
      <c r="J732" s="55"/>
      <c r="K732" s="55"/>
      <c r="L732" s="56"/>
      <c r="M732" s="56"/>
      <c r="N732" s="49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</row>
    <row r="733" spans="1:37" x14ac:dyDescent="0.25">
      <c r="A733" s="46"/>
      <c r="B733" s="114"/>
      <c r="C733" s="191"/>
      <c r="D733" s="191"/>
      <c r="E733" s="116"/>
      <c r="F733" s="52"/>
      <c r="G733" s="55"/>
      <c r="H733" s="54"/>
      <c r="I733" s="55"/>
      <c r="J733" s="55"/>
      <c r="K733" s="55"/>
      <c r="L733" s="56"/>
      <c r="M733" s="56"/>
      <c r="N733" s="49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</row>
    <row r="734" spans="1:37" x14ac:dyDescent="0.25">
      <c r="A734" s="46"/>
      <c r="B734" s="114"/>
      <c r="C734" s="191"/>
      <c r="D734" s="191"/>
      <c r="E734" s="116"/>
      <c r="F734" s="52"/>
      <c r="G734" s="55"/>
      <c r="H734" s="54"/>
      <c r="I734" s="55"/>
      <c r="J734" s="55"/>
      <c r="K734" s="55"/>
      <c r="L734" s="56"/>
      <c r="M734" s="56"/>
      <c r="N734" s="49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</row>
    <row r="735" spans="1:37" x14ac:dyDescent="0.25">
      <c r="A735" s="46"/>
      <c r="B735" s="114"/>
      <c r="C735" s="191"/>
      <c r="D735" s="191"/>
      <c r="E735" s="116"/>
      <c r="F735" s="52"/>
      <c r="G735" s="55"/>
      <c r="H735" s="54"/>
      <c r="I735" s="55"/>
      <c r="J735" s="55"/>
      <c r="K735" s="55"/>
      <c r="L735" s="56"/>
      <c r="M735" s="56"/>
      <c r="N735" s="49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</row>
    <row r="736" spans="1:37" x14ac:dyDescent="0.25">
      <c r="A736" s="46"/>
      <c r="B736" s="114"/>
      <c r="C736" s="191"/>
      <c r="D736" s="191"/>
      <c r="E736" s="116"/>
      <c r="F736" s="52"/>
      <c r="G736" s="55"/>
      <c r="H736" s="54"/>
      <c r="I736" s="55"/>
      <c r="J736" s="55"/>
      <c r="K736" s="55"/>
      <c r="L736" s="56"/>
      <c r="M736" s="56"/>
      <c r="N736" s="49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</row>
    <row r="737" spans="1:37" x14ac:dyDescent="0.25">
      <c r="A737" s="46"/>
      <c r="B737" s="114"/>
      <c r="C737" s="191"/>
      <c r="D737" s="191"/>
      <c r="E737" s="116"/>
      <c r="F737" s="52"/>
      <c r="G737" s="55"/>
      <c r="H737" s="54"/>
      <c r="I737" s="55"/>
      <c r="J737" s="55"/>
      <c r="K737" s="55"/>
      <c r="L737" s="56"/>
      <c r="M737" s="56"/>
      <c r="N737" s="49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</row>
    <row r="738" spans="1:37" x14ac:dyDescent="0.25">
      <c r="A738" s="46"/>
      <c r="B738" s="114"/>
      <c r="C738" s="191"/>
      <c r="D738" s="191"/>
      <c r="E738" s="116"/>
      <c r="F738" s="52"/>
      <c r="G738" s="55"/>
      <c r="H738" s="54"/>
      <c r="I738" s="55"/>
      <c r="J738" s="55"/>
      <c r="K738" s="55"/>
      <c r="L738" s="56"/>
      <c r="M738" s="56"/>
      <c r="N738" s="49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</row>
    <row r="739" spans="1:37" x14ac:dyDescent="0.25">
      <c r="A739" s="46"/>
      <c r="B739" s="114"/>
      <c r="C739" s="191"/>
      <c r="D739" s="191"/>
      <c r="E739" s="116"/>
      <c r="F739" s="52"/>
      <c r="G739" s="55"/>
      <c r="H739" s="54"/>
      <c r="I739" s="55"/>
      <c r="J739" s="55"/>
      <c r="K739" s="55"/>
      <c r="L739" s="56"/>
      <c r="M739" s="56"/>
      <c r="N739" s="49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</row>
    <row r="740" spans="1:37" x14ac:dyDescent="0.25">
      <c r="A740" s="46"/>
      <c r="B740" s="114"/>
      <c r="C740" s="191"/>
      <c r="D740" s="191"/>
      <c r="E740" s="116"/>
      <c r="F740" s="52"/>
      <c r="G740" s="55"/>
      <c r="H740" s="54"/>
      <c r="I740" s="55"/>
      <c r="J740" s="55"/>
      <c r="K740" s="55"/>
      <c r="L740" s="56"/>
      <c r="M740" s="56"/>
      <c r="N740" s="49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</row>
    <row r="741" spans="1:37" x14ac:dyDescent="0.25">
      <c r="A741" s="46"/>
      <c r="B741" s="114"/>
      <c r="C741" s="191"/>
      <c r="D741" s="191"/>
      <c r="E741" s="116"/>
      <c r="F741" s="52"/>
      <c r="G741" s="55"/>
      <c r="H741" s="54"/>
      <c r="I741" s="55"/>
      <c r="J741" s="55"/>
      <c r="K741" s="55"/>
      <c r="L741" s="56"/>
      <c r="M741" s="56"/>
      <c r="N741" s="49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</row>
    <row r="742" spans="1:37" x14ac:dyDescent="0.25">
      <c r="A742" s="46"/>
      <c r="B742" s="114"/>
      <c r="C742" s="191"/>
      <c r="D742" s="191"/>
      <c r="E742" s="116"/>
      <c r="F742" s="52"/>
      <c r="G742" s="55"/>
      <c r="H742" s="54"/>
      <c r="I742" s="55"/>
      <c r="J742" s="55"/>
      <c r="K742" s="55"/>
      <c r="L742" s="56"/>
      <c r="M742" s="56"/>
      <c r="N742" s="49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</row>
    <row r="743" spans="1:37" x14ac:dyDescent="0.25">
      <c r="A743" s="46"/>
      <c r="B743" s="114"/>
      <c r="C743" s="191"/>
      <c r="D743" s="191"/>
      <c r="E743" s="116"/>
      <c r="F743" s="52"/>
      <c r="G743" s="55"/>
      <c r="H743" s="54"/>
      <c r="I743" s="55"/>
      <c r="J743" s="55"/>
      <c r="K743" s="55"/>
      <c r="L743" s="56"/>
      <c r="M743" s="56"/>
      <c r="N743" s="49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</row>
    <row r="744" spans="1:37" x14ac:dyDescent="0.25">
      <c r="A744" s="46"/>
      <c r="B744" s="114"/>
      <c r="C744" s="191"/>
      <c r="D744" s="191"/>
      <c r="E744" s="116"/>
      <c r="F744" s="52"/>
      <c r="G744" s="55"/>
      <c r="H744" s="54"/>
      <c r="I744" s="55"/>
      <c r="J744" s="55"/>
      <c r="K744" s="55"/>
      <c r="L744" s="56"/>
      <c r="M744" s="56"/>
      <c r="N744" s="49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</row>
    <row r="745" spans="1:37" x14ac:dyDescent="0.25">
      <c r="A745" s="46"/>
      <c r="B745" s="114"/>
      <c r="C745" s="191"/>
      <c r="D745" s="191"/>
      <c r="E745" s="116"/>
      <c r="F745" s="52"/>
      <c r="G745" s="55"/>
      <c r="H745" s="54"/>
      <c r="I745" s="55"/>
      <c r="J745" s="55"/>
      <c r="K745" s="55"/>
      <c r="L745" s="56"/>
      <c r="M745" s="56"/>
      <c r="N745" s="49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</row>
    <row r="746" spans="1:37" x14ac:dyDescent="0.25">
      <c r="A746" s="46"/>
      <c r="B746" s="114"/>
      <c r="C746" s="191"/>
      <c r="D746" s="191"/>
      <c r="E746" s="116"/>
      <c r="F746" s="52"/>
      <c r="G746" s="55"/>
      <c r="H746" s="54"/>
      <c r="I746" s="55"/>
      <c r="J746" s="55"/>
      <c r="K746" s="55"/>
      <c r="L746" s="56"/>
      <c r="M746" s="56"/>
      <c r="N746" s="49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</row>
    <row r="747" spans="1:37" x14ac:dyDescent="0.25">
      <c r="A747" s="46"/>
      <c r="B747" s="114"/>
      <c r="C747" s="191"/>
      <c r="D747" s="191"/>
      <c r="E747" s="116"/>
      <c r="F747" s="52"/>
      <c r="G747" s="55"/>
      <c r="H747" s="54"/>
      <c r="I747" s="55"/>
      <c r="J747" s="55"/>
      <c r="K747" s="55"/>
      <c r="L747" s="56"/>
      <c r="M747" s="56"/>
      <c r="N747" s="49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</row>
    <row r="748" spans="1:37" x14ac:dyDescent="0.25">
      <c r="A748" s="46"/>
      <c r="B748" s="114"/>
      <c r="C748" s="191"/>
      <c r="D748" s="191"/>
      <c r="E748" s="116"/>
      <c r="F748" s="52"/>
      <c r="G748" s="55"/>
      <c r="H748" s="54"/>
      <c r="I748" s="55"/>
      <c r="J748" s="55"/>
      <c r="K748" s="55"/>
      <c r="L748" s="56"/>
      <c r="M748" s="56"/>
      <c r="N748" s="49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</row>
    <row r="749" spans="1:37" x14ac:dyDescent="0.25">
      <c r="A749" s="46"/>
      <c r="B749" s="114"/>
      <c r="C749" s="191"/>
      <c r="D749" s="191"/>
      <c r="E749" s="116"/>
      <c r="F749" s="52"/>
      <c r="G749" s="55"/>
      <c r="H749" s="54"/>
      <c r="I749" s="55"/>
      <c r="J749" s="55"/>
      <c r="K749" s="55"/>
      <c r="L749" s="56"/>
      <c r="M749" s="56"/>
      <c r="N749" s="49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</row>
    <row r="750" spans="1:37" x14ac:dyDescent="0.25">
      <c r="A750" s="46"/>
      <c r="B750" s="114"/>
      <c r="C750" s="191"/>
      <c r="D750" s="191"/>
      <c r="E750" s="116"/>
      <c r="F750" s="52"/>
      <c r="G750" s="55"/>
      <c r="H750" s="54"/>
      <c r="I750" s="55"/>
      <c r="J750" s="55"/>
      <c r="K750" s="55"/>
      <c r="L750" s="56"/>
      <c r="M750" s="56"/>
      <c r="N750" s="49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</row>
    <row r="751" spans="1:37" x14ac:dyDescent="0.25">
      <c r="A751" s="46"/>
      <c r="B751" s="114"/>
      <c r="C751" s="191"/>
      <c r="D751" s="191"/>
      <c r="E751" s="116"/>
      <c r="F751" s="52"/>
      <c r="G751" s="55"/>
      <c r="H751" s="54"/>
      <c r="I751" s="55"/>
      <c r="J751" s="55"/>
      <c r="K751" s="55"/>
      <c r="L751" s="56"/>
      <c r="M751" s="56"/>
      <c r="N751" s="49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</row>
    <row r="752" spans="1:37" x14ac:dyDescent="0.25">
      <c r="A752" s="46"/>
      <c r="B752" s="114"/>
      <c r="C752" s="191"/>
      <c r="D752" s="191"/>
      <c r="E752" s="116"/>
      <c r="F752" s="52"/>
      <c r="G752" s="55"/>
      <c r="H752" s="54"/>
      <c r="I752" s="55"/>
      <c r="J752" s="55"/>
      <c r="K752" s="55"/>
      <c r="L752" s="56"/>
      <c r="M752" s="56"/>
      <c r="N752" s="49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</row>
    <row r="753" spans="1:37" x14ac:dyDescent="0.25">
      <c r="A753" s="46"/>
      <c r="B753" s="114"/>
      <c r="C753" s="191"/>
      <c r="D753" s="191"/>
      <c r="E753" s="116"/>
      <c r="F753" s="52"/>
      <c r="G753" s="55"/>
      <c r="H753" s="54"/>
      <c r="I753" s="55"/>
      <c r="J753" s="55"/>
      <c r="K753" s="55"/>
      <c r="L753" s="56"/>
      <c r="M753" s="56"/>
      <c r="N753" s="49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</row>
    <row r="754" spans="1:37" x14ac:dyDescent="0.25">
      <c r="A754" s="46"/>
      <c r="B754" s="114"/>
      <c r="C754" s="191"/>
      <c r="D754" s="191"/>
      <c r="E754" s="116"/>
      <c r="F754" s="52"/>
      <c r="G754" s="55"/>
      <c r="H754" s="54"/>
      <c r="I754" s="55"/>
      <c r="J754" s="55"/>
      <c r="K754" s="55"/>
      <c r="L754" s="56"/>
      <c r="M754" s="56"/>
      <c r="N754" s="49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</row>
    <row r="755" spans="1:37" x14ac:dyDescent="0.25">
      <c r="A755" s="46"/>
      <c r="B755" s="114"/>
      <c r="C755" s="191"/>
      <c r="D755" s="191"/>
      <c r="E755" s="116"/>
      <c r="F755" s="52"/>
      <c r="G755" s="55"/>
      <c r="H755" s="54"/>
      <c r="I755" s="55"/>
      <c r="J755" s="55"/>
      <c r="K755" s="55"/>
      <c r="L755" s="56"/>
      <c r="M755" s="56"/>
      <c r="N755" s="49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</row>
    <row r="756" spans="1:37" x14ac:dyDescent="0.25">
      <c r="A756" s="46"/>
      <c r="B756" s="114"/>
      <c r="C756" s="191"/>
      <c r="D756" s="191"/>
      <c r="E756" s="116"/>
      <c r="F756" s="52"/>
      <c r="G756" s="55"/>
      <c r="H756" s="54"/>
      <c r="I756" s="55"/>
      <c r="J756" s="55"/>
      <c r="K756" s="55"/>
      <c r="L756" s="56"/>
      <c r="M756" s="56"/>
      <c r="N756" s="49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</row>
    <row r="757" spans="1:37" x14ac:dyDescent="0.25">
      <c r="A757" s="46"/>
      <c r="B757" s="114"/>
      <c r="C757" s="191"/>
      <c r="D757" s="191"/>
      <c r="E757" s="116"/>
      <c r="F757" s="52"/>
      <c r="G757" s="55"/>
      <c r="H757" s="54"/>
      <c r="I757" s="55"/>
      <c r="J757" s="55"/>
      <c r="K757" s="55"/>
      <c r="L757" s="56"/>
      <c r="M757" s="56"/>
      <c r="N757" s="49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</row>
    <row r="758" spans="1:37" x14ac:dyDescent="0.25">
      <c r="A758" s="46"/>
      <c r="B758" s="114"/>
      <c r="C758" s="191"/>
      <c r="D758" s="191"/>
      <c r="E758" s="116"/>
      <c r="F758" s="52"/>
      <c r="G758" s="55"/>
      <c r="H758" s="54"/>
      <c r="I758" s="55"/>
      <c r="J758" s="55"/>
      <c r="K758" s="55"/>
      <c r="L758" s="56"/>
      <c r="M758" s="56"/>
      <c r="N758" s="49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</row>
    <row r="759" spans="1:37" x14ac:dyDescent="0.25">
      <c r="A759" s="46"/>
      <c r="B759" s="114"/>
      <c r="C759" s="191"/>
      <c r="D759" s="191"/>
      <c r="E759" s="116"/>
      <c r="F759" s="52"/>
      <c r="G759" s="55"/>
      <c r="H759" s="54"/>
      <c r="I759" s="55"/>
      <c r="J759" s="55"/>
      <c r="K759" s="55"/>
      <c r="L759" s="56"/>
      <c r="M759" s="56"/>
      <c r="N759" s="49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</row>
    <row r="760" spans="1:37" x14ac:dyDescent="0.25">
      <c r="A760" s="46"/>
      <c r="B760" s="114"/>
      <c r="C760" s="191"/>
      <c r="D760" s="191"/>
      <c r="E760" s="116"/>
      <c r="F760" s="52"/>
      <c r="G760" s="55"/>
      <c r="H760" s="54"/>
      <c r="I760" s="55"/>
      <c r="J760" s="55"/>
      <c r="K760" s="55"/>
      <c r="L760" s="56"/>
      <c r="M760" s="56"/>
      <c r="N760" s="49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</row>
    <row r="761" spans="1:37" x14ac:dyDescent="0.25">
      <c r="A761" s="46"/>
      <c r="B761" s="114"/>
      <c r="C761" s="191"/>
      <c r="D761" s="191"/>
      <c r="E761" s="116"/>
      <c r="F761" s="52"/>
      <c r="G761" s="55"/>
      <c r="H761" s="54"/>
      <c r="I761" s="55"/>
      <c r="J761" s="55"/>
      <c r="K761" s="55"/>
      <c r="L761" s="56"/>
      <c r="M761" s="56"/>
      <c r="N761" s="49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</row>
    <row r="762" spans="1:37" x14ac:dyDescent="0.25">
      <c r="A762" s="46"/>
      <c r="B762" s="114"/>
      <c r="C762" s="191"/>
      <c r="D762" s="191"/>
      <c r="E762" s="116"/>
      <c r="F762" s="52"/>
      <c r="G762" s="55"/>
      <c r="H762" s="54"/>
      <c r="I762" s="55"/>
      <c r="J762" s="55"/>
      <c r="K762" s="55"/>
      <c r="L762" s="56"/>
      <c r="M762" s="56"/>
      <c r="N762" s="49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</row>
    <row r="763" spans="1:37" x14ac:dyDescent="0.25">
      <c r="A763" s="46"/>
      <c r="B763" s="114"/>
      <c r="C763" s="191"/>
      <c r="D763" s="191"/>
      <c r="E763" s="116"/>
      <c r="F763" s="52"/>
      <c r="G763" s="55"/>
      <c r="H763" s="54"/>
      <c r="I763" s="55"/>
      <c r="J763" s="55"/>
      <c r="K763" s="55"/>
      <c r="L763" s="56"/>
      <c r="M763" s="56"/>
      <c r="N763" s="49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</row>
    <row r="764" spans="1:37" x14ac:dyDescent="0.25">
      <c r="A764" s="46"/>
      <c r="B764" s="114"/>
      <c r="C764" s="191"/>
      <c r="D764" s="191"/>
      <c r="E764" s="116"/>
      <c r="F764" s="52"/>
      <c r="G764" s="55"/>
      <c r="H764" s="54"/>
      <c r="I764" s="55"/>
      <c r="J764" s="55"/>
      <c r="K764" s="55"/>
      <c r="L764" s="56"/>
      <c r="M764" s="56"/>
      <c r="N764" s="49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</row>
    <row r="765" spans="1:37" x14ac:dyDescent="0.25">
      <c r="A765" s="46"/>
      <c r="B765" s="114"/>
      <c r="C765" s="191"/>
      <c r="D765" s="191"/>
      <c r="E765" s="116"/>
      <c r="F765" s="52"/>
      <c r="G765" s="55"/>
      <c r="H765" s="54"/>
      <c r="I765" s="55"/>
      <c r="J765" s="55"/>
      <c r="K765" s="55"/>
      <c r="L765" s="56"/>
      <c r="M765" s="56"/>
      <c r="N765" s="49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</row>
    <row r="766" spans="1:37" x14ac:dyDescent="0.25">
      <c r="A766" s="46"/>
      <c r="B766" s="114"/>
      <c r="C766" s="191"/>
      <c r="D766" s="191"/>
      <c r="E766" s="116"/>
      <c r="F766" s="52"/>
      <c r="G766" s="55"/>
      <c r="H766" s="54"/>
      <c r="I766" s="55"/>
      <c r="J766" s="55"/>
      <c r="K766" s="55"/>
      <c r="L766" s="56"/>
      <c r="M766" s="56"/>
      <c r="N766" s="49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</row>
    <row r="767" spans="1:37" x14ac:dyDescent="0.25">
      <c r="A767" s="46"/>
      <c r="B767" s="114"/>
      <c r="C767" s="191"/>
      <c r="D767" s="191"/>
      <c r="E767" s="116"/>
      <c r="F767" s="52"/>
      <c r="G767" s="55"/>
      <c r="H767" s="54"/>
      <c r="I767" s="55"/>
      <c r="J767" s="55"/>
      <c r="K767" s="55"/>
      <c r="L767" s="56"/>
      <c r="M767" s="56"/>
      <c r="N767" s="49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</row>
    <row r="768" spans="1:37" x14ac:dyDescent="0.25">
      <c r="A768" s="46"/>
      <c r="B768" s="114"/>
      <c r="C768" s="191"/>
      <c r="D768" s="191"/>
      <c r="E768" s="116"/>
      <c r="F768" s="52"/>
      <c r="G768" s="55"/>
      <c r="H768" s="54"/>
      <c r="I768" s="55"/>
      <c r="J768" s="55"/>
      <c r="K768" s="55"/>
      <c r="L768" s="56"/>
      <c r="M768" s="56"/>
      <c r="N768" s="49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</row>
    <row r="769" spans="1:37" x14ac:dyDescent="0.25">
      <c r="A769" s="46"/>
      <c r="B769" s="114"/>
      <c r="C769" s="191"/>
      <c r="D769" s="191"/>
      <c r="E769" s="116"/>
      <c r="F769" s="52"/>
      <c r="G769" s="55"/>
      <c r="H769" s="54"/>
      <c r="I769" s="55"/>
      <c r="J769" s="55"/>
      <c r="K769" s="55"/>
      <c r="L769" s="56"/>
      <c r="M769" s="56"/>
      <c r="N769" s="49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</row>
    <row r="770" spans="1:37" x14ac:dyDescent="0.25">
      <c r="A770" s="46"/>
      <c r="B770" s="114"/>
      <c r="C770" s="191"/>
      <c r="D770" s="191"/>
      <c r="E770" s="116"/>
      <c r="F770" s="52"/>
      <c r="G770" s="55"/>
      <c r="H770" s="54"/>
      <c r="I770" s="55"/>
      <c r="J770" s="55"/>
      <c r="K770" s="55"/>
      <c r="L770" s="56"/>
      <c r="M770" s="56"/>
      <c r="N770" s="49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</row>
    <row r="771" spans="1:37" x14ac:dyDescent="0.25">
      <c r="A771" s="46"/>
      <c r="B771" s="114"/>
      <c r="C771" s="191"/>
      <c r="D771" s="191"/>
      <c r="E771" s="116"/>
      <c r="F771" s="52"/>
      <c r="G771" s="55"/>
      <c r="H771" s="54"/>
      <c r="I771" s="55"/>
      <c r="J771" s="55"/>
      <c r="K771" s="55"/>
      <c r="L771" s="56"/>
      <c r="M771" s="56"/>
      <c r="N771" s="49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</row>
    <row r="772" spans="1:37" x14ac:dyDescent="0.25">
      <c r="A772" s="46"/>
      <c r="B772" s="114"/>
      <c r="C772" s="191"/>
      <c r="D772" s="191"/>
      <c r="E772" s="116"/>
      <c r="F772" s="52"/>
      <c r="G772" s="55"/>
      <c r="H772" s="54"/>
      <c r="I772" s="55"/>
      <c r="J772" s="55"/>
      <c r="K772" s="55"/>
      <c r="L772" s="56"/>
      <c r="M772" s="56"/>
      <c r="N772" s="49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</row>
    <row r="773" spans="1:37" x14ac:dyDescent="0.25">
      <c r="A773" s="46"/>
      <c r="B773" s="114"/>
      <c r="C773" s="191"/>
      <c r="D773" s="191"/>
      <c r="E773" s="116"/>
      <c r="F773" s="52"/>
      <c r="G773" s="55"/>
      <c r="H773" s="54"/>
      <c r="I773" s="55"/>
      <c r="J773" s="55"/>
      <c r="K773" s="55"/>
      <c r="L773" s="56"/>
      <c r="M773" s="56"/>
      <c r="N773" s="49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</row>
    <row r="774" spans="1:37" x14ac:dyDescent="0.25">
      <c r="A774" s="46"/>
      <c r="B774" s="114"/>
      <c r="C774" s="191"/>
      <c r="D774" s="191"/>
      <c r="E774" s="116"/>
      <c r="F774" s="52"/>
      <c r="G774" s="55"/>
      <c r="H774" s="54"/>
      <c r="I774" s="55"/>
      <c r="J774" s="55"/>
      <c r="K774" s="55"/>
      <c r="L774" s="56"/>
      <c r="M774" s="56"/>
      <c r="N774" s="49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</row>
    <row r="775" spans="1:37" x14ac:dyDescent="0.25">
      <c r="A775" s="46"/>
      <c r="B775" s="114"/>
      <c r="C775" s="191"/>
      <c r="D775" s="191"/>
      <c r="E775" s="116"/>
      <c r="F775" s="52"/>
      <c r="G775" s="55"/>
      <c r="H775" s="54"/>
      <c r="I775" s="55"/>
      <c r="J775" s="55"/>
      <c r="K775" s="55"/>
      <c r="L775" s="56"/>
      <c r="M775" s="56"/>
      <c r="N775" s="49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</row>
    <row r="776" spans="1:37" x14ac:dyDescent="0.25">
      <c r="A776" s="46"/>
      <c r="B776" s="114"/>
      <c r="C776" s="191"/>
      <c r="D776" s="191"/>
      <c r="E776" s="116"/>
      <c r="F776" s="52"/>
      <c r="G776" s="55"/>
      <c r="H776" s="54"/>
      <c r="I776" s="55"/>
      <c r="J776" s="55"/>
      <c r="K776" s="55"/>
      <c r="L776" s="56"/>
      <c r="M776" s="56"/>
      <c r="N776" s="49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</row>
    <row r="777" spans="1:37" x14ac:dyDescent="0.25">
      <c r="A777" s="46"/>
      <c r="B777" s="114"/>
      <c r="C777" s="191"/>
      <c r="D777" s="191"/>
      <c r="E777" s="116"/>
      <c r="F777" s="52"/>
      <c r="G777" s="55"/>
      <c r="H777" s="54"/>
      <c r="I777" s="55"/>
      <c r="J777" s="55"/>
      <c r="K777" s="55"/>
      <c r="L777" s="56"/>
      <c r="M777" s="56"/>
      <c r="N777" s="49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</row>
    <row r="778" spans="1:37" x14ac:dyDescent="0.25">
      <c r="A778" s="46"/>
      <c r="B778" s="114"/>
      <c r="C778" s="191"/>
      <c r="D778" s="191"/>
      <c r="E778" s="116"/>
      <c r="F778" s="52"/>
      <c r="G778" s="55"/>
      <c r="H778" s="54"/>
      <c r="I778" s="55"/>
      <c r="J778" s="55"/>
      <c r="K778" s="55"/>
      <c r="L778" s="56"/>
      <c r="M778" s="56"/>
      <c r="N778" s="49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</row>
    <row r="779" spans="1:37" x14ac:dyDescent="0.25">
      <c r="A779" s="46"/>
      <c r="B779" s="114"/>
      <c r="C779" s="191"/>
      <c r="D779" s="191"/>
      <c r="E779" s="116"/>
      <c r="F779" s="52"/>
      <c r="G779" s="55"/>
      <c r="H779" s="54"/>
      <c r="I779" s="55"/>
      <c r="J779" s="55"/>
      <c r="K779" s="55"/>
      <c r="L779" s="56"/>
      <c r="M779" s="56"/>
      <c r="N779" s="49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</row>
    <row r="780" spans="1:37" x14ac:dyDescent="0.25">
      <c r="A780" s="46"/>
      <c r="B780" s="114"/>
      <c r="C780" s="191"/>
      <c r="D780" s="191"/>
      <c r="E780" s="116"/>
      <c r="F780" s="52"/>
      <c r="G780" s="55"/>
      <c r="H780" s="54"/>
      <c r="I780" s="55"/>
      <c r="J780" s="55"/>
      <c r="K780" s="55"/>
      <c r="L780" s="56"/>
      <c r="M780" s="56"/>
      <c r="N780" s="49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</row>
    <row r="781" spans="1:37" x14ac:dyDescent="0.25">
      <c r="A781" s="46"/>
      <c r="B781" s="114"/>
      <c r="C781" s="191"/>
      <c r="D781" s="191"/>
      <c r="E781" s="116"/>
      <c r="F781" s="52"/>
      <c r="G781" s="55"/>
      <c r="H781" s="54"/>
      <c r="I781" s="55"/>
      <c r="J781" s="55"/>
      <c r="K781" s="55"/>
      <c r="L781" s="56"/>
      <c r="M781" s="56"/>
      <c r="N781" s="49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</row>
    <row r="782" spans="1:37" x14ac:dyDescent="0.25">
      <c r="A782" s="46"/>
      <c r="B782" s="114"/>
      <c r="C782" s="191"/>
      <c r="D782" s="191"/>
      <c r="E782" s="116"/>
      <c r="F782" s="52"/>
      <c r="G782" s="55"/>
      <c r="H782" s="54"/>
      <c r="I782" s="55"/>
      <c r="J782" s="55"/>
      <c r="K782" s="55"/>
      <c r="L782" s="56"/>
      <c r="M782" s="56"/>
      <c r="N782" s="49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</row>
    <row r="783" spans="1:37" x14ac:dyDescent="0.25">
      <c r="A783" s="46"/>
      <c r="B783" s="114"/>
      <c r="C783" s="191"/>
      <c r="D783" s="191"/>
      <c r="E783" s="116"/>
      <c r="F783" s="52"/>
      <c r="G783" s="55"/>
      <c r="H783" s="54"/>
      <c r="I783" s="55"/>
      <c r="J783" s="55"/>
      <c r="K783" s="55"/>
      <c r="L783" s="56"/>
      <c r="M783" s="56"/>
      <c r="N783" s="49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</row>
    <row r="784" spans="1:37" x14ac:dyDescent="0.25">
      <c r="A784" s="46"/>
      <c r="B784" s="114"/>
      <c r="C784" s="191"/>
      <c r="D784" s="191"/>
      <c r="E784" s="116"/>
      <c r="F784" s="52"/>
      <c r="G784" s="55"/>
      <c r="H784" s="54"/>
      <c r="I784" s="55"/>
      <c r="J784" s="55"/>
      <c r="K784" s="55"/>
      <c r="L784" s="56"/>
      <c r="M784" s="56"/>
      <c r="N784" s="49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</row>
    <row r="785" spans="1:37" x14ac:dyDescent="0.25">
      <c r="A785" s="46"/>
      <c r="B785" s="114"/>
      <c r="C785" s="191"/>
      <c r="D785" s="191"/>
      <c r="E785" s="116"/>
      <c r="F785" s="52"/>
      <c r="G785" s="55"/>
      <c r="H785" s="54"/>
      <c r="I785" s="55"/>
      <c r="J785" s="55"/>
      <c r="K785" s="55"/>
      <c r="L785" s="56"/>
      <c r="M785" s="56"/>
      <c r="N785" s="49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</row>
    <row r="786" spans="1:37" x14ac:dyDescent="0.25">
      <c r="A786" s="46"/>
      <c r="B786" s="114"/>
      <c r="C786" s="191"/>
      <c r="D786" s="191"/>
      <c r="E786" s="116"/>
      <c r="F786" s="52"/>
      <c r="G786" s="55"/>
      <c r="H786" s="54"/>
      <c r="I786" s="55"/>
      <c r="J786" s="55"/>
      <c r="K786" s="55"/>
      <c r="L786" s="56"/>
      <c r="M786" s="56"/>
      <c r="N786" s="49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</row>
    <row r="787" spans="1:37" x14ac:dyDescent="0.25">
      <c r="A787" s="46"/>
      <c r="B787" s="114"/>
      <c r="C787" s="191"/>
      <c r="D787" s="191"/>
      <c r="E787" s="116"/>
      <c r="F787" s="52"/>
      <c r="G787" s="55"/>
      <c r="H787" s="54"/>
      <c r="I787" s="55"/>
      <c r="J787" s="55"/>
      <c r="K787" s="55"/>
      <c r="L787" s="56"/>
      <c r="M787" s="56"/>
      <c r="N787" s="49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</row>
    <row r="788" spans="1:37" x14ac:dyDescent="0.25">
      <c r="A788" s="46"/>
      <c r="B788" s="114"/>
      <c r="C788" s="191"/>
      <c r="D788" s="191"/>
      <c r="E788" s="116"/>
      <c r="F788" s="52"/>
      <c r="G788" s="55"/>
      <c r="H788" s="54"/>
      <c r="I788" s="55"/>
      <c r="J788" s="55"/>
      <c r="K788" s="55"/>
      <c r="L788" s="56"/>
      <c r="M788" s="56"/>
      <c r="N788" s="49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</row>
    <row r="789" spans="1:37" x14ac:dyDescent="0.25">
      <c r="A789" s="46"/>
      <c r="B789" s="114"/>
      <c r="C789" s="191"/>
      <c r="D789" s="191"/>
      <c r="E789" s="116"/>
      <c r="F789" s="52"/>
      <c r="G789" s="55"/>
      <c r="H789" s="54"/>
      <c r="I789" s="55"/>
      <c r="J789" s="55"/>
      <c r="K789" s="55"/>
      <c r="L789" s="56"/>
      <c r="M789" s="56"/>
      <c r="N789" s="49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</row>
    <row r="790" spans="1:37" x14ac:dyDescent="0.25">
      <c r="A790" s="46"/>
      <c r="B790" s="114"/>
      <c r="C790" s="191"/>
      <c r="D790" s="191"/>
      <c r="E790" s="116"/>
      <c r="F790" s="52"/>
      <c r="G790" s="55"/>
      <c r="H790" s="54"/>
      <c r="I790" s="55"/>
      <c r="J790" s="55"/>
      <c r="K790" s="55"/>
      <c r="L790" s="56"/>
      <c r="M790" s="56"/>
      <c r="N790" s="49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</row>
    <row r="791" spans="1:37" x14ac:dyDescent="0.25">
      <c r="A791" s="46"/>
      <c r="B791" s="114"/>
      <c r="C791" s="191"/>
      <c r="D791" s="191"/>
      <c r="E791" s="116"/>
      <c r="F791" s="52"/>
      <c r="G791" s="55"/>
      <c r="H791" s="54"/>
      <c r="I791" s="55"/>
      <c r="J791" s="55"/>
      <c r="K791" s="55"/>
      <c r="L791" s="56"/>
      <c r="M791" s="56"/>
      <c r="N791" s="49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</row>
    <row r="792" spans="1:37" x14ac:dyDescent="0.25">
      <c r="A792" s="46"/>
      <c r="B792" s="114"/>
      <c r="C792" s="191"/>
      <c r="D792" s="191"/>
      <c r="E792" s="116"/>
      <c r="F792" s="52"/>
      <c r="G792" s="55"/>
      <c r="H792" s="54"/>
      <c r="I792" s="55"/>
      <c r="J792" s="55"/>
      <c r="K792" s="55"/>
      <c r="L792" s="56"/>
      <c r="M792" s="56"/>
      <c r="N792" s="49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</row>
    <row r="793" spans="1:37" x14ac:dyDescent="0.25">
      <c r="A793" s="46"/>
      <c r="B793" s="114"/>
      <c r="C793" s="191"/>
      <c r="D793" s="191"/>
      <c r="E793" s="116"/>
      <c r="F793" s="52"/>
      <c r="G793" s="55"/>
      <c r="H793" s="54"/>
      <c r="I793" s="55"/>
      <c r="J793" s="55"/>
      <c r="K793" s="55"/>
      <c r="L793" s="56"/>
      <c r="M793" s="56"/>
      <c r="N793" s="49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</row>
    <row r="794" spans="1:37" x14ac:dyDescent="0.25">
      <c r="A794" s="46"/>
      <c r="B794" s="114"/>
      <c r="C794" s="191"/>
      <c r="D794" s="191"/>
      <c r="E794" s="116"/>
      <c r="F794" s="52"/>
      <c r="G794" s="55"/>
      <c r="H794" s="54"/>
      <c r="I794" s="55"/>
      <c r="J794" s="55"/>
      <c r="K794" s="55"/>
      <c r="L794" s="56"/>
      <c r="M794" s="56"/>
      <c r="N794" s="49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</row>
    <row r="795" spans="1:37" x14ac:dyDescent="0.25">
      <c r="A795" s="46"/>
      <c r="B795" s="114"/>
      <c r="C795" s="191"/>
      <c r="D795" s="191"/>
      <c r="E795" s="116"/>
      <c r="F795" s="52"/>
      <c r="G795" s="55"/>
      <c r="H795" s="54"/>
      <c r="I795" s="55"/>
      <c r="J795" s="55"/>
      <c r="K795" s="55"/>
      <c r="L795" s="56"/>
      <c r="M795" s="56"/>
      <c r="N795" s="49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</row>
    <row r="796" spans="1:37" x14ac:dyDescent="0.25">
      <c r="A796" s="46"/>
      <c r="B796" s="114"/>
      <c r="C796" s="191"/>
      <c r="D796" s="191"/>
      <c r="E796" s="116"/>
      <c r="F796" s="52"/>
      <c r="G796" s="55"/>
      <c r="H796" s="54"/>
      <c r="I796" s="55"/>
      <c r="J796" s="55"/>
      <c r="K796" s="55"/>
      <c r="L796" s="56"/>
      <c r="M796" s="56"/>
      <c r="N796" s="49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</row>
    <row r="797" spans="1:37" x14ac:dyDescent="0.25">
      <c r="A797" s="46"/>
      <c r="B797" s="114"/>
      <c r="C797" s="191"/>
      <c r="D797" s="191"/>
      <c r="E797" s="116"/>
      <c r="F797" s="52"/>
      <c r="G797" s="55"/>
      <c r="H797" s="54"/>
      <c r="I797" s="55"/>
      <c r="J797" s="55"/>
      <c r="K797" s="55"/>
      <c r="L797" s="56"/>
      <c r="M797" s="56"/>
      <c r="N797" s="49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</row>
    <row r="798" spans="1:37" x14ac:dyDescent="0.25">
      <c r="A798" s="46"/>
      <c r="B798" s="114"/>
      <c r="C798" s="191"/>
      <c r="D798" s="191"/>
      <c r="E798" s="116"/>
      <c r="F798" s="52"/>
      <c r="G798" s="55"/>
      <c r="H798" s="54"/>
      <c r="I798" s="55"/>
      <c r="J798" s="55"/>
      <c r="K798" s="55"/>
      <c r="L798" s="56"/>
      <c r="M798" s="56"/>
      <c r="N798" s="49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</row>
    <row r="799" spans="1:37" x14ac:dyDescent="0.25">
      <c r="A799" s="46"/>
      <c r="B799" s="114"/>
      <c r="C799" s="191"/>
      <c r="D799" s="191"/>
      <c r="E799" s="116"/>
      <c r="F799" s="52"/>
      <c r="G799" s="55"/>
      <c r="H799" s="54"/>
      <c r="I799" s="55"/>
      <c r="J799" s="55"/>
      <c r="K799" s="55"/>
      <c r="L799" s="56"/>
      <c r="M799" s="56"/>
      <c r="N799" s="49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</row>
    <row r="800" spans="1:37" x14ac:dyDescent="0.25">
      <c r="A800" s="46"/>
      <c r="B800" s="114"/>
      <c r="C800" s="191"/>
      <c r="D800" s="191"/>
      <c r="E800" s="116"/>
      <c r="F800" s="52"/>
      <c r="G800" s="55"/>
      <c r="H800" s="54"/>
      <c r="I800" s="55"/>
      <c r="J800" s="55"/>
      <c r="K800" s="55"/>
      <c r="L800" s="56"/>
      <c r="M800" s="56"/>
      <c r="N800" s="49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</row>
    <row r="801" spans="1:37" x14ac:dyDescent="0.25">
      <c r="A801" s="46"/>
      <c r="B801" s="114"/>
      <c r="C801" s="191"/>
      <c r="D801" s="191"/>
      <c r="E801" s="116"/>
      <c r="F801" s="52"/>
      <c r="G801" s="55"/>
      <c r="H801" s="54"/>
      <c r="I801" s="55"/>
      <c r="J801" s="55"/>
      <c r="K801" s="55"/>
      <c r="L801" s="56"/>
      <c r="M801" s="56"/>
      <c r="N801" s="49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</row>
    <row r="802" spans="1:37" x14ac:dyDescent="0.25">
      <c r="A802" s="46"/>
      <c r="B802" s="114"/>
      <c r="C802" s="191"/>
      <c r="D802" s="191"/>
      <c r="E802" s="116"/>
      <c r="F802" s="52"/>
      <c r="G802" s="55"/>
      <c r="H802" s="54"/>
      <c r="I802" s="55"/>
      <c r="J802" s="55"/>
      <c r="K802" s="55"/>
      <c r="L802" s="56"/>
      <c r="M802" s="56"/>
      <c r="N802" s="49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</row>
    <row r="803" spans="1:37" x14ac:dyDescent="0.25">
      <c r="A803" s="46"/>
      <c r="B803" s="114"/>
      <c r="C803" s="191"/>
      <c r="D803" s="191"/>
      <c r="E803" s="116"/>
      <c r="F803" s="52"/>
      <c r="G803" s="55"/>
      <c r="H803" s="54"/>
      <c r="I803" s="55"/>
      <c r="J803" s="55"/>
      <c r="K803" s="55"/>
      <c r="L803" s="56"/>
      <c r="M803" s="56"/>
      <c r="N803" s="49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</row>
    <row r="804" spans="1:37" x14ac:dyDescent="0.25">
      <c r="A804" s="46"/>
      <c r="B804" s="114"/>
      <c r="C804" s="191"/>
      <c r="D804" s="191"/>
      <c r="E804" s="116"/>
      <c r="F804" s="52"/>
      <c r="G804" s="55"/>
      <c r="H804" s="54"/>
      <c r="I804" s="55"/>
      <c r="J804" s="55"/>
      <c r="K804" s="55"/>
      <c r="L804" s="56"/>
      <c r="M804" s="56"/>
      <c r="N804" s="49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</row>
    <row r="805" spans="1:37" x14ac:dyDescent="0.25">
      <c r="A805" s="46"/>
      <c r="B805" s="114"/>
      <c r="C805" s="191"/>
      <c r="D805" s="191"/>
      <c r="E805" s="116"/>
      <c r="F805" s="52"/>
      <c r="G805" s="55"/>
      <c r="H805" s="54"/>
      <c r="I805" s="55"/>
      <c r="J805" s="55"/>
      <c r="K805" s="55"/>
      <c r="L805" s="56"/>
      <c r="M805" s="56"/>
      <c r="N805" s="49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</row>
    <row r="806" spans="1:37" x14ac:dyDescent="0.25">
      <c r="A806" s="46"/>
      <c r="B806" s="114"/>
      <c r="C806" s="191"/>
      <c r="D806" s="191"/>
      <c r="E806" s="116"/>
      <c r="F806" s="52"/>
      <c r="G806" s="55"/>
      <c r="H806" s="54"/>
      <c r="I806" s="55"/>
      <c r="J806" s="55"/>
      <c r="K806" s="55"/>
      <c r="L806" s="56"/>
      <c r="M806" s="56"/>
      <c r="N806" s="49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</row>
    <row r="807" spans="1:37" x14ac:dyDescent="0.25">
      <c r="A807" s="46"/>
      <c r="B807" s="114"/>
      <c r="C807" s="191"/>
      <c r="D807" s="191"/>
      <c r="E807" s="116"/>
      <c r="F807" s="52"/>
      <c r="G807" s="55"/>
      <c r="H807" s="54"/>
      <c r="I807" s="55"/>
      <c r="J807" s="55"/>
      <c r="K807" s="55"/>
      <c r="L807" s="56"/>
      <c r="M807" s="56"/>
      <c r="N807" s="49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</row>
    <row r="808" spans="1:37" x14ac:dyDescent="0.25">
      <c r="A808" s="46"/>
      <c r="B808" s="114"/>
      <c r="C808" s="191"/>
      <c r="D808" s="191"/>
      <c r="E808" s="116"/>
      <c r="F808" s="52"/>
      <c r="G808" s="55"/>
      <c r="H808" s="54"/>
      <c r="I808" s="55"/>
      <c r="J808" s="55"/>
      <c r="K808" s="55"/>
      <c r="L808" s="56"/>
      <c r="M808" s="56"/>
      <c r="N808" s="49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</row>
    <row r="809" spans="1:37" x14ac:dyDescent="0.25">
      <c r="A809" s="46"/>
      <c r="B809" s="114"/>
      <c r="C809" s="191"/>
      <c r="D809" s="191"/>
      <c r="E809" s="116"/>
      <c r="F809" s="52"/>
      <c r="G809" s="55"/>
      <c r="H809" s="54"/>
      <c r="I809" s="55"/>
      <c r="J809" s="55"/>
      <c r="K809" s="55"/>
      <c r="L809" s="56"/>
      <c r="M809" s="56"/>
      <c r="N809" s="49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</row>
    <row r="810" spans="1:37" x14ac:dyDescent="0.25">
      <c r="A810" s="46"/>
      <c r="B810" s="114"/>
      <c r="C810" s="191"/>
      <c r="D810" s="191"/>
      <c r="E810" s="116"/>
      <c r="F810" s="52"/>
      <c r="G810" s="55"/>
      <c r="H810" s="54"/>
      <c r="I810" s="55"/>
      <c r="J810" s="55"/>
      <c r="K810" s="55"/>
      <c r="L810" s="56"/>
      <c r="M810" s="56"/>
      <c r="N810" s="49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</row>
    <row r="811" spans="1:37" x14ac:dyDescent="0.25">
      <c r="A811" s="46"/>
      <c r="B811" s="114"/>
      <c r="C811" s="191"/>
      <c r="D811" s="191"/>
      <c r="E811" s="116"/>
      <c r="F811" s="52"/>
      <c r="G811" s="55"/>
      <c r="H811" s="54"/>
      <c r="I811" s="55"/>
      <c r="J811" s="55"/>
      <c r="K811" s="55"/>
      <c r="L811" s="56"/>
      <c r="M811" s="56"/>
      <c r="N811" s="49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</row>
    <row r="812" spans="1:37" x14ac:dyDescent="0.25">
      <c r="A812" s="46"/>
      <c r="B812" s="114"/>
      <c r="C812" s="191"/>
      <c r="D812" s="191"/>
      <c r="E812" s="116"/>
      <c r="F812" s="52"/>
      <c r="G812" s="55"/>
      <c r="H812" s="54"/>
      <c r="I812" s="55"/>
      <c r="J812" s="55"/>
      <c r="K812" s="55"/>
      <c r="L812" s="56"/>
      <c r="M812" s="56"/>
      <c r="N812" s="49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</row>
    <row r="813" spans="1:37" x14ac:dyDescent="0.25">
      <c r="A813" s="46"/>
      <c r="B813" s="114"/>
      <c r="C813" s="191"/>
      <c r="D813" s="191"/>
      <c r="E813" s="116"/>
      <c r="F813" s="52"/>
      <c r="G813" s="55"/>
      <c r="H813" s="54"/>
      <c r="I813" s="55"/>
      <c r="J813" s="55"/>
      <c r="K813" s="55"/>
      <c r="L813" s="56"/>
      <c r="M813" s="56"/>
      <c r="N813" s="49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</row>
    <row r="814" spans="1:37" x14ac:dyDescent="0.25">
      <c r="A814" s="46"/>
      <c r="B814" s="114"/>
      <c r="C814" s="191"/>
      <c r="D814" s="191"/>
      <c r="E814" s="116"/>
      <c r="F814" s="52"/>
      <c r="G814" s="55"/>
      <c r="H814" s="54"/>
      <c r="I814" s="55"/>
      <c r="J814" s="55"/>
      <c r="K814" s="55"/>
      <c r="L814" s="56"/>
      <c r="M814" s="56"/>
      <c r="N814" s="49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</row>
    <row r="815" spans="1:37" x14ac:dyDescent="0.25">
      <c r="A815" s="46"/>
      <c r="B815" s="114"/>
      <c r="C815" s="191"/>
      <c r="D815" s="191"/>
      <c r="E815" s="116"/>
      <c r="F815" s="52"/>
      <c r="G815" s="55"/>
      <c r="H815" s="54"/>
      <c r="I815" s="55"/>
      <c r="J815" s="55"/>
      <c r="K815" s="55"/>
      <c r="L815" s="56"/>
      <c r="M815" s="56"/>
      <c r="N815" s="49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</row>
    <row r="816" spans="1:37" x14ac:dyDescent="0.25">
      <c r="A816" s="46"/>
      <c r="B816" s="114"/>
      <c r="C816" s="191"/>
      <c r="D816" s="191"/>
      <c r="E816" s="116"/>
      <c r="F816" s="52"/>
      <c r="G816" s="55"/>
      <c r="H816" s="54"/>
      <c r="I816" s="55"/>
      <c r="J816" s="55"/>
      <c r="K816" s="55"/>
      <c r="L816" s="56"/>
      <c r="M816" s="56"/>
      <c r="N816" s="49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</row>
    <row r="817" spans="1:37" x14ac:dyDescent="0.25">
      <c r="A817" s="46"/>
      <c r="B817" s="114"/>
      <c r="C817" s="191"/>
      <c r="D817" s="191"/>
      <c r="E817" s="116"/>
      <c r="F817" s="52"/>
      <c r="G817" s="55"/>
      <c r="H817" s="54"/>
      <c r="I817" s="55"/>
      <c r="J817" s="55"/>
      <c r="K817" s="55"/>
      <c r="L817" s="56"/>
      <c r="M817" s="56"/>
      <c r="N817" s="49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</row>
    <row r="818" spans="1:37" x14ac:dyDescent="0.25">
      <c r="A818" s="46"/>
      <c r="B818" s="114"/>
      <c r="C818" s="191"/>
      <c r="D818" s="191"/>
      <c r="E818" s="116"/>
      <c r="F818" s="52"/>
      <c r="G818" s="55"/>
      <c r="H818" s="54"/>
      <c r="I818" s="55"/>
      <c r="J818" s="55"/>
      <c r="K818" s="55"/>
      <c r="L818" s="56"/>
      <c r="M818" s="56"/>
      <c r="N818" s="49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</row>
    <row r="819" spans="1:37" x14ac:dyDescent="0.25">
      <c r="A819" s="46"/>
      <c r="B819" s="114"/>
      <c r="C819" s="191"/>
      <c r="D819" s="191"/>
      <c r="E819" s="116"/>
      <c r="F819" s="52"/>
      <c r="G819" s="55"/>
      <c r="H819" s="54"/>
      <c r="I819" s="55"/>
      <c r="J819" s="55"/>
      <c r="K819" s="55"/>
      <c r="L819" s="56"/>
      <c r="M819" s="56"/>
      <c r="N819" s="49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</row>
    <row r="820" spans="1:37" x14ac:dyDescent="0.25">
      <c r="A820" s="46"/>
      <c r="B820" s="114"/>
      <c r="C820" s="191"/>
      <c r="D820" s="191"/>
      <c r="E820" s="116"/>
      <c r="F820" s="52"/>
      <c r="G820" s="55"/>
      <c r="H820" s="54"/>
      <c r="I820" s="55"/>
      <c r="J820" s="55"/>
      <c r="K820" s="55"/>
      <c r="L820" s="56"/>
      <c r="M820" s="56"/>
      <c r="N820" s="49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</row>
    <row r="821" spans="1:37" x14ac:dyDescent="0.25">
      <c r="A821" s="46"/>
      <c r="B821" s="114"/>
      <c r="C821" s="191"/>
      <c r="D821" s="191"/>
      <c r="E821" s="116"/>
      <c r="F821" s="52"/>
      <c r="G821" s="55"/>
      <c r="H821" s="54"/>
      <c r="I821" s="55"/>
      <c r="J821" s="55"/>
      <c r="K821" s="55"/>
      <c r="L821" s="56"/>
      <c r="M821" s="56"/>
      <c r="N821" s="49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</row>
    <row r="822" spans="1:37" x14ac:dyDescent="0.25">
      <c r="A822" s="46"/>
      <c r="B822" s="114"/>
      <c r="C822" s="191"/>
      <c r="D822" s="191"/>
      <c r="E822" s="116"/>
      <c r="F822" s="52"/>
      <c r="G822" s="55"/>
      <c r="H822" s="54"/>
      <c r="I822" s="55"/>
      <c r="J822" s="55"/>
      <c r="K822" s="55"/>
      <c r="L822" s="56"/>
      <c r="M822" s="56"/>
      <c r="N822" s="49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</row>
    <row r="823" spans="1:37" x14ac:dyDescent="0.25">
      <c r="A823" s="46"/>
      <c r="B823" s="114"/>
      <c r="C823" s="191"/>
      <c r="D823" s="191"/>
      <c r="E823" s="116"/>
      <c r="F823" s="52"/>
      <c r="G823" s="55"/>
      <c r="H823" s="54"/>
      <c r="I823" s="55"/>
      <c r="J823" s="55"/>
      <c r="K823" s="55"/>
      <c r="L823" s="56"/>
      <c r="M823" s="56"/>
      <c r="N823" s="49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</row>
    <row r="824" spans="1:37" x14ac:dyDescent="0.25">
      <c r="A824" s="46"/>
      <c r="B824" s="114"/>
      <c r="C824" s="191"/>
      <c r="D824" s="191"/>
      <c r="E824" s="116"/>
      <c r="F824" s="52"/>
      <c r="G824" s="55"/>
      <c r="H824" s="54"/>
      <c r="I824" s="55"/>
      <c r="J824" s="55"/>
      <c r="K824" s="55"/>
      <c r="L824" s="56"/>
      <c r="M824" s="56"/>
      <c r="N824" s="49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</row>
    <row r="825" spans="1:37" x14ac:dyDescent="0.25">
      <c r="A825" s="46"/>
      <c r="B825" s="114"/>
      <c r="C825" s="191"/>
      <c r="D825" s="191"/>
      <c r="E825" s="116"/>
      <c r="F825" s="52"/>
      <c r="G825" s="55"/>
      <c r="H825" s="54"/>
      <c r="I825" s="55"/>
      <c r="J825" s="55"/>
      <c r="K825" s="55"/>
      <c r="L825" s="56"/>
      <c r="M825" s="56"/>
      <c r="N825" s="49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</row>
    <row r="826" spans="1:37" x14ac:dyDescent="0.25">
      <c r="A826" s="46"/>
      <c r="B826" s="114"/>
      <c r="C826" s="191"/>
      <c r="D826" s="191"/>
      <c r="E826" s="116"/>
      <c r="F826" s="52"/>
      <c r="G826" s="55"/>
      <c r="H826" s="54"/>
      <c r="I826" s="55"/>
      <c r="J826" s="55"/>
      <c r="K826" s="55"/>
      <c r="L826" s="56"/>
      <c r="M826" s="56"/>
      <c r="N826" s="49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</row>
    <row r="827" spans="1:37" x14ac:dyDescent="0.25">
      <c r="A827" s="46"/>
      <c r="B827" s="114"/>
      <c r="C827" s="191"/>
      <c r="D827" s="191"/>
      <c r="E827" s="116"/>
      <c r="F827" s="52"/>
      <c r="G827" s="55"/>
      <c r="H827" s="54"/>
      <c r="I827" s="55"/>
      <c r="J827" s="55"/>
      <c r="K827" s="55"/>
      <c r="L827" s="56"/>
      <c r="M827" s="56"/>
      <c r="N827" s="49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</row>
    <row r="828" spans="1:37" x14ac:dyDescent="0.25">
      <c r="A828" s="46"/>
      <c r="B828" s="114"/>
      <c r="C828" s="191"/>
      <c r="D828" s="191"/>
      <c r="E828" s="116"/>
      <c r="F828" s="52"/>
      <c r="G828" s="55"/>
      <c r="H828" s="54"/>
      <c r="I828" s="55"/>
      <c r="J828" s="55"/>
      <c r="K828" s="55"/>
      <c r="L828" s="56"/>
      <c r="M828" s="56"/>
      <c r="N828" s="49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</row>
    <row r="829" spans="1:37" x14ac:dyDescent="0.25">
      <c r="A829" s="46"/>
      <c r="B829" s="114"/>
      <c r="C829" s="191"/>
      <c r="D829" s="191"/>
      <c r="E829" s="116"/>
      <c r="F829" s="52"/>
      <c r="G829" s="55"/>
      <c r="H829" s="54"/>
      <c r="I829" s="55"/>
      <c r="J829" s="55"/>
      <c r="K829" s="55"/>
      <c r="L829" s="56"/>
      <c r="M829" s="56"/>
      <c r="N829" s="49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</row>
    <row r="830" spans="1:37" x14ac:dyDescent="0.25">
      <c r="A830" s="46"/>
      <c r="B830" s="114"/>
      <c r="C830" s="191"/>
      <c r="D830" s="191"/>
      <c r="E830" s="116"/>
      <c r="F830" s="52"/>
      <c r="G830" s="55"/>
      <c r="H830" s="54"/>
      <c r="I830" s="55"/>
      <c r="J830" s="55"/>
      <c r="K830" s="55"/>
      <c r="L830" s="56"/>
      <c r="M830" s="56"/>
      <c r="N830" s="49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</row>
    <row r="831" spans="1:37" x14ac:dyDescent="0.25">
      <c r="A831" s="46"/>
      <c r="B831" s="114"/>
      <c r="C831" s="191"/>
      <c r="D831" s="191"/>
      <c r="E831" s="116"/>
      <c r="F831" s="52"/>
      <c r="G831" s="55"/>
      <c r="H831" s="54"/>
      <c r="I831" s="55"/>
      <c r="J831" s="55"/>
      <c r="K831" s="55"/>
      <c r="L831" s="56"/>
      <c r="M831" s="56"/>
      <c r="N831" s="49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</row>
    <row r="832" spans="1:37" x14ac:dyDescent="0.25">
      <c r="A832" s="46"/>
      <c r="B832" s="114"/>
      <c r="C832" s="191"/>
      <c r="D832" s="191"/>
      <c r="E832" s="116"/>
      <c r="F832" s="52"/>
      <c r="G832" s="55"/>
      <c r="H832" s="54"/>
      <c r="I832" s="55"/>
      <c r="J832" s="55"/>
      <c r="K832" s="55"/>
      <c r="L832" s="56"/>
      <c r="M832" s="56"/>
      <c r="N832" s="49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</row>
    <row r="833" spans="1:37" x14ac:dyDescent="0.25">
      <c r="A833" s="46"/>
      <c r="B833" s="114"/>
      <c r="C833" s="191"/>
      <c r="D833" s="191"/>
      <c r="E833" s="116"/>
      <c r="F833" s="52"/>
      <c r="G833" s="55"/>
      <c r="H833" s="54"/>
      <c r="I833" s="55"/>
      <c r="J833" s="55"/>
      <c r="K833" s="55"/>
      <c r="L833" s="56"/>
      <c r="M833" s="56"/>
      <c r="N833" s="49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</row>
    <row r="834" spans="1:37" x14ac:dyDescent="0.25">
      <c r="A834" s="46"/>
      <c r="B834" s="114"/>
      <c r="C834" s="191"/>
      <c r="D834" s="191"/>
      <c r="E834" s="116"/>
      <c r="F834" s="52"/>
      <c r="G834" s="55"/>
      <c r="H834" s="54"/>
      <c r="I834" s="55"/>
      <c r="J834" s="55"/>
      <c r="K834" s="55"/>
      <c r="L834" s="56"/>
      <c r="M834" s="56"/>
      <c r="N834" s="49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</row>
    <row r="835" spans="1:37" x14ac:dyDescent="0.25">
      <c r="A835" s="46"/>
      <c r="B835" s="114"/>
      <c r="C835" s="191"/>
      <c r="D835" s="191"/>
      <c r="E835" s="116"/>
      <c r="F835" s="52"/>
      <c r="G835" s="55"/>
      <c r="H835" s="54"/>
      <c r="I835" s="55"/>
      <c r="J835" s="55"/>
      <c r="K835" s="55"/>
      <c r="L835" s="56"/>
      <c r="M835" s="56"/>
      <c r="N835" s="49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</row>
    <row r="836" spans="1:37" x14ac:dyDescent="0.25">
      <c r="A836" s="46"/>
      <c r="B836" s="114"/>
      <c r="C836" s="191"/>
      <c r="D836" s="191"/>
      <c r="E836" s="116"/>
      <c r="F836" s="52"/>
      <c r="G836" s="55"/>
      <c r="H836" s="54"/>
      <c r="I836" s="55"/>
      <c r="J836" s="55"/>
      <c r="K836" s="55"/>
      <c r="L836" s="56"/>
      <c r="M836" s="56"/>
      <c r="N836" s="49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</row>
    <row r="837" spans="1:37" x14ac:dyDescent="0.25">
      <c r="A837" s="46"/>
      <c r="B837" s="114"/>
      <c r="C837" s="191"/>
      <c r="D837" s="191"/>
      <c r="E837" s="116"/>
      <c r="F837" s="52"/>
      <c r="G837" s="55"/>
      <c r="H837" s="54"/>
      <c r="I837" s="55"/>
      <c r="J837" s="55"/>
      <c r="K837" s="55"/>
      <c r="L837" s="56"/>
      <c r="M837" s="56"/>
      <c r="N837" s="49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</row>
    <row r="838" spans="1:37" x14ac:dyDescent="0.25">
      <c r="A838" s="46"/>
      <c r="B838" s="114"/>
      <c r="C838" s="191"/>
      <c r="D838" s="191"/>
      <c r="E838" s="116"/>
      <c r="F838" s="52"/>
      <c r="G838" s="55"/>
      <c r="H838" s="54"/>
      <c r="I838" s="55"/>
      <c r="J838" s="55"/>
      <c r="K838" s="55"/>
      <c r="L838" s="56"/>
      <c r="M838" s="56"/>
      <c r="N838" s="49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</row>
    <row r="839" spans="1:37" x14ac:dyDescent="0.25">
      <c r="A839" s="46"/>
      <c r="B839" s="114"/>
      <c r="C839" s="191"/>
      <c r="D839" s="191"/>
      <c r="E839" s="116"/>
      <c r="F839" s="52"/>
      <c r="G839" s="55"/>
      <c r="H839" s="54"/>
      <c r="I839" s="55"/>
      <c r="J839" s="55"/>
      <c r="K839" s="55"/>
      <c r="L839" s="56"/>
      <c r="M839" s="56"/>
      <c r="N839" s="49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</row>
    <row r="840" spans="1:37" x14ac:dyDescent="0.25">
      <c r="A840" s="46"/>
      <c r="B840" s="114"/>
      <c r="C840" s="191"/>
      <c r="D840" s="191"/>
      <c r="E840" s="116"/>
      <c r="F840" s="52"/>
      <c r="G840" s="55"/>
      <c r="H840" s="54"/>
      <c r="I840" s="55"/>
      <c r="J840" s="55"/>
      <c r="K840" s="55"/>
      <c r="L840" s="56"/>
      <c r="M840" s="56"/>
      <c r="N840" s="49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</row>
    <row r="841" spans="1:37" x14ac:dyDescent="0.25">
      <c r="A841" s="46"/>
      <c r="B841" s="114"/>
      <c r="C841" s="191"/>
      <c r="D841" s="191"/>
      <c r="E841" s="116"/>
      <c r="F841" s="52"/>
      <c r="G841" s="55"/>
      <c r="H841" s="54"/>
      <c r="I841" s="55"/>
      <c r="J841" s="55"/>
      <c r="K841" s="55"/>
      <c r="L841" s="56"/>
      <c r="M841" s="56"/>
      <c r="N841" s="49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</row>
    <row r="842" spans="1:37" x14ac:dyDescent="0.25">
      <c r="A842" s="46"/>
      <c r="B842" s="114"/>
      <c r="C842" s="191"/>
      <c r="D842" s="191"/>
      <c r="E842" s="116"/>
      <c r="F842" s="52"/>
      <c r="G842" s="55"/>
      <c r="H842" s="54"/>
      <c r="I842" s="55"/>
      <c r="J842" s="55"/>
      <c r="K842" s="55"/>
      <c r="L842" s="56"/>
      <c r="M842" s="56"/>
      <c r="N842" s="49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</row>
    <row r="843" spans="1:37" x14ac:dyDescent="0.25">
      <c r="A843" s="46"/>
      <c r="B843" s="114"/>
      <c r="C843" s="191"/>
      <c r="D843" s="191"/>
      <c r="E843" s="116"/>
      <c r="F843" s="52"/>
      <c r="G843" s="55"/>
      <c r="H843" s="54"/>
      <c r="I843" s="55"/>
      <c r="J843" s="55"/>
      <c r="K843" s="55"/>
      <c r="L843" s="56"/>
      <c r="M843" s="56"/>
      <c r="N843" s="49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</row>
    <row r="844" spans="1:37" x14ac:dyDescent="0.25">
      <c r="A844" s="46"/>
      <c r="B844" s="114"/>
      <c r="C844" s="191"/>
      <c r="D844" s="191"/>
      <c r="E844" s="116"/>
      <c r="F844" s="52"/>
      <c r="G844" s="55"/>
      <c r="H844" s="54"/>
      <c r="I844" s="55"/>
      <c r="J844" s="55"/>
      <c r="K844" s="55"/>
      <c r="L844" s="56"/>
      <c r="M844" s="56"/>
      <c r="N844" s="49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</row>
    <row r="845" spans="1:37" x14ac:dyDescent="0.25">
      <c r="A845" s="46"/>
      <c r="B845" s="114"/>
      <c r="C845" s="191"/>
      <c r="D845" s="191"/>
      <c r="E845" s="116"/>
      <c r="F845" s="52"/>
      <c r="G845" s="55"/>
      <c r="H845" s="54"/>
      <c r="I845" s="55"/>
      <c r="J845" s="55"/>
      <c r="K845" s="55"/>
      <c r="L845" s="56"/>
      <c r="M845" s="56"/>
      <c r="N845" s="49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</row>
    <row r="846" spans="1:37" x14ac:dyDescent="0.25">
      <c r="A846" s="46"/>
      <c r="B846" s="114"/>
      <c r="C846" s="191"/>
      <c r="D846" s="191"/>
      <c r="E846" s="116"/>
      <c r="F846" s="52"/>
      <c r="G846" s="55"/>
      <c r="H846" s="54"/>
      <c r="I846" s="55"/>
      <c r="J846" s="55"/>
      <c r="K846" s="55"/>
      <c r="L846" s="56"/>
      <c r="M846" s="56"/>
      <c r="N846" s="49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</row>
    <row r="847" spans="1:37" x14ac:dyDescent="0.25">
      <c r="A847" s="46"/>
      <c r="B847" s="114"/>
      <c r="C847" s="191"/>
      <c r="D847" s="191"/>
      <c r="E847" s="116"/>
      <c r="F847" s="52"/>
      <c r="G847" s="55"/>
      <c r="H847" s="54"/>
      <c r="I847" s="55"/>
      <c r="J847" s="55"/>
      <c r="K847" s="55"/>
      <c r="L847" s="56"/>
      <c r="M847" s="56"/>
      <c r="N847" s="49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</row>
    <row r="848" spans="1:37" x14ac:dyDescent="0.25">
      <c r="A848" s="46"/>
      <c r="B848" s="114"/>
      <c r="C848" s="191"/>
      <c r="D848" s="191"/>
      <c r="E848" s="116"/>
      <c r="F848" s="52"/>
      <c r="G848" s="55"/>
      <c r="H848" s="54"/>
      <c r="I848" s="55"/>
      <c r="J848" s="55"/>
      <c r="K848" s="55"/>
      <c r="L848" s="56"/>
      <c r="M848" s="56"/>
      <c r="N848" s="49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</row>
    <row r="849" spans="1:37" x14ac:dyDescent="0.25">
      <c r="A849" s="46"/>
      <c r="B849" s="114"/>
      <c r="C849" s="191"/>
      <c r="D849" s="191"/>
      <c r="E849" s="116"/>
      <c r="F849" s="52"/>
      <c r="G849" s="55"/>
      <c r="H849" s="54"/>
      <c r="I849" s="55"/>
      <c r="J849" s="55"/>
      <c r="K849" s="55"/>
      <c r="L849" s="56"/>
      <c r="M849" s="56"/>
      <c r="N849" s="49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</row>
    <row r="850" spans="1:37" x14ac:dyDescent="0.25">
      <c r="A850" s="46"/>
      <c r="B850" s="114"/>
      <c r="C850" s="191"/>
      <c r="D850" s="191"/>
      <c r="E850" s="116"/>
      <c r="F850" s="52"/>
      <c r="G850" s="55"/>
      <c r="H850" s="54"/>
      <c r="I850" s="55"/>
      <c r="J850" s="55"/>
      <c r="K850" s="55"/>
      <c r="L850" s="56"/>
      <c r="M850" s="56"/>
      <c r="N850" s="49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</row>
    <row r="851" spans="1:37" x14ac:dyDescent="0.25">
      <c r="A851" s="46"/>
      <c r="B851" s="114"/>
      <c r="C851" s="191"/>
      <c r="D851" s="191"/>
      <c r="E851" s="116"/>
      <c r="F851" s="52"/>
      <c r="G851" s="55"/>
      <c r="H851" s="54"/>
      <c r="I851" s="55"/>
      <c r="J851" s="55"/>
      <c r="K851" s="55"/>
      <c r="L851" s="56"/>
      <c r="M851" s="56"/>
      <c r="N851" s="49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</row>
    <row r="852" spans="1:37" x14ac:dyDescent="0.25">
      <c r="A852" s="46"/>
      <c r="B852" s="114"/>
      <c r="C852" s="191"/>
      <c r="D852" s="191"/>
      <c r="E852" s="116"/>
      <c r="F852" s="52"/>
      <c r="G852" s="55"/>
      <c r="H852" s="54"/>
      <c r="I852" s="55"/>
      <c r="J852" s="55"/>
      <c r="K852" s="55"/>
      <c r="L852" s="56"/>
      <c r="M852" s="56"/>
      <c r="N852" s="49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</row>
    <row r="853" spans="1:37" x14ac:dyDescent="0.25">
      <c r="A853" s="46"/>
      <c r="B853" s="114"/>
      <c r="C853" s="191"/>
      <c r="D853" s="191"/>
      <c r="E853" s="116"/>
      <c r="F853" s="52"/>
      <c r="G853" s="55"/>
      <c r="H853" s="54"/>
      <c r="I853" s="55"/>
      <c r="J853" s="55"/>
      <c r="K853" s="55"/>
      <c r="L853" s="56"/>
      <c r="M853" s="56"/>
      <c r="N853" s="49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</row>
    <row r="854" spans="1:37" x14ac:dyDescent="0.25">
      <c r="A854" s="46"/>
      <c r="B854" s="114"/>
      <c r="C854" s="191"/>
      <c r="D854" s="191"/>
      <c r="E854" s="116"/>
      <c r="F854" s="52"/>
      <c r="G854" s="55"/>
      <c r="H854" s="54"/>
      <c r="I854" s="55"/>
      <c r="J854" s="55"/>
      <c r="K854" s="55"/>
      <c r="L854" s="56"/>
      <c r="M854" s="56"/>
      <c r="N854" s="49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</row>
    <row r="855" spans="1:37" x14ac:dyDescent="0.25">
      <c r="A855" s="46"/>
      <c r="B855" s="114"/>
      <c r="C855" s="191"/>
      <c r="D855" s="191"/>
      <c r="E855" s="116"/>
      <c r="F855" s="52"/>
      <c r="G855" s="55"/>
      <c r="H855" s="54"/>
      <c r="I855" s="55"/>
      <c r="J855" s="55"/>
      <c r="K855" s="55"/>
      <c r="L855" s="56"/>
      <c r="M855" s="56"/>
      <c r="N855" s="49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</row>
    <row r="856" spans="1:37" x14ac:dyDescent="0.25">
      <c r="A856" s="46"/>
      <c r="B856" s="114"/>
      <c r="C856" s="191"/>
      <c r="D856" s="191"/>
      <c r="E856" s="116"/>
      <c r="F856" s="52"/>
      <c r="G856" s="55"/>
      <c r="H856" s="54"/>
      <c r="I856" s="55"/>
      <c r="J856" s="55"/>
      <c r="K856" s="55"/>
      <c r="L856" s="56"/>
      <c r="M856" s="56"/>
      <c r="N856" s="49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</row>
    <row r="857" spans="1:37" x14ac:dyDescent="0.25">
      <c r="A857" s="46"/>
      <c r="B857" s="114"/>
      <c r="C857" s="191"/>
      <c r="D857" s="191"/>
      <c r="E857" s="116"/>
      <c r="F857" s="52"/>
      <c r="G857" s="55"/>
      <c r="H857" s="54"/>
      <c r="I857" s="55"/>
      <c r="J857" s="55"/>
      <c r="K857" s="55"/>
      <c r="L857" s="56"/>
      <c r="M857" s="56"/>
      <c r="N857" s="49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</row>
    <row r="858" spans="1:37" x14ac:dyDescent="0.25">
      <c r="A858" s="46"/>
      <c r="B858" s="114"/>
      <c r="C858" s="191"/>
      <c r="D858" s="191"/>
      <c r="E858" s="116"/>
      <c r="F858" s="52"/>
      <c r="G858" s="55"/>
      <c r="H858" s="54"/>
      <c r="I858" s="55"/>
      <c r="J858" s="55"/>
      <c r="K858" s="55"/>
      <c r="L858" s="56"/>
      <c r="M858" s="56"/>
      <c r="N858" s="49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</row>
    <row r="859" spans="1:37" x14ac:dyDescent="0.25">
      <c r="A859" s="46"/>
      <c r="B859" s="114"/>
      <c r="C859" s="191"/>
      <c r="D859" s="191"/>
      <c r="E859" s="116"/>
      <c r="F859" s="52"/>
      <c r="G859" s="55"/>
      <c r="H859" s="54"/>
      <c r="I859" s="55"/>
      <c r="J859" s="55"/>
      <c r="K859" s="55"/>
      <c r="L859" s="56"/>
      <c r="M859" s="56"/>
      <c r="N859" s="49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</row>
    <row r="860" spans="1:37" x14ac:dyDescent="0.25">
      <c r="A860" s="46"/>
      <c r="B860" s="114"/>
      <c r="C860" s="191"/>
      <c r="D860" s="191"/>
      <c r="E860" s="116"/>
      <c r="F860" s="52"/>
      <c r="G860" s="55"/>
      <c r="H860" s="54"/>
      <c r="I860" s="55"/>
      <c r="J860" s="55"/>
      <c r="K860" s="55"/>
      <c r="L860" s="56"/>
      <c r="M860" s="56"/>
      <c r="N860" s="49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</row>
    <row r="861" spans="1:37" x14ac:dyDescent="0.25">
      <c r="A861" s="46"/>
      <c r="B861" s="114"/>
      <c r="C861" s="191"/>
      <c r="D861" s="191"/>
      <c r="E861" s="116"/>
      <c r="F861" s="52"/>
      <c r="G861" s="55"/>
      <c r="H861" s="54"/>
      <c r="I861" s="55"/>
      <c r="J861" s="55"/>
      <c r="K861" s="55"/>
      <c r="L861" s="56"/>
      <c r="M861" s="56"/>
      <c r="N861" s="49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</row>
    <row r="862" spans="1:37" x14ac:dyDescent="0.25">
      <c r="A862" s="46"/>
      <c r="B862" s="114"/>
      <c r="C862" s="191"/>
      <c r="D862" s="191"/>
      <c r="E862" s="116"/>
      <c r="F862" s="52"/>
      <c r="G862" s="55"/>
      <c r="H862" s="54"/>
      <c r="I862" s="55"/>
      <c r="J862" s="55"/>
      <c r="K862" s="55"/>
      <c r="L862" s="56"/>
      <c r="M862" s="56"/>
      <c r="N862" s="49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</row>
    <row r="863" spans="1:37" x14ac:dyDescent="0.25">
      <c r="A863" s="46"/>
      <c r="B863" s="114"/>
      <c r="C863" s="191"/>
      <c r="D863" s="191"/>
      <c r="E863" s="116"/>
      <c r="F863" s="52"/>
      <c r="G863" s="55"/>
      <c r="H863" s="54"/>
      <c r="I863" s="55"/>
      <c r="J863" s="55"/>
      <c r="K863" s="55"/>
      <c r="L863" s="56"/>
      <c r="M863" s="56"/>
      <c r="N863" s="49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</row>
    <row r="864" spans="1:37" x14ac:dyDescent="0.25">
      <c r="A864" s="46"/>
      <c r="B864" s="114"/>
      <c r="C864" s="191"/>
      <c r="D864" s="191"/>
      <c r="E864" s="116"/>
      <c r="F864" s="52"/>
      <c r="G864" s="55"/>
      <c r="H864" s="54"/>
      <c r="I864" s="55"/>
      <c r="J864" s="55"/>
      <c r="K864" s="55"/>
      <c r="L864" s="56"/>
      <c r="M864" s="56"/>
      <c r="N864" s="49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</row>
    <row r="865" spans="1:37" x14ac:dyDescent="0.25">
      <c r="A865" s="46"/>
      <c r="B865" s="114"/>
      <c r="C865" s="191"/>
      <c r="D865" s="191"/>
      <c r="E865" s="116"/>
      <c r="F865" s="52"/>
      <c r="G865" s="55"/>
      <c r="H865" s="54"/>
      <c r="I865" s="55"/>
      <c r="J865" s="55"/>
      <c r="K865" s="55"/>
      <c r="L865" s="56"/>
      <c r="M865" s="56"/>
      <c r="N865" s="49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</row>
    <row r="866" spans="1:37" x14ac:dyDescent="0.25">
      <c r="A866" s="46"/>
      <c r="B866" s="114"/>
      <c r="C866" s="191"/>
      <c r="D866" s="191"/>
      <c r="E866" s="116"/>
      <c r="F866" s="52"/>
      <c r="G866" s="55"/>
      <c r="H866" s="54"/>
      <c r="I866" s="55"/>
      <c r="J866" s="55"/>
      <c r="K866" s="55"/>
      <c r="L866" s="56"/>
      <c r="M866" s="56"/>
      <c r="N866" s="49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</row>
    <row r="867" spans="1:37" x14ac:dyDescent="0.25">
      <c r="A867" s="46"/>
      <c r="B867" s="114"/>
      <c r="C867" s="191"/>
      <c r="D867" s="191"/>
      <c r="E867" s="116"/>
      <c r="F867" s="52"/>
      <c r="G867" s="55"/>
      <c r="H867" s="54"/>
      <c r="I867" s="55"/>
      <c r="J867" s="55"/>
      <c r="K867" s="55"/>
      <c r="L867" s="56"/>
      <c r="M867" s="56"/>
      <c r="N867" s="49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</row>
    <row r="868" spans="1:37" x14ac:dyDescent="0.25">
      <c r="A868" s="46"/>
      <c r="B868" s="114"/>
      <c r="C868" s="191"/>
      <c r="D868" s="191"/>
      <c r="E868" s="116"/>
      <c r="F868" s="52"/>
      <c r="G868" s="55"/>
      <c r="H868" s="54"/>
      <c r="I868" s="55"/>
      <c r="J868" s="55"/>
      <c r="K868" s="55"/>
      <c r="L868" s="56"/>
      <c r="M868" s="56"/>
      <c r="N868" s="49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</row>
    <row r="869" spans="1:37" x14ac:dyDescent="0.25">
      <c r="A869" s="46"/>
      <c r="B869" s="114"/>
      <c r="C869" s="191"/>
      <c r="D869" s="191"/>
      <c r="E869" s="116"/>
      <c r="F869" s="52"/>
      <c r="G869" s="55"/>
      <c r="H869" s="54"/>
      <c r="I869" s="55"/>
      <c r="J869" s="55"/>
      <c r="K869" s="55"/>
      <c r="L869" s="56"/>
      <c r="M869" s="56"/>
      <c r="N869" s="49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</row>
    <row r="870" spans="1:37" x14ac:dyDescent="0.25">
      <c r="A870" s="46"/>
      <c r="B870" s="114"/>
      <c r="C870" s="191"/>
      <c r="D870" s="191"/>
      <c r="E870" s="116"/>
      <c r="F870" s="52"/>
      <c r="G870" s="55"/>
      <c r="H870" s="54"/>
      <c r="I870" s="55"/>
      <c r="J870" s="55"/>
      <c r="K870" s="55"/>
      <c r="L870" s="56"/>
      <c r="M870" s="56"/>
      <c r="N870" s="49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</row>
    <row r="871" spans="1:37" x14ac:dyDescent="0.25">
      <c r="A871" s="46"/>
      <c r="B871" s="114"/>
      <c r="C871" s="191"/>
      <c r="D871" s="191"/>
      <c r="E871" s="116"/>
      <c r="F871" s="52"/>
      <c r="G871" s="55"/>
      <c r="H871" s="54"/>
      <c r="I871" s="55"/>
      <c r="J871" s="55"/>
      <c r="K871" s="55"/>
      <c r="L871" s="56"/>
      <c r="M871" s="56"/>
      <c r="N871" s="49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</row>
    <row r="872" spans="1:37" x14ac:dyDescent="0.25">
      <c r="A872" s="46"/>
      <c r="B872" s="114"/>
      <c r="C872" s="191"/>
      <c r="D872" s="191"/>
      <c r="E872" s="116"/>
      <c r="F872" s="52"/>
      <c r="G872" s="55"/>
      <c r="H872" s="54"/>
      <c r="I872" s="55"/>
      <c r="J872" s="55"/>
      <c r="K872" s="55"/>
      <c r="L872" s="56"/>
      <c r="M872" s="56"/>
      <c r="N872" s="49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</row>
    <row r="873" spans="1:37" x14ac:dyDescent="0.25">
      <c r="A873" s="46"/>
      <c r="B873" s="114"/>
      <c r="C873" s="191"/>
      <c r="D873" s="191"/>
      <c r="E873" s="116"/>
      <c r="F873" s="52"/>
      <c r="G873" s="55"/>
      <c r="H873" s="54"/>
      <c r="I873" s="55"/>
      <c r="J873" s="55"/>
      <c r="K873" s="55"/>
      <c r="L873" s="56"/>
      <c r="M873" s="56"/>
      <c r="N873" s="49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</row>
    <row r="874" spans="1:37" x14ac:dyDescent="0.25">
      <c r="A874" s="46"/>
      <c r="B874" s="114"/>
      <c r="C874" s="191"/>
      <c r="D874" s="191"/>
      <c r="E874" s="116"/>
      <c r="F874" s="52"/>
      <c r="G874" s="55"/>
      <c r="H874" s="54"/>
      <c r="I874" s="55"/>
      <c r="J874" s="55"/>
      <c r="K874" s="55"/>
      <c r="L874" s="56"/>
      <c r="M874" s="56"/>
      <c r="N874" s="49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</row>
    <row r="875" spans="1:37" x14ac:dyDescent="0.25">
      <c r="A875" s="46"/>
      <c r="B875" s="114"/>
      <c r="C875" s="191"/>
      <c r="D875" s="191"/>
      <c r="E875" s="116"/>
      <c r="F875" s="52"/>
      <c r="G875" s="55"/>
      <c r="H875" s="54"/>
      <c r="I875" s="55"/>
      <c r="J875" s="55"/>
      <c r="K875" s="55"/>
      <c r="L875" s="56"/>
      <c r="M875" s="56"/>
      <c r="N875" s="49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</row>
    <row r="876" spans="1:37" x14ac:dyDescent="0.25">
      <c r="A876" s="46"/>
      <c r="B876" s="114"/>
      <c r="C876" s="191"/>
      <c r="D876" s="191"/>
      <c r="E876" s="116"/>
      <c r="F876" s="52"/>
      <c r="G876" s="55"/>
      <c r="H876" s="54"/>
      <c r="I876" s="55"/>
      <c r="J876" s="55"/>
      <c r="K876" s="55"/>
      <c r="L876" s="56"/>
      <c r="M876" s="56"/>
      <c r="N876" s="49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</row>
    <row r="877" spans="1:37" x14ac:dyDescent="0.25">
      <c r="A877" s="46"/>
      <c r="B877" s="114"/>
      <c r="C877" s="191"/>
      <c r="D877" s="191"/>
      <c r="E877" s="116"/>
      <c r="F877" s="52"/>
      <c r="G877" s="55"/>
      <c r="H877" s="54"/>
      <c r="I877" s="55"/>
      <c r="J877" s="55"/>
      <c r="K877" s="55"/>
      <c r="L877" s="56"/>
      <c r="M877" s="56"/>
      <c r="N877" s="49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</row>
    <row r="878" spans="1:37" x14ac:dyDescent="0.25">
      <c r="A878" s="46"/>
      <c r="B878" s="114"/>
      <c r="C878" s="191"/>
      <c r="D878" s="191"/>
      <c r="E878" s="116"/>
      <c r="F878" s="52"/>
      <c r="G878" s="55"/>
      <c r="H878" s="54"/>
      <c r="I878" s="55"/>
      <c r="J878" s="55"/>
      <c r="K878" s="55"/>
      <c r="L878" s="56"/>
      <c r="M878" s="56"/>
      <c r="N878" s="49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</row>
    <row r="879" spans="1:37" x14ac:dyDescent="0.25">
      <c r="A879" s="46"/>
      <c r="B879" s="114"/>
      <c r="C879" s="191"/>
      <c r="D879" s="191"/>
      <c r="E879" s="116"/>
      <c r="F879" s="52"/>
      <c r="G879" s="55"/>
      <c r="H879" s="54"/>
      <c r="I879" s="55"/>
      <c r="J879" s="55"/>
      <c r="K879" s="55"/>
      <c r="L879" s="56"/>
      <c r="M879" s="56"/>
      <c r="N879" s="49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</row>
    <row r="880" spans="1:37" x14ac:dyDescent="0.25">
      <c r="A880" s="46"/>
      <c r="B880" s="114"/>
      <c r="C880" s="191"/>
      <c r="D880" s="191"/>
      <c r="E880" s="116"/>
      <c r="F880" s="52"/>
      <c r="G880" s="55"/>
      <c r="H880" s="54"/>
      <c r="I880" s="55"/>
      <c r="J880" s="55"/>
      <c r="K880" s="55"/>
      <c r="L880" s="56"/>
      <c r="M880" s="56"/>
      <c r="N880" s="49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</row>
    <row r="881" spans="1:37" x14ac:dyDescent="0.25">
      <c r="A881" s="46"/>
      <c r="B881" s="114"/>
      <c r="C881" s="191"/>
      <c r="D881" s="191"/>
      <c r="E881" s="116"/>
      <c r="F881" s="52"/>
      <c r="G881" s="55"/>
      <c r="H881" s="54"/>
      <c r="I881" s="55"/>
      <c r="J881" s="55"/>
      <c r="K881" s="55"/>
      <c r="L881" s="56"/>
      <c r="M881" s="56"/>
      <c r="N881" s="49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</row>
    <row r="882" spans="1:37" x14ac:dyDescent="0.25">
      <c r="A882" s="46"/>
      <c r="B882" s="114"/>
      <c r="C882" s="191"/>
      <c r="D882" s="191"/>
      <c r="E882" s="116"/>
      <c r="F882" s="52"/>
      <c r="G882" s="55"/>
      <c r="H882" s="54"/>
      <c r="I882" s="55"/>
      <c r="J882" s="55"/>
      <c r="K882" s="55"/>
      <c r="L882" s="56"/>
      <c r="M882" s="56"/>
      <c r="N882" s="49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</row>
    <row r="883" spans="1:37" x14ac:dyDescent="0.25">
      <c r="A883" s="46"/>
      <c r="B883" s="114"/>
      <c r="C883" s="191"/>
      <c r="D883" s="191"/>
      <c r="E883" s="116"/>
      <c r="F883" s="52"/>
      <c r="G883" s="55"/>
      <c r="H883" s="54"/>
      <c r="I883" s="55"/>
      <c r="J883" s="55"/>
      <c r="K883" s="55"/>
      <c r="L883" s="56"/>
      <c r="M883" s="56"/>
      <c r="N883" s="49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</row>
    <row r="884" spans="1:37" x14ac:dyDescent="0.25">
      <c r="A884" s="46"/>
      <c r="B884" s="114"/>
      <c r="C884" s="191"/>
      <c r="D884" s="191"/>
      <c r="E884" s="116"/>
      <c r="F884" s="52"/>
      <c r="G884" s="55"/>
      <c r="H884" s="54"/>
      <c r="I884" s="55"/>
      <c r="J884" s="55"/>
      <c r="K884" s="55"/>
      <c r="L884" s="56"/>
      <c r="M884" s="56"/>
      <c r="N884" s="49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</row>
    <row r="885" spans="1:37" x14ac:dyDescent="0.25">
      <c r="A885" s="46"/>
      <c r="B885" s="114"/>
      <c r="C885" s="191"/>
      <c r="D885" s="191"/>
      <c r="E885" s="116"/>
      <c r="F885" s="52"/>
      <c r="G885" s="55"/>
      <c r="H885" s="54"/>
      <c r="I885" s="55"/>
      <c r="J885" s="55"/>
      <c r="K885" s="55"/>
      <c r="L885" s="56"/>
      <c r="M885" s="56"/>
      <c r="N885" s="49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</row>
    <row r="886" spans="1:37" x14ac:dyDescent="0.25">
      <c r="A886" s="46"/>
      <c r="B886" s="114"/>
      <c r="C886" s="191"/>
      <c r="D886" s="191"/>
      <c r="E886" s="116"/>
      <c r="F886" s="52"/>
      <c r="G886" s="55"/>
      <c r="H886" s="54"/>
      <c r="I886" s="55"/>
      <c r="J886" s="55"/>
      <c r="K886" s="55"/>
      <c r="L886" s="56"/>
      <c r="M886" s="56"/>
      <c r="N886" s="49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</row>
    <row r="887" spans="1:37" x14ac:dyDescent="0.25">
      <c r="A887" s="46"/>
      <c r="B887" s="114"/>
      <c r="C887" s="191"/>
      <c r="D887" s="191"/>
      <c r="E887" s="116"/>
      <c r="F887" s="52"/>
      <c r="G887" s="55"/>
      <c r="H887" s="54"/>
      <c r="I887" s="55"/>
      <c r="J887" s="55"/>
      <c r="K887" s="55"/>
      <c r="L887" s="56"/>
      <c r="M887" s="56"/>
      <c r="N887" s="49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</row>
    <row r="888" spans="1:37" x14ac:dyDescent="0.25">
      <c r="A888" s="46"/>
      <c r="B888" s="114"/>
      <c r="C888" s="191"/>
      <c r="D888" s="191"/>
      <c r="E888" s="116"/>
      <c r="F888" s="52"/>
      <c r="G888" s="55"/>
      <c r="H888" s="54"/>
      <c r="I888" s="55"/>
      <c r="J888" s="55"/>
      <c r="K888" s="55"/>
      <c r="L888" s="56"/>
      <c r="M888" s="56"/>
      <c r="N888" s="49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</row>
    <row r="889" spans="1:37" x14ac:dyDescent="0.25">
      <c r="A889" s="46"/>
      <c r="B889" s="114"/>
      <c r="C889" s="191"/>
      <c r="D889" s="191"/>
      <c r="E889" s="116"/>
      <c r="F889" s="52"/>
      <c r="G889" s="55"/>
      <c r="H889" s="54"/>
      <c r="I889" s="55"/>
      <c r="J889" s="55"/>
      <c r="K889" s="55"/>
      <c r="L889" s="56"/>
      <c r="M889" s="56"/>
      <c r="N889" s="49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</row>
    <row r="890" spans="1:37" x14ac:dyDescent="0.25">
      <c r="A890" s="46"/>
      <c r="B890" s="114"/>
      <c r="C890" s="191"/>
      <c r="D890" s="191"/>
      <c r="E890" s="116"/>
      <c r="F890" s="52"/>
      <c r="G890" s="55"/>
      <c r="H890" s="54"/>
      <c r="I890" s="55"/>
      <c r="J890" s="55"/>
      <c r="K890" s="55"/>
      <c r="L890" s="56"/>
      <c r="M890" s="56"/>
      <c r="N890" s="49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</row>
    <row r="891" spans="1:37" x14ac:dyDescent="0.25">
      <c r="A891" s="46"/>
      <c r="B891" s="114"/>
      <c r="C891" s="191"/>
      <c r="D891" s="191"/>
      <c r="E891" s="116"/>
      <c r="F891" s="52"/>
      <c r="G891" s="55"/>
      <c r="H891" s="54"/>
      <c r="I891" s="55"/>
      <c r="J891" s="55"/>
      <c r="K891" s="55"/>
      <c r="L891" s="56"/>
      <c r="M891" s="56"/>
      <c r="N891" s="49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</row>
    <row r="892" spans="1:37" x14ac:dyDescent="0.25">
      <c r="A892" s="46"/>
      <c r="B892" s="114"/>
      <c r="C892" s="191"/>
      <c r="D892" s="191"/>
      <c r="E892" s="116"/>
      <c r="F892" s="52"/>
      <c r="G892" s="55"/>
      <c r="H892" s="54"/>
      <c r="I892" s="55"/>
      <c r="J892" s="55"/>
      <c r="K892" s="55"/>
      <c r="L892" s="56"/>
      <c r="M892" s="56"/>
      <c r="N892" s="49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</row>
    <row r="893" spans="1:37" x14ac:dyDescent="0.25">
      <c r="A893" s="46"/>
      <c r="B893" s="114"/>
      <c r="C893" s="191"/>
      <c r="D893" s="191"/>
      <c r="E893" s="116"/>
      <c r="F893" s="52"/>
      <c r="G893" s="55"/>
      <c r="H893" s="54"/>
      <c r="I893" s="55"/>
      <c r="J893" s="55"/>
      <c r="K893" s="55"/>
      <c r="L893" s="56"/>
      <c r="M893" s="56"/>
      <c r="N893" s="49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</row>
    <row r="894" spans="1:37" x14ac:dyDescent="0.25">
      <c r="A894" s="46"/>
      <c r="B894" s="114"/>
      <c r="C894" s="191"/>
      <c r="D894" s="191"/>
      <c r="E894" s="116"/>
      <c r="F894" s="52"/>
      <c r="G894" s="55"/>
      <c r="H894" s="54"/>
      <c r="I894" s="55"/>
      <c r="J894" s="55"/>
      <c r="K894" s="55"/>
      <c r="L894" s="56"/>
      <c r="M894" s="56"/>
      <c r="N894" s="49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</row>
    <row r="895" spans="1:37" x14ac:dyDescent="0.25">
      <c r="A895" s="46"/>
      <c r="B895" s="114"/>
      <c r="C895" s="191"/>
      <c r="D895" s="191"/>
      <c r="E895" s="116"/>
      <c r="F895" s="52"/>
      <c r="G895" s="55"/>
      <c r="H895" s="54"/>
      <c r="I895" s="55"/>
      <c r="J895" s="55"/>
      <c r="K895" s="55"/>
      <c r="L895" s="56"/>
      <c r="M895" s="56"/>
      <c r="N895" s="49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</row>
    <row r="896" spans="1:37" x14ac:dyDescent="0.25">
      <c r="A896" s="46"/>
      <c r="B896" s="114"/>
      <c r="C896" s="191"/>
      <c r="D896" s="191"/>
      <c r="E896" s="116"/>
      <c r="F896" s="52"/>
      <c r="G896" s="55"/>
      <c r="H896" s="54"/>
      <c r="I896" s="55"/>
      <c r="J896" s="55"/>
      <c r="K896" s="55"/>
      <c r="L896" s="56"/>
      <c r="M896" s="56"/>
      <c r="N896" s="49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</row>
    <row r="897" spans="1:37" x14ac:dyDescent="0.25">
      <c r="A897" s="46"/>
      <c r="B897" s="114"/>
      <c r="C897" s="191"/>
      <c r="D897" s="191"/>
      <c r="E897" s="116"/>
      <c r="F897" s="52"/>
      <c r="G897" s="55"/>
      <c r="H897" s="54"/>
      <c r="I897" s="55"/>
      <c r="J897" s="55"/>
      <c r="K897" s="55"/>
      <c r="L897" s="56"/>
      <c r="M897" s="56"/>
      <c r="N897" s="49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</row>
    <row r="898" spans="1:37" x14ac:dyDescent="0.25">
      <c r="A898" s="46"/>
      <c r="B898" s="114"/>
      <c r="C898" s="191"/>
      <c r="D898" s="191"/>
      <c r="E898" s="116"/>
      <c r="F898" s="52"/>
      <c r="G898" s="55"/>
      <c r="H898" s="54"/>
      <c r="I898" s="55"/>
      <c r="J898" s="55"/>
      <c r="K898" s="55"/>
      <c r="L898" s="56"/>
      <c r="M898" s="56"/>
      <c r="N898" s="49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</row>
    <row r="899" spans="1:37" x14ac:dyDescent="0.25">
      <c r="A899" s="46"/>
      <c r="B899" s="114"/>
      <c r="C899" s="191"/>
      <c r="D899" s="191"/>
      <c r="E899" s="116"/>
      <c r="F899" s="52"/>
      <c r="G899" s="55"/>
      <c r="H899" s="54"/>
      <c r="I899" s="55"/>
      <c r="J899" s="55"/>
      <c r="K899" s="55"/>
      <c r="L899" s="56"/>
      <c r="M899" s="56"/>
      <c r="N899" s="49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</row>
    <row r="900" spans="1:37" x14ac:dyDescent="0.25">
      <c r="A900" s="46"/>
      <c r="B900" s="114"/>
      <c r="C900" s="191"/>
      <c r="D900" s="191"/>
      <c r="E900" s="116"/>
      <c r="F900" s="52"/>
      <c r="G900" s="55"/>
      <c r="H900" s="54"/>
      <c r="I900" s="55"/>
      <c r="J900" s="55"/>
      <c r="K900" s="55"/>
      <c r="L900" s="56"/>
      <c r="M900" s="56"/>
      <c r="N900" s="49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</row>
    <row r="901" spans="1:37" x14ac:dyDescent="0.25">
      <c r="A901" s="46"/>
      <c r="B901" s="114"/>
      <c r="C901" s="191"/>
      <c r="D901" s="191"/>
      <c r="E901" s="116"/>
      <c r="F901" s="52"/>
      <c r="G901" s="55"/>
      <c r="H901" s="54"/>
      <c r="I901" s="55"/>
      <c r="J901" s="55"/>
      <c r="K901" s="55"/>
      <c r="L901" s="56"/>
      <c r="M901" s="56"/>
      <c r="N901" s="49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</row>
    <row r="902" spans="1:37" x14ac:dyDescent="0.25">
      <c r="A902" s="46"/>
      <c r="B902" s="114"/>
      <c r="C902" s="191"/>
      <c r="D902" s="191"/>
      <c r="E902" s="116"/>
      <c r="F902" s="52"/>
      <c r="G902" s="55"/>
      <c r="H902" s="54"/>
      <c r="I902" s="55"/>
      <c r="J902" s="55"/>
      <c r="K902" s="55"/>
      <c r="L902" s="56"/>
      <c r="M902" s="56"/>
      <c r="N902" s="49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</row>
    <row r="903" spans="1:37" x14ac:dyDescent="0.25">
      <c r="A903" s="46"/>
      <c r="B903" s="114"/>
      <c r="C903" s="191"/>
      <c r="D903" s="191"/>
      <c r="E903" s="116"/>
      <c r="F903" s="52"/>
      <c r="G903" s="55"/>
      <c r="H903" s="54"/>
      <c r="I903" s="55"/>
      <c r="J903" s="55"/>
      <c r="K903" s="55"/>
      <c r="L903" s="56"/>
      <c r="M903" s="56"/>
      <c r="N903" s="49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</row>
    <row r="904" spans="1:37" x14ac:dyDescent="0.25">
      <c r="A904" s="46"/>
      <c r="B904" s="114"/>
      <c r="C904" s="191"/>
      <c r="D904" s="191"/>
      <c r="E904" s="116"/>
      <c r="F904" s="52"/>
      <c r="G904" s="55"/>
      <c r="H904" s="54"/>
      <c r="I904" s="55"/>
      <c r="J904" s="55"/>
      <c r="K904" s="55"/>
      <c r="L904" s="56"/>
      <c r="M904" s="56"/>
      <c r="N904" s="49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</row>
    <row r="905" spans="1:37" x14ac:dyDescent="0.25">
      <c r="A905" s="46"/>
      <c r="B905" s="114"/>
      <c r="C905" s="191"/>
      <c r="D905" s="191"/>
      <c r="E905" s="116"/>
      <c r="F905" s="52"/>
      <c r="G905" s="55"/>
      <c r="H905" s="54"/>
      <c r="I905" s="55"/>
      <c r="J905" s="55"/>
      <c r="K905" s="55"/>
      <c r="L905" s="56"/>
      <c r="M905" s="56"/>
      <c r="N905" s="49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</row>
    <row r="906" spans="1:37" x14ac:dyDescent="0.25">
      <c r="A906" s="46"/>
      <c r="B906" s="114"/>
      <c r="C906" s="191"/>
      <c r="D906" s="191"/>
      <c r="E906" s="116"/>
      <c r="F906" s="52"/>
      <c r="G906" s="55"/>
      <c r="H906" s="54"/>
      <c r="I906" s="55"/>
      <c r="J906" s="55"/>
      <c r="K906" s="55"/>
      <c r="L906" s="56"/>
      <c r="M906" s="56"/>
      <c r="N906" s="49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</row>
    <row r="907" spans="1:37" x14ac:dyDescent="0.25">
      <c r="A907" s="46"/>
      <c r="B907" s="114"/>
      <c r="C907" s="191"/>
      <c r="D907" s="191"/>
      <c r="E907" s="116"/>
      <c r="F907" s="52"/>
      <c r="G907" s="55"/>
      <c r="H907" s="54"/>
      <c r="I907" s="55"/>
      <c r="J907" s="55"/>
      <c r="K907" s="55"/>
      <c r="L907" s="56"/>
      <c r="M907" s="56"/>
      <c r="N907" s="49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</row>
    <row r="908" spans="1:37" x14ac:dyDescent="0.25">
      <c r="A908" s="46"/>
      <c r="B908" s="114"/>
      <c r="C908" s="191"/>
      <c r="D908" s="191"/>
      <c r="E908" s="116"/>
      <c r="F908" s="52"/>
      <c r="G908" s="55"/>
      <c r="H908" s="54"/>
      <c r="I908" s="55"/>
      <c r="J908" s="55"/>
      <c r="K908" s="55"/>
      <c r="L908" s="56"/>
      <c r="M908" s="56"/>
      <c r="N908" s="49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</row>
    <row r="909" spans="1:37" x14ac:dyDescent="0.25">
      <c r="A909" s="46"/>
      <c r="B909" s="114"/>
      <c r="C909" s="191"/>
      <c r="D909" s="191"/>
      <c r="E909" s="116"/>
      <c r="F909" s="52"/>
      <c r="G909" s="55"/>
      <c r="H909" s="54"/>
      <c r="I909" s="55"/>
      <c r="J909" s="55"/>
      <c r="K909" s="55"/>
      <c r="L909" s="56"/>
      <c r="M909" s="56"/>
      <c r="N909" s="49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</row>
    <row r="910" spans="1:37" x14ac:dyDescent="0.25">
      <c r="A910" s="46"/>
      <c r="B910" s="114"/>
      <c r="C910" s="191"/>
      <c r="D910" s="191"/>
      <c r="E910" s="116"/>
      <c r="F910" s="52"/>
      <c r="G910" s="55"/>
      <c r="H910" s="54"/>
      <c r="I910" s="55"/>
      <c r="J910" s="55"/>
      <c r="K910" s="55"/>
      <c r="L910" s="56"/>
      <c r="M910" s="56"/>
      <c r="N910" s="49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</row>
    <row r="911" spans="1:37" x14ac:dyDescent="0.25">
      <c r="A911" s="46"/>
      <c r="B911" s="114"/>
      <c r="C911" s="191"/>
      <c r="D911" s="191"/>
      <c r="E911" s="116"/>
      <c r="F911" s="52"/>
      <c r="G911" s="55"/>
      <c r="H911" s="54"/>
      <c r="I911" s="55"/>
      <c r="J911" s="55"/>
      <c r="K911" s="55"/>
      <c r="L911" s="56"/>
      <c r="M911" s="56"/>
      <c r="N911" s="49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</row>
    <row r="912" spans="1:37" x14ac:dyDescent="0.25">
      <c r="A912" s="46"/>
      <c r="B912" s="114"/>
      <c r="C912" s="191"/>
      <c r="D912" s="191"/>
      <c r="E912" s="116"/>
      <c r="F912" s="52"/>
      <c r="G912" s="55"/>
      <c r="H912" s="54"/>
      <c r="I912" s="55"/>
      <c r="J912" s="55"/>
      <c r="K912" s="55"/>
      <c r="L912" s="56"/>
      <c r="M912" s="56"/>
      <c r="N912" s="49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</row>
    <row r="913" spans="1:37" x14ac:dyDescent="0.25">
      <c r="A913" s="46"/>
      <c r="B913" s="114"/>
      <c r="C913" s="191"/>
      <c r="D913" s="191"/>
      <c r="E913" s="116"/>
      <c r="F913" s="52"/>
      <c r="G913" s="55"/>
      <c r="H913" s="54"/>
      <c r="I913" s="55"/>
      <c r="J913" s="55"/>
      <c r="K913" s="55"/>
      <c r="L913" s="56"/>
      <c r="M913" s="56"/>
      <c r="N913" s="49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</row>
    <row r="914" spans="1:37" x14ac:dyDescent="0.25">
      <c r="A914" s="46"/>
      <c r="B914" s="114"/>
      <c r="C914" s="191"/>
      <c r="D914" s="191"/>
      <c r="E914" s="116"/>
      <c r="F914" s="52"/>
      <c r="G914" s="55"/>
      <c r="H914" s="54"/>
      <c r="I914" s="55"/>
      <c r="J914" s="55"/>
      <c r="K914" s="55"/>
      <c r="L914" s="56"/>
      <c r="M914" s="56"/>
      <c r="N914" s="49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</row>
    <row r="915" spans="1:37" x14ac:dyDescent="0.25">
      <c r="A915" s="46"/>
      <c r="B915" s="114"/>
      <c r="C915" s="191"/>
      <c r="D915" s="191"/>
      <c r="E915" s="116"/>
      <c r="F915" s="52"/>
      <c r="G915" s="55"/>
      <c r="H915" s="54"/>
      <c r="I915" s="55"/>
      <c r="J915" s="55"/>
      <c r="K915" s="55"/>
      <c r="L915" s="56"/>
      <c r="M915" s="56"/>
      <c r="N915" s="49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</row>
    <row r="916" spans="1:37" x14ac:dyDescent="0.25">
      <c r="A916" s="46"/>
      <c r="B916" s="114"/>
      <c r="C916" s="191"/>
      <c r="D916" s="191"/>
      <c r="E916" s="116"/>
      <c r="F916" s="52"/>
      <c r="G916" s="55"/>
      <c r="H916" s="54"/>
      <c r="I916" s="55"/>
      <c r="J916" s="55"/>
      <c r="K916" s="55"/>
      <c r="L916" s="56"/>
      <c r="M916" s="56"/>
      <c r="N916" s="49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</row>
    <row r="917" spans="1:37" x14ac:dyDescent="0.25">
      <c r="A917" s="46"/>
      <c r="B917" s="114"/>
      <c r="C917" s="191"/>
      <c r="D917" s="191"/>
      <c r="E917" s="116"/>
      <c r="F917" s="52"/>
      <c r="G917" s="55"/>
      <c r="H917" s="54"/>
      <c r="I917" s="55"/>
      <c r="J917" s="55"/>
      <c r="K917" s="55"/>
      <c r="L917" s="56"/>
      <c r="M917" s="56"/>
      <c r="N917" s="49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</row>
    <row r="918" spans="1:37" x14ac:dyDescent="0.25">
      <c r="A918" s="46"/>
      <c r="B918" s="114"/>
      <c r="C918" s="191"/>
      <c r="D918" s="191"/>
      <c r="E918" s="116"/>
      <c r="F918" s="52"/>
      <c r="G918" s="55"/>
      <c r="H918" s="54"/>
      <c r="I918" s="55"/>
      <c r="J918" s="55"/>
      <c r="K918" s="55"/>
      <c r="L918" s="56"/>
      <c r="M918" s="56"/>
      <c r="N918" s="49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</row>
    <row r="919" spans="1:37" x14ac:dyDescent="0.25">
      <c r="A919" s="46"/>
      <c r="B919" s="114"/>
      <c r="C919" s="191"/>
      <c r="D919" s="191"/>
      <c r="E919" s="116"/>
      <c r="F919" s="52"/>
      <c r="G919" s="55"/>
      <c r="H919" s="54"/>
      <c r="I919" s="55"/>
      <c r="J919" s="55"/>
      <c r="K919" s="55"/>
      <c r="L919" s="56"/>
      <c r="M919" s="56"/>
      <c r="N919" s="49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</row>
    <row r="920" spans="1:37" x14ac:dyDescent="0.25">
      <c r="A920" s="46"/>
      <c r="B920" s="114"/>
      <c r="C920" s="191"/>
      <c r="D920" s="191"/>
      <c r="E920" s="116"/>
      <c r="F920" s="52"/>
      <c r="G920" s="55"/>
      <c r="H920" s="54"/>
      <c r="I920" s="55"/>
      <c r="J920" s="55"/>
      <c r="K920" s="55"/>
      <c r="L920" s="56"/>
      <c r="M920" s="56"/>
      <c r="N920" s="49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</row>
    <row r="921" spans="1:37" x14ac:dyDescent="0.25">
      <c r="A921" s="46"/>
      <c r="B921" s="114"/>
      <c r="C921" s="191"/>
      <c r="D921" s="191"/>
      <c r="E921" s="116"/>
      <c r="F921" s="52"/>
      <c r="G921" s="55"/>
      <c r="H921" s="54"/>
      <c r="I921" s="55"/>
      <c r="J921" s="55"/>
      <c r="K921" s="55"/>
      <c r="L921" s="56"/>
      <c r="M921" s="56"/>
      <c r="N921" s="49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</row>
    <row r="922" spans="1:37" x14ac:dyDescent="0.25">
      <c r="A922" s="46"/>
      <c r="B922" s="114"/>
      <c r="C922" s="191"/>
      <c r="D922" s="191"/>
      <c r="E922" s="116"/>
      <c r="F922" s="52"/>
      <c r="G922" s="55"/>
      <c r="H922" s="54"/>
      <c r="I922" s="55"/>
      <c r="J922" s="55"/>
      <c r="K922" s="55"/>
      <c r="L922" s="56"/>
      <c r="M922" s="56"/>
      <c r="N922" s="49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</row>
    <row r="923" spans="1:37" x14ac:dyDescent="0.25">
      <c r="A923" s="46"/>
      <c r="B923" s="114"/>
      <c r="C923" s="191"/>
      <c r="D923" s="191"/>
      <c r="E923" s="116"/>
      <c r="F923" s="52"/>
      <c r="G923" s="55"/>
      <c r="H923" s="54"/>
      <c r="I923" s="55"/>
      <c r="J923" s="55"/>
      <c r="K923" s="55"/>
      <c r="L923" s="56"/>
      <c r="M923" s="56"/>
      <c r="N923" s="49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</row>
    <row r="924" spans="1:37" x14ac:dyDescent="0.25">
      <c r="A924" s="46"/>
      <c r="B924" s="114"/>
      <c r="C924" s="191"/>
      <c r="D924" s="191"/>
      <c r="E924" s="116"/>
      <c r="F924" s="52"/>
      <c r="G924" s="55"/>
      <c r="H924" s="54"/>
      <c r="I924" s="55"/>
      <c r="J924" s="55"/>
      <c r="K924" s="55"/>
      <c r="L924" s="56"/>
      <c r="M924" s="56"/>
      <c r="N924" s="49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</row>
    <row r="925" spans="1:37" x14ac:dyDescent="0.25">
      <c r="A925" s="46"/>
      <c r="B925" s="114"/>
      <c r="C925" s="191"/>
      <c r="D925" s="191"/>
      <c r="E925" s="116"/>
      <c r="F925" s="52"/>
      <c r="G925" s="55"/>
      <c r="H925" s="54"/>
      <c r="I925" s="55"/>
      <c r="J925" s="55"/>
      <c r="K925" s="55"/>
      <c r="L925" s="56"/>
      <c r="M925" s="56"/>
      <c r="N925" s="49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</row>
    <row r="926" spans="1:37" x14ac:dyDescent="0.25">
      <c r="A926" s="46"/>
      <c r="B926" s="114"/>
      <c r="C926" s="191"/>
      <c r="D926" s="191"/>
      <c r="E926" s="116"/>
      <c r="F926" s="52"/>
      <c r="G926" s="55"/>
      <c r="H926" s="54"/>
      <c r="I926" s="55"/>
      <c r="J926" s="55"/>
      <c r="K926" s="55"/>
      <c r="L926" s="56"/>
      <c r="M926" s="56"/>
      <c r="N926" s="49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</row>
    <row r="927" spans="1:37" x14ac:dyDescent="0.25">
      <c r="A927" s="46"/>
      <c r="B927" s="114"/>
      <c r="C927" s="191"/>
      <c r="D927" s="191"/>
      <c r="E927" s="116"/>
      <c r="F927" s="52"/>
      <c r="G927" s="55"/>
      <c r="H927" s="54"/>
      <c r="I927" s="55"/>
      <c r="J927" s="55"/>
      <c r="K927" s="55"/>
      <c r="L927" s="56"/>
      <c r="M927" s="56"/>
      <c r="N927" s="49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</row>
    <row r="928" spans="1:37" x14ac:dyDescent="0.25">
      <c r="A928" s="46"/>
      <c r="B928" s="114"/>
      <c r="C928" s="191"/>
      <c r="D928" s="191"/>
      <c r="E928" s="116"/>
      <c r="F928" s="52"/>
      <c r="G928" s="55"/>
      <c r="H928" s="54"/>
      <c r="I928" s="55"/>
      <c r="J928" s="55"/>
      <c r="K928" s="55"/>
      <c r="L928" s="56"/>
      <c r="M928" s="56"/>
      <c r="N928" s="49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</row>
    <row r="929" spans="1:37" x14ac:dyDescent="0.25">
      <c r="A929" s="46"/>
      <c r="B929" s="114"/>
      <c r="C929" s="191"/>
      <c r="D929" s="191"/>
      <c r="E929" s="116"/>
      <c r="F929" s="52"/>
      <c r="G929" s="55"/>
      <c r="H929" s="54"/>
      <c r="I929" s="55"/>
      <c r="J929" s="55"/>
      <c r="K929" s="55"/>
      <c r="L929" s="56"/>
      <c r="M929" s="56"/>
      <c r="N929" s="49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</row>
    <row r="930" spans="1:37" x14ac:dyDescent="0.25">
      <c r="A930" s="46"/>
      <c r="B930" s="114"/>
      <c r="C930" s="191"/>
      <c r="D930" s="191"/>
      <c r="E930" s="116"/>
      <c r="F930" s="52"/>
      <c r="G930" s="55"/>
      <c r="H930" s="54"/>
      <c r="I930" s="55"/>
      <c r="J930" s="55"/>
      <c r="K930" s="55"/>
      <c r="L930" s="56"/>
      <c r="M930" s="56"/>
      <c r="N930" s="49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</row>
    <row r="931" spans="1:37" x14ac:dyDescent="0.25">
      <c r="A931" s="46"/>
      <c r="B931" s="114"/>
      <c r="C931" s="191"/>
      <c r="D931" s="191"/>
      <c r="E931" s="116"/>
      <c r="F931" s="52"/>
      <c r="G931" s="55"/>
      <c r="H931" s="54"/>
      <c r="I931" s="55"/>
      <c r="J931" s="55"/>
      <c r="K931" s="55"/>
      <c r="L931" s="56"/>
      <c r="M931" s="56"/>
      <c r="N931" s="49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</row>
    <row r="932" spans="1:37" x14ac:dyDescent="0.25">
      <c r="A932" s="46"/>
      <c r="B932" s="114"/>
      <c r="C932" s="191"/>
      <c r="D932" s="191"/>
      <c r="E932" s="116"/>
      <c r="F932" s="52"/>
      <c r="G932" s="55"/>
      <c r="H932" s="54"/>
      <c r="I932" s="55"/>
      <c r="J932" s="55"/>
      <c r="K932" s="55"/>
      <c r="L932" s="56"/>
      <c r="M932" s="56"/>
      <c r="N932" s="49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</row>
    <row r="933" spans="1:37" x14ac:dyDescent="0.25">
      <c r="A933" s="46"/>
      <c r="B933" s="114"/>
      <c r="C933" s="191"/>
      <c r="D933" s="191"/>
      <c r="E933" s="116"/>
      <c r="F933" s="52"/>
      <c r="G933" s="55"/>
      <c r="H933" s="54"/>
      <c r="I933" s="55"/>
      <c r="J933" s="55"/>
      <c r="K933" s="55"/>
      <c r="L933" s="56"/>
      <c r="M933" s="56"/>
      <c r="N933" s="49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</row>
    <row r="934" spans="1:37" x14ac:dyDescent="0.25">
      <c r="A934" s="46"/>
      <c r="B934" s="114"/>
      <c r="C934" s="191"/>
      <c r="D934" s="191"/>
      <c r="E934" s="116"/>
      <c r="F934" s="52"/>
      <c r="G934" s="55"/>
      <c r="H934" s="54"/>
      <c r="I934" s="55"/>
      <c r="J934" s="55"/>
      <c r="K934" s="55"/>
      <c r="L934" s="56"/>
      <c r="M934" s="56"/>
      <c r="N934" s="49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</row>
    <row r="935" spans="1:37" x14ac:dyDescent="0.25">
      <c r="A935" s="46"/>
      <c r="B935" s="114"/>
      <c r="C935" s="191"/>
      <c r="D935" s="191"/>
      <c r="E935" s="116"/>
      <c r="F935" s="52"/>
      <c r="G935" s="55"/>
      <c r="H935" s="54"/>
      <c r="I935" s="55"/>
      <c r="J935" s="55"/>
      <c r="K935" s="55"/>
      <c r="L935" s="56"/>
      <c r="M935" s="56"/>
      <c r="N935" s="49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</row>
    <row r="936" spans="1:37" x14ac:dyDescent="0.25">
      <c r="A936" s="46"/>
      <c r="B936" s="114"/>
      <c r="C936" s="191"/>
      <c r="D936" s="191"/>
      <c r="E936" s="116"/>
      <c r="F936" s="52"/>
      <c r="G936" s="55"/>
      <c r="H936" s="54"/>
      <c r="I936" s="55"/>
      <c r="J936" s="55"/>
      <c r="K936" s="55"/>
      <c r="L936" s="56"/>
      <c r="M936" s="56"/>
      <c r="N936" s="49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</row>
    <row r="937" spans="1:37" x14ac:dyDescent="0.25">
      <c r="A937" s="46"/>
      <c r="B937" s="114"/>
      <c r="C937" s="191"/>
      <c r="D937" s="191"/>
      <c r="E937" s="116"/>
      <c r="F937" s="52"/>
      <c r="G937" s="55"/>
      <c r="H937" s="54"/>
      <c r="I937" s="55"/>
      <c r="J937" s="55"/>
      <c r="K937" s="55"/>
      <c r="L937" s="56"/>
      <c r="M937" s="56"/>
      <c r="N937" s="49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</row>
    <row r="938" spans="1:37" x14ac:dyDescent="0.25">
      <c r="A938" s="46"/>
      <c r="B938" s="114"/>
      <c r="C938" s="191"/>
      <c r="D938" s="191"/>
      <c r="E938" s="116"/>
      <c r="F938" s="52"/>
      <c r="G938" s="55"/>
      <c r="H938" s="54"/>
      <c r="I938" s="55"/>
      <c r="J938" s="55"/>
      <c r="K938" s="55"/>
      <c r="L938" s="56"/>
      <c r="M938" s="56"/>
      <c r="N938" s="49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</row>
    <row r="939" spans="1:37" x14ac:dyDescent="0.25">
      <c r="A939" s="46"/>
      <c r="B939" s="114"/>
      <c r="C939" s="191"/>
      <c r="D939" s="191"/>
      <c r="E939" s="116"/>
      <c r="F939" s="52"/>
      <c r="G939" s="55"/>
      <c r="H939" s="54"/>
      <c r="I939" s="55"/>
      <c r="J939" s="55"/>
      <c r="K939" s="55"/>
      <c r="L939" s="56"/>
      <c r="M939" s="56"/>
      <c r="N939" s="49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</row>
    <row r="940" spans="1:37" x14ac:dyDescent="0.25">
      <c r="A940" s="46"/>
      <c r="B940" s="114"/>
      <c r="C940" s="191"/>
      <c r="D940" s="191"/>
      <c r="E940" s="116"/>
      <c r="F940" s="52"/>
      <c r="G940" s="55"/>
      <c r="H940" s="54"/>
      <c r="I940" s="55"/>
      <c r="J940" s="55"/>
      <c r="K940" s="55"/>
      <c r="L940" s="56"/>
      <c r="M940" s="56"/>
      <c r="N940" s="49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</row>
    <row r="941" spans="1:37" x14ac:dyDescent="0.25">
      <c r="A941" s="46"/>
      <c r="B941" s="114"/>
      <c r="C941" s="191"/>
      <c r="D941" s="191"/>
      <c r="E941" s="116"/>
      <c r="F941" s="52"/>
      <c r="G941" s="55"/>
      <c r="H941" s="54"/>
      <c r="I941" s="55"/>
      <c r="J941" s="55"/>
      <c r="K941" s="55"/>
      <c r="L941" s="56"/>
      <c r="M941" s="56"/>
      <c r="N941" s="49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</row>
    <row r="942" spans="1:37" x14ac:dyDescent="0.25">
      <c r="A942" s="46"/>
      <c r="B942" s="114"/>
      <c r="C942" s="191"/>
      <c r="D942" s="191"/>
      <c r="E942" s="116"/>
      <c r="F942" s="52"/>
      <c r="G942" s="55"/>
      <c r="H942" s="54"/>
      <c r="I942" s="55"/>
      <c r="J942" s="55"/>
      <c r="K942" s="55"/>
      <c r="L942" s="56"/>
      <c r="M942" s="56"/>
      <c r="N942" s="49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</row>
    <row r="943" spans="1:37" x14ac:dyDescent="0.25">
      <c r="A943" s="46"/>
      <c r="B943" s="114"/>
      <c r="C943" s="191"/>
      <c r="D943" s="191"/>
      <c r="E943" s="116"/>
      <c r="F943" s="52"/>
      <c r="G943" s="55"/>
      <c r="H943" s="54"/>
      <c r="I943" s="55"/>
      <c r="J943" s="55"/>
      <c r="K943" s="55"/>
      <c r="L943" s="56"/>
      <c r="M943" s="56"/>
      <c r="N943" s="49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</row>
    <row r="944" spans="1:37" x14ac:dyDescent="0.25">
      <c r="A944" s="46"/>
      <c r="B944" s="114"/>
      <c r="C944" s="191"/>
      <c r="D944" s="191"/>
      <c r="E944" s="116"/>
      <c r="F944" s="52"/>
      <c r="G944" s="55"/>
      <c r="H944" s="54"/>
      <c r="I944" s="55"/>
      <c r="J944" s="55"/>
      <c r="K944" s="55"/>
      <c r="L944" s="56"/>
      <c r="M944" s="56"/>
      <c r="N944" s="49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</row>
    <row r="945" spans="1:37" x14ac:dyDescent="0.25">
      <c r="A945" s="46"/>
      <c r="B945" s="114"/>
      <c r="C945" s="191"/>
      <c r="D945" s="191"/>
      <c r="E945" s="116"/>
      <c r="F945" s="52"/>
      <c r="G945" s="55"/>
      <c r="H945" s="54"/>
      <c r="I945" s="55"/>
      <c r="J945" s="55"/>
      <c r="K945" s="55"/>
      <c r="L945" s="56"/>
      <c r="M945" s="56"/>
      <c r="N945" s="49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</row>
    <row r="946" spans="1:37" x14ac:dyDescent="0.25">
      <c r="A946" s="46"/>
      <c r="B946" s="114"/>
      <c r="C946" s="191"/>
      <c r="D946" s="191"/>
      <c r="E946" s="116"/>
      <c r="F946" s="52"/>
      <c r="G946" s="55"/>
      <c r="H946" s="54"/>
      <c r="I946" s="55"/>
      <c r="J946" s="55"/>
      <c r="K946" s="55"/>
      <c r="L946" s="56"/>
      <c r="M946" s="56"/>
      <c r="N946" s="49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</row>
    <row r="947" spans="1:37" x14ac:dyDescent="0.25">
      <c r="A947" s="46"/>
      <c r="B947" s="114"/>
      <c r="C947" s="191"/>
      <c r="D947" s="191"/>
      <c r="E947" s="116"/>
      <c r="F947" s="52"/>
      <c r="G947" s="55"/>
      <c r="H947" s="54"/>
      <c r="I947" s="55"/>
      <c r="J947" s="55"/>
      <c r="K947" s="55"/>
      <c r="L947" s="56"/>
      <c r="M947" s="56"/>
      <c r="N947" s="49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</row>
    <row r="948" spans="1:37" x14ac:dyDescent="0.25">
      <c r="A948" s="46"/>
      <c r="B948" s="114"/>
      <c r="C948" s="191"/>
      <c r="D948" s="191"/>
      <c r="E948" s="116"/>
      <c r="F948" s="52"/>
      <c r="G948" s="55"/>
      <c r="H948" s="54"/>
      <c r="I948" s="55"/>
      <c r="J948" s="55"/>
      <c r="K948" s="55"/>
      <c r="L948" s="56"/>
      <c r="M948" s="56"/>
      <c r="N948" s="49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</row>
    <row r="949" spans="1:37" x14ac:dyDescent="0.25">
      <c r="A949" s="46"/>
      <c r="B949" s="114"/>
      <c r="C949" s="191"/>
      <c r="D949" s="191"/>
      <c r="E949" s="116"/>
      <c r="F949" s="52"/>
      <c r="G949" s="55"/>
      <c r="H949" s="54"/>
      <c r="I949" s="55"/>
      <c r="J949" s="55"/>
      <c r="K949" s="55"/>
      <c r="L949" s="56"/>
      <c r="M949" s="56"/>
      <c r="N949" s="49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</row>
    <row r="950" spans="1:37" x14ac:dyDescent="0.25">
      <c r="A950" s="46"/>
      <c r="B950" s="114"/>
      <c r="C950" s="191"/>
      <c r="D950" s="191"/>
      <c r="E950" s="116"/>
      <c r="F950" s="52"/>
      <c r="G950" s="55"/>
      <c r="H950" s="54"/>
      <c r="I950" s="55"/>
      <c r="J950" s="55"/>
      <c r="K950" s="55"/>
      <c r="L950" s="56"/>
      <c r="M950" s="56"/>
      <c r="N950" s="49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</row>
    <row r="951" spans="1:37" x14ac:dyDescent="0.25">
      <c r="A951" s="46"/>
      <c r="B951" s="114"/>
      <c r="C951" s="191"/>
      <c r="D951" s="191"/>
      <c r="E951" s="116"/>
      <c r="F951" s="52"/>
      <c r="G951" s="55"/>
      <c r="H951" s="54"/>
      <c r="I951" s="55"/>
      <c r="J951" s="55"/>
      <c r="K951" s="55"/>
      <c r="L951" s="56"/>
      <c r="M951" s="56"/>
      <c r="N951" s="49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</row>
    <row r="952" spans="1:37" x14ac:dyDescent="0.25">
      <c r="A952" s="46"/>
      <c r="B952" s="114"/>
      <c r="C952" s="191"/>
      <c r="D952" s="191"/>
      <c r="E952" s="116"/>
      <c r="F952" s="52"/>
      <c r="G952" s="55"/>
      <c r="H952" s="54"/>
      <c r="I952" s="55"/>
      <c r="J952" s="55"/>
      <c r="K952" s="55"/>
      <c r="L952" s="56"/>
      <c r="M952" s="56"/>
      <c r="N952" s="49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</row>
    <row r="953" spans="1:37" x14ac:dyDescent="0.25">
      <c r="A953" s="46"/>
      <c r="B953" s="114"/>
      <c r="C953" s="191"/>
      <c r="D953" s="191"/>
      <c r="E953" s="116"/>
      <c r="F953" s="52"/>
      <c r="G953" s="55"/>
      <c r="H953" s="54"/>
      <c r="I953" s="55"/>
      <c r="J953" s="55"/>
      <c r="K953" s="55"/>
      <c r="L953" s="56"/>
      <c r="M953" s="56"/>
      <c r="N953" s="49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</row>
    <row r="954" spans="1:37" x14ac:dyDescent="0.25">
      <c r="A954" s="46"/>
      <c r="B954" s="114"/>
      <c r="C954" s="191"/>
      <c r="D954" s="191"/>
      <c r="E954" s="116"/>
      <c r="F954" s="52"/>
      <c r="G954" s="55"/>
      <c r="H954" s="54"/>
      <c r="I954" s="55"/>
      <c r="J954" s="55"/>
      <c r="K954" s="55"/>
      <c r="L954" s="56"/>
      <c r="M954" s="56"/>
      <c r="N954" s="49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</row>
    <row r="955" spans="1:37" x14ac:dyDescent="0.25">
      <c r="A955" s="46"/>
      <c r="B955" s="114"/>
      <c r="C955" s="191"/>
      <c r="D955" s="191"/>
      <c r="E955" s="116"/>
      <c r="F955" s="52"/>
      <c r="G955" s="55"/>
      <c r="H955" s="54"/>
      <c r="I955" s="55"/>
      <c r="J955" s="55"/>
      <c r="K955" s="55"/>
      <c r="L955" s="56"/>
      <c r="M955" s="56"/>
      <c r="N955" s="49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</row>
    <row r="956" spans="1:37" x14ac:dyDescent="0.25">
      <c r="A956" s="46"/>
      <c r="B956" s="114"/>
      <c r="C956" s="191"/>
      <c r="D956" s="191"/>
      <c r="E956" s="116"/>
      <c r="F956" s="52"/>
      <c r="G956" s="55"/>
      <c r="H956" s="54"/>
      <c r="I956" s="55"/>
      <c r="J956" s="55"/>
      <c r="K956" s="55"/>
      <c r="L956" s="56"/>
      <c r="M956" s="56"/>
      <c r="N956" s="49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</row>
    <row r="957" spans="1:37" x14ac:dyDescent="0.25">
      <c r="A957" s="46"/>
      <c r="B957" s="114"/>
      <c r="C957" s="191"/>
      <c r="D957" s="191"/>
      <c r="E957" s="116"/>
      <c r="F957" s="52"/>
      <c r="G957" s="55"/>
      <c r="H957" s="54"/>
      <c r="I957" s="55"/>
      <c r="J957" s="55"/>
      <c r="K957" s="55"/>
      <c r="L957" s="56"/>
      <c r="M957" s="56"/>
      <c r="N957" s="49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</row>
    <row r="958" spans="1:37" x14ac:dyDescent="0.25">
      <c r="A958" s="46"/>
      <c r="B958" s="114"/>
      <c r="C958" s="191"/>
      <c r="D958" s="191"/>
      <c r="E958" s="116"/>
      <c r="F958" s="52"/>
      <c r="G958" s="55"/>
      <c r="H958" s="54"/>
      <c r="I958" s="55"/>
      <c r="J958" s="55"/>
      <c r="K958" s="55"/>
      <c r="L958" s="56"/>
      <c r="M958" s="56"/>
      <c r="N958" s="49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</row>
    <row r="959" spans="1:37" x14ac:dyDescent="0.25">
      <c r="A959" s="46"/>
      <c r="B959" s="114"/>
      <c r="C959" s="191"/>
      <c r="D959" s="191"/>
      <c r="E959" s="116"/>
      <c r="F959" s="52"/>
      <c r="G959" s="55"/>
      <c r="H959" s="54"/>
      <c r="I959" s="55"/>
      <c r="J959" s="55"/>
      <c r="K959" s="55"/>
      <c r="L959" s="56"/>
      <c r="M959" s="56"/>
      <c r="N959" s="49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</row>
    <row r="960" spans="1:37" x14ac:dyDescent="0.25">
      <c r="A960" s="46"/>
      <c r="B960" s="114"/>
      <c r="C960" s="191"/>
      <c r="D960" s="191"/>
      <c r="E960" s="116"/>
      <c r="F960" s="52"/>
      <c r="G960" s="55"/>
      <c r="H960" s="54"/>
      <c r="I960" s="55"/>
      <c r="J960" s="55"/>
      <c r="K960" s="55"/>
      <c r="L960" s="56"/>
      <c r="M960" s="56"/>
      <c r="N960" s="49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</row>
    <row r="961" spans="1:37" x14ac:dyDescent="0.25">
      <c r="A961" s="46"/>
      <c r="B961" s="114"/>
      <c r="C961" s="191"/>
      <c r="D961" s="191"/>
      <c r="E961" s="116"/>
      <c r="F961" s="52"/>
      <c r="G961" s="55"/>
      <c r="H961" s="54"/>
      <c r="I961" s="55"/>
      <c r="J961" s="55"/>
      <c r="K961" s="55"/>
      <c r="L961" s="56"/>
      <c r="M961" s="56"/>
      <c r="N961" s="49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</row>
    <row r="962" spans="1:37" x14ac:dyDescent="0.25">
      <c r="A962" s="46"/>
      <c r="B962" s="114"/>
      <c r="C962" s="191"/>
      <c r="D962" s="191"/>
      <c r="E962" s="116"/>
      <c r="F962" s="52"/>
      <c r="G962" s="55"/>
      <c r="H962" s="54"/>
      <c r="I962" s="55"/>
      <c r="J962" s="55"/>
      <c r="K962" s="55"/>
      <c r="L962" s="56"/>
      <c r="M962" s="56"/>
      <c r="N962" s="49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</row>
    <row r="963" spans="1:37" x14ac:dyDescent="0.25">
      <c r="A963" s="46"/>
      <c r="B963" s="114"/>
      <c r="C963" s="191"/>
      <c r="D963" s="191"/>
      <c r="E963" s="116"/>
      <c r="F963" s="52"/>
      <c r="G963" s="55"/>
      <c r="H963" s="54"/>
      <c r="I963" s="55"/>
      <c r="J963" s="55"/>
      <c r="K963" s="55"/>
      <c r="L963" s="56"/>
      <c r="M963" s="56"/>
      <c r="N963" s="49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</row>
    <row r="964" spans="1:37" x14ac:dyDescent="0.25">
      <c r="A964" s="46"/>
      <c r="B964" s="114"/>
      <c r="C964" s="191"/>
      <c r="D964" s="191"/>
      <c r="E964" s="116"/>
      <c r="F964" s="52"/>
      <c r="G964" s="55"/>
      <c r="H964" s="54"/>
      <c r="I964" s="55"/>
      <c r="J964" s="55"/>
      <c r="K964" s="55"/>
      <c r="L964" s="56"/>
      <c r="M964" s="56"/>
      <c r="N964" s="49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</row>
    <row r="965" spans="1:37" x14ac:dyDescent="0.25">
      <c r="A965" s="46"/>
      <c r="B965" s="114"/>
      <c r="C965" s="191"/>
      <c r="D965" s="191"/>
      <c r="E965" s="116"/>
      <c r="F965" s="52"/>
      <c r="G965" s="55"/>
      <c r="H965" s="54"/>
      <c r="I965" s="55"/>
      <c r="J965" s="55"/>
      <c r="K965" s="55"/>
      <c r="L965" s="56"/>
      <c r="M965" s="56"/>
      <c r="N965" s="49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</row>
    <row r="966" spans="1:37" x14ac:dyDescent="0.25">
      <c r="A966" s="46"/>
      <c r="B966" s="114"/>
      <c r="C966" s="191"/>
      <c r="D966" s="191"/>
      <c r="E966" s="116"/>
      <c r="F966" s="52"/>
      <c r="G966" s="55"/>
      <c r="H966" s="54"/>
      <c r="I966" s="55"/>
      <c r="J966" s="55"/>
      <c r="K966" s="55"/>
      <c r="L966" s="56"/>
      <c r="M966" s="56"/>
      <c r="N966" s="49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</row>
    <row r="967" spans="1:37" x14ac:dyDescent="0.25">
      <c r="A967" s="46"/>
      <c r="B967" s="114"/>
      <c r="C967" s="191"/>
      <c r="D967" s="191"/>
      <c r="E967" s="116"/>
      <c r="F967" s="52"/>
      <c r="G967" s="55"/>
      <c r="H967" s="54"/>
      <c r="I967" s="55"/>
      <c r="J967" s="55"/>
      <c r="K967" s="55"/>
      <c r="L967" s="56"/>
      <c r="M967" s="56"/>
      <c r="N967" s="49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</row>
    <row r="968" spans="1:37" x14ac:dyDescent="0.25">
      <c r="A968" s="46"/>
      <c r="B968" s="114"/>
      <c r="C968" s="191"/>
      <c r="D968" s="191"/>
      <c r="E968" s="116"/>
      <c r="F968" s="52"/>
      <c r="G968" s="55"/>
      <c r="H968" s="54"/>
      <c r="I968" s="55"/>
      <c r="J968" s="55"/>
      <c r="K968" s="55"/>
      <c r="L968" s="56"/>
      <c r="M968" s="56"/>
      <c r="N968" s="49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</row>
    <row r="969" spans="1:37" x14ac:dyDescent="0.25">
      <c r="A969" s="46"/>
      <c r="B969" s="114"/>
      <c r="C969" s="191"/>
      <c r="D969" s="191"/>
      <c r="E969" s="116"/>
      <c r="F969" s="52"/>
      <c r="G969" s="55"/>
      <c r="H969" s="54"/>
      <c r="I969" s="55"/>
      <c r="J969" s="55"/>
      <c r="K969" s="55"/>
      <c r="L969" s="56"/>
      <c r="M969" s="56"/>
      <c r="N969" s="49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</row>
    <row r="970" spans="1:37" x14ac:dyDescent="0.25">
      <c r="A970" s="46"/>
      <c r="B970" s="114"/>
      <c r="C970" s="191"/>
      <c r="D970" s="191"/>
      <c r="E970" s="116"/>
      <c r="F970" s="52"/>
      <c r="G970" s="55"/>
      <c r="H970" s="54"/>
      <c r="I970" s="55"/>
      <c r="J970" s="55"/>
      <c r="K970" s="55"/>
      <c r="L970" s="56"/>
      <c r="M970" s="56"/>
      <c r="N970" s="49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</row>
    <row r="971" spans="1:37" x14ac:dyDescent="0.25">
      <c r="A971" s="46"/>
      <c r="B971" s="114"/>
      <c r="C971" s="191"/>
      <c r="D971" s="191"/>
      <c r="E971" s="116"/>
      <c r="F971" s="52"/>
      <c r="G971" s="55"/>
      <c r="H971" s="54"/>
      <c r="I971" s="55"/>
      <c r="J971" s="55"/>
      <c r="K971" s="55"/>
      <c r="L971" s="56"/>
      <c r="M971" s="56"/>
      <c r="N971" s="49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</row>
    <row r="972" spans="1:37" x14ac:dyDescent="0.25">
      <c r="A972" s="46"/>
      <c r="B972" s="114"/>
      <c r="C972" s="191"/>
      <c r="D972" s="191"/>
      <c r="E972" s="116"/>
      <c r="F972" s="52"/>
      <c r="G972" s="55"/>
      <c r="H972" s="54"/>
      <c r="I972" s="55"/>
      <c r="J972" s="55"/>
      <c r="K972" s="55"/>
      <c r="L972" s="56"/>
      <c r="M972" s="56"/>
      <c r="N972" s="49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</row>
    <row r="973" spans="1:37" x14ac:dyDescent="0.25">
      <c r="A973" s="46"/>
      <c r="B973" s="114"/>
      <c r="C973" s="191"/>
      <c r="D973" s="191"/>
      <c r="E973" s="116"/>
      <c r="F973" s="52"/>
      <c r="G973" s="55"/>
      <c r="H973" s="54"/>
      <c r="I973" s="55"/>
      <c r="J973" s="55"/>
      <c r="K973" s="55"/>
      <c r="L973" s="56"/>
      <c r="M973" s="56"/>
      <c r="N973" s="49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</row>
    <row r="974" spans="1:37" x14ac:dyDescent="0.25">
      <c r="A974" s="46"/>
      <c r="B974" s="114"/>
      <c r="C974" s="191"/>
      <c r="D974" s="191"/>
      <c r="E974" s="116"/>
      <c r="F974" s="52"/>
      <c r="G974" s="55"/>
      <c r="H974" s="54"/>
      <c r="I974" s="55"/>
      <c r="J974" s="55"/>
      <c r="K974" s="55"/>
      <c r="L974" s="56"/>
      <c r="M974" s="56"/>
      <c r="N974" s="49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</row>
    <row r="975" spans="1:37" x14ac:dyDescent="0.25">
      <c r="A975" s="46"/>
      <c r="B975" s="114"/>
      <c r="C975" s="191"/>
      <c r="D975" s="191"/>
      <c r="E975" s="116"/>
      <c r="F975" s="52"/>
      <c r="G975" s="55"/>
      <c r="H975" s="54"/>
      <c r="I975" s="55"/>
      <c r="J975" s="55"/>
      <c r="K975" s="55"/>
      <c r="L975" s="56"/>
      <c r="M975" s="56"/>
      <c r="N975" s="49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</row>
    <row r="976" spans="1:37" x14ac:dyDescent="0.25">
      <c r="A976" s="46"/>
      <c r="B976" s="114"/>
      <c r="C976" s="191"/>
      <c r="D976" s="191"/>
      <c r="E976" s="116"/>
      <c r="F976" s="52"/>
      <c r="G976" s="55"/>
      <c r="H976" s="54"/>
      <c r="I976" s="55"/>
      <c r="J976" s="55"/>
      <c r="K976" s="55"/>
      <c r="L976" s="56"/>
      <c r="M976" s="56"/>
      <c r="N976" s="49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</row>
    <row r="977" spans="1:37" x14ac:dyDescent="0.25">
      <c r="A977" s="46"/>
      <c r="B977" s="114"/>
      <c r="C977" s="191"/>
      <c r="D977" s="191"/>
      <c r="E977" s="116"/>
      <c r="F977" s="52"/>
      <c r="G977" s="55"/>
      <c r="H977" s="54"/>
      <c r="I977" s="55"/>
      <c r="J977" s="55"/>
      <c r="K977" s="55"/>
      <c r="L977" s="56"/>
      <c r="M977" s="56"/>
      <c r="N977" s="49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</row>
    <row r="978" spans="1:37" x14ac:dyDescent="0.25">
      <c r="A978" s="46"/>
      <c r="B978" s="114"/>
      <c r="C978" s="191"/>
      <c r="D978" s="191"/>
      <c r="E978" s="116"/>
      <c r="F978" s="52"/>
      <c r="G978" s="55"/>
      <c r="H978" s="54"/>
      <c r="I978" s="55"/>
      <c r="J978" s="55"/>
      <c r="K978" s="55"/>
      <c r="L978" s="56"/>
      <c r="M978" s="56"/>
      <c r="N978" s="49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</row>
    <row r="979" spans="1:37" x14ac:dyDescent="0.25">
      <c r="A979" s="46"/>
      <c r="B979" s="114"/>
      <c r="C979" s="191"/>
      <c r="D979" s="191"/>
      <c r="E979" s="116"/>
      <c r="F979" s="52"/>
      <c r="G979" s="55"/>
      <c r="H979" s="54"/>
      <c r="I979" s="55"/>
      <c r="J979" s="55"/>
      <c r="K979" s="55"/>
      <c r="L979" s="56"/>
      <c r="M979" s="56"/>
      <c r="N979" s="49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</row>
    <row r="980" spans="1:37" x14ac:dyDescent="0.25">
      <c r="A980" s="46"/>
      <c r="B980" s="114"/>
      <c r="C980" s="191"/>
      <c r="D980" s="191"/>
      <c r="E980" s="116"/>
      <c r="F980" s="52"/>
      <c r="G980" s="55"/>
      <c r="H980" s="54"/>
      <c r="I980" s="55"/>
      <c r="J980" s="55"/>
      <c r="K980" s="55"/>
      <c r="L980" s="56"/>
      <c r="M980" s="56"/>
      <c r="N980" s="49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</row>
    <row r="981" spans="1:37" x14ac:dyDescent="0.25">
      <c r="A981" s="46"/>
      <c r="B981" s="114"/>
      <c r="C981" s="191"/>
      <c r="D981" s="191"/>
      <c r="E981" s="116"/>
      <c r="F981" s="52"/>
      <c r="G981" s="55"/>
      <c r="H981" s="54"/>
      <c r="I981" s="55"/>
      <c r="J981" s="55"/>
      <c r="K981" s="55"/>
      <c r="L981" s="56"/>
      <c r="M981" s="56"/>
      <c r="N981" s="49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</row>
    <row r="982" spans="1:37" x14ac:dyDescent="0.25">
      <c r="A982" s="46"/>
      <c r="B982" s="114"/>
      <c r="C982" s="191"/>
      <c r="D982" s="191"/>
      <c r="E982" s="116"/>
      <c r="F982" s="52"/>
      <c r="G982" s="55"/>
      <c r="H982" s="54"/>
      <c r="I982" s="55"/>
      <c r="J982" s="55"/>
      <c r="K982" s="55"/>
      <c r="L982" s="56"/>
      <c r="M982" s="56"/>
      <c r="N982" s="49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</row>
    <row r="983" spans="1:37" x14ac:dyDescent="0.25">
      <c r="A983" s="46"/>
      <c r="B983" s="114"/>
      <c r="C983" s="191"/>
      <c r="D983" s="191"/>
      <c r="E983" s="116"/>
      <c r="F983" s="52"/>
      <c r="G983" s="55"/>
      <c r="H983" s="54"/>
      <c r="I983" s="55"/>
      <c r="J983" s="55"/>
      <c r="K983" s="55"/>
      <c r="L983" s="56"/>
      <c r="M983" s="56"/>
      <c r="N983" s="49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</row>
    <row r="984" spans="1:37" x14ac:dyDescent="0.25">
      <c r="A984" s="46"/>
      <c r="B984" s="114"/>
      <c r="C984" s="191"/>
      <c r="D984" s="191"/>
      <c r="E984" s="116"/>
      <c r="F984" s="52"/>
      <c r="G984" s="55"/>
      <c r="H984" s="54"/>
      <c r="I984" s="55"/>
      <c r="J984" s="55"/>
      <c r="K984" s="55"/>
      <c r="L984" s="56"/>
      <c r="M984" s="56"/>
      <c r="N984" s="49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</row>
    <row r="985" spans="1:37" x14ac:dyDescent="0.25">
      <c r="A985" s="46"/>
      <c r="B985" s="114"/>
      <c r="C985" s="191"/>
      <c r="D985" s="191"/>
      <c r="E985" s="116"/>
      <c r="F985" s="52"/>
      <c r="G985" s="55"/>
      <c r="H985" s="54"/>
      <c r="I985" s="55"/>
      <c r="J985" s="55"/>
      <c r="K985" s="55"/>
      <c r="L985" s="56"/>
      <c r="M985" s="56"/>
      <c r="N985" s="49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</row>
    <row r="986" spans="1:37" x14ac:dyDescent="0.25">
      <c r="A986" s="46"/>
      <c r="B986" s="114"/>
      <c r="C986" s="191"/>
      <c r="D986" s="191"/>
      <c r="E986" s="116"/>
      <c r="F986" s="52"/>
      <c r="G986" s="55"/>
      <c r="H986" s="54"/>
      <c r="I986" s="55"/>
      <c r="J986" s="55"/>
      <c r="K986" s="55"/>
      <c r="L986" s="56"/>
      <c r="M986" s="56"/>
      <c r="N986" s="49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</row>
    <row r="987" spans="1:37" x14ac:dyDescent="0.25">
      <c r="A987" s="46"/>
      <c r="B987" s="114"/>
      <c r="C987" s="191"/>
      <c r="D987" s="191"/>
      <c r="E987" s="116"/>
      <c r="F987" s="52"/>
      <c r="G987" s="55"/>
      <c r="H987" s="54"/>
      <c r="I987" s="55"/>
      <c r="J987" s="55"/>
      <c r="K987" s="55"/>
      <c r="L987" s="56"/>
      <c r="M987" s="56"/>
      <c r="N987" s="49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</row>
    <row r="988" spans="1:37" x14ac:dyDescent="0.25">
      <c r="A988" s="46"/>
      <c r="B988" s="114"/>
      <c r="C988" s="191"/>
      <c r="D988" s="191"/>
      <c r="E988" s="116"/>
      <c r="F988" s="52"/>
      <c r="G988" s="55"/>
      <c r="H988" s="54"/>
      <c r="I988" s="55"/>
      <c r="J988" s="55"/>
      <c r="K988" s="55"/>
      <c r="L988" s="56"/>
      <c r="M988" s="56"/>
      <c r="N988" s="49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</row>
    <row r="989" spans="1:37" x14ac:dyDescent="0.25">
      <c r="A989" s="46"/>
      <c r="B989" s="114"/>
      <c r="C989" s="191"/>
      <c r="D989" s="191"/>
      <c r="E989" s="116"/>
      <c r="F989" s="52"/>
      <c r="G989" s="55"/>
      <c r="H989" s="54"/>
      <c r="I989" s="55"/>
      <c r="J989" s="55"/>
      <c r="K989" s="55"/>
      <c r="L989" s="56"/>
      <c r="M989" s="56"/>
      <c r="N989" s="49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</row>
    <row r="990" spans="1:37" x14ac:dyDescent="0.25">
      <c r="A990" s="46"/>
      <c r="B990" s="114"/>
      <c r="C990" s="191"/>
      <c r="D990" s="191"/>
      <c r="E990" s="116"/>
      <c r="F990" s="52"/>
      <c r="G990" s="55"/>
      <c r="H990" s="54"/>
      <c r="I990" s="55"/>
      <c r="J990" s="55"/>
      <c r="K990" s="55"/>
      <c r="L990" s="56"/>
      <c r="M990" s="56"/>
      <c r="N990" s="49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</row>
    <row r="991" spans="1:37" x14ac:dyDescent="0.25">
      <c r="A991" s="46"/>
      <c r="B991" s="114"/>
      <c r="C991" s="191"/>
      <c r="D991" s="191"/>
      <c r="E991" s="116"/>
      <c r="F991" s="52"/>
      <c r="G991" s="55"/>
      <c r="H991" s="54"/>
      <c r="I991" s="55"/>
      <c r="J991" s="55"/>
      <c r="K991" s="55"/>
      <c r="L991" s="56"/>
      <c r="M991" s="56"/>
      <c r="N991" s="49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</row>
    <row r="992" spans="1:37" x14ac:dyDescent="0.25">
      <c r="A992" s="46"/>
      <c r="B992" s="114"/>
      <c r="C992" s="191"/>
      <c r="D992" s="191"/>
      <c r="E992" s="116"/>
      <c r="F992" s="52"/>
      <c r="G992" s="55"/>
      <c r="H992" s="54"/>
      <c r="I992" s="55"/>
      <c r="J992" s="55"/>
      <c r="K992" s="55"/>
      <c r="L992" s="56"/>
      <c r="M992" s="56"/>
      <c r="N992" s="49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</row>
    <row r="993" spans="1:37" x14ac:dyDescent="0.25">
      <c r="A993" s="46"/>
      <c r="B993" s="114"/>
      <c r="C993" s="191"/>
      <c r="D993" s="191"/>
      <c r="E993" s="116"/>
      <c r="F993" s="52"/>
      <c r="G993" s="55"/>
      <c r="H993" s="54"/>
      <c r="I993" s="55"/>
      <c r="J993" s="55"/>
      <c r="K993" s="55"/>
      <c r="L993" s="56"/>
      <c r="M993" s="56"/>
      <c r="N993" s="49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</row>
    <row r="994" spans="1:37" x14ac:dyDescent="0.25">
      <c r="A994" s="46"/>
      <c r="B994" s="114"/>
      <c r="C994" s="191"/>
      <c r="D994" s="191"/>
      <c r="E994" s="116"/>
      <c r="F994" s="52"/>
      <c r="G994" s="55"/>
      <c r="H994" s="54"/>
      <c r="I994" s="55"/>
      <c r="J994" s="55"/>
      <c r="K994" s="55"/>
      <c r="L994" s="56"/>
      <c r="M994" s="56"/>
      <c r="N994" s="49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</row>
    <row r="995" spans="1:37" x14ac:dyDescent="0.25">
      <c r="A995" s="46"/>
      <c r="B995" s="114"/>
      <c r="C995" s="191"/>
      <c r="D995" s="191"/>
      <c r="E995" s="116"/>
      <c r="F995" s="52"/>
      <c r="G995" s="55"/>
      <c r="H995" s="54"/>
      <c r="I995" s="55"/>
      <c r="J995" s="55"/>
      <c r="K995" s="55"/>
      <c r="L995" s="56"/>
      <c r="M995" s="56"/>
      <c r="N995" s="49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</row>
    <row r="996" spans="1:37" x14ac:dyDescent="0.25">
      <c r="A996" s="46"/>
      <c r="B996" s="114"/>
      <c r="C996" s="191"/>
      <c r="D996" s="191"/>
      <c r="E996" s="116"/>
      <c r="F996" s="52"/>
      <c r="G996" s="55"/>
      <c r="H996" s="54"/>
      <c r="I996" s="55"/>
      <c r="J996" s="55"/>
      <c r="K996" s="55"/>
      <c r="L996" s="56"/>
      <c r="M996" s="56"/>
      <c r="N996" s="49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</row>
    <row r="997" spans="1:37" x14ac:dyDescent="0.25">
      <c r="A997" s="46"/>
      <c r="B997" s="114"/>
      <c r="C997" s="191"/>
      <c r="D997" s="191"/>
      <c r="E997" s="116"/>
      <c r="F997" s="52"/>
      <c r="G997" s="55"/>
      <c r="H997" s="54"/>
      <c r="I997" s="55"/>
      <c r="J997" s="55"/>
      <c r="K997" s="55"/>
      <c r="L997" s="56"/>
      <c r="M997" s="56"/>
      <c r="N997" s="49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</row>
    <row r="998" spans="1:37" x14ac:dyDescent="0.25">
      <c r="A998" s="46"/>
      <c r="B998" s="114"/>
      <c r="C998" s="191"/>
      <c r="D998" s="191"/>
      <c r="E998" s="116"/>
      <c r="F998" s="52"/>
      <c r="G998" s="55"/>
      <c r="H998" s="54"/>
      <c r="I998" s="55"/>
      <c r="J998" s="55"/>
      <c r="K998" s="55"/>
      <c r="L998" s="56"/>
      <c r="M998" s="56"/>
      <c r="N998" s="49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</row>
  </sheetData>
  <autoFilter ref="A2:AK71"/>
  <dataValidations count="2">
    <dataValidation type="list" allowBlank="1" sqref="M3:M998">
      <formula1>"Done,Progressing,Unpaid,Cancel"</formula1>
    </dataValidation>
    <dataValidation type="list" allowBlank="1" showErrorMessage="1" sqref="L3:L998">
      <formula1>"Done,Progressing,Cancel"</formula1>
    </dataValidation>
  </dataValidations>
  <pageMargins left="0.25" right="0.25" top="0.75" bottom="0.75" header="0" footer="0"/>
  <pageSetup paperSize="9" scale="5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C96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16" customWidth="1"/>
    <col min="4" max="4" width="14.77734375" customWidth="1"/>
    <col min="5" max="5" width="17.21875" customWidth="1"/>
    <col min="6" max="6" width="7.88671875" customWidth="1"/>
    <col min="7" max="9" width="14.6640625" customWidth="1"/>
    <col min="10" max="10" width="28.6640625" customWidth="1"/>
  </cols>
  <sheetData>
    <row r="1" spans="1:29" ht="13.2" x14ac:dyDescent="0.25">
      <c r="A1" s="192" t="s">
        <v>0</v>
      </c>
      <c r="B1" s="192" t="s">
        <v>245</v>
      </c>
      <c r="C1" s="193" t="s">
        <v>594</v>
      </c>
      <c r="D1" s="194" t="s">
        <v>595</v>
      </c>
      <c r="E1" s="195" t="s">
        <v>6</v>
      </c>
      <c r="F1" s="196" t="s">
        <v>252</v>
      </c>
      <c r="G1" s="195" t="s">
        <v>614</v>
      </c>
      <c r="H1" s="195" t="s">
        <v>616</v>
      </c>
      <c r="I1" s="197" t="s">
        <v>6</v>
      </c>
      <c r="J1" s="198" t="s">
        <v>3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2" spans="1:29" ht="13.2" x14ac:dyDescent="0.25">
      <c r="A2" s="192"/>
      <c r="B2" s="192"/>
      <c r="C2" s="193"/>
      <c r="D2" s="194"/>
      <c r="E2" s="195"/>
      <c r="F2" s="196"/>
      <c r="G2" s="195"/>
      <c r="H2" s="195"/>
      <c r="I2" s="197" t="s">
        <v>598</v>
      </c>
      <c r="J2" s="198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</row>
    <row r="3" spans="1:29" ht="15.75" customHeight="1" x14ac:dyDescent="0.3">
      <c r="A3" s="199">
        <f t="shared" ref="A3:A17" si="0">IF(C3="","",SUBTOTAL(3,$C$3:C3))</f>
        <v>1</v>
      </c>
      <c r="B3" s="200" t="s">
        <v>68</v>
      </c>
      <c r="C3" s="201" t="s">
        <v>631</v>
      </c>
      <c r="D3" s="202">
        <v>45782</v>
      </c>
      <c r="E3" s="203">
        <v>7000000</v>
      </c>
      <c r="F3" s="204">
        <v>0.1</v>
      </c>
      <c r="G3" s="205">
        <f>E3*F3</f>
        <v>700000</v>
      </c>
      <c r="H3" s="205">
        <f>E3+G3</f>
        <v>7700000</v>
      </c>
      <c r="I3" s="206" t="s">
        <v>25</v>
      </c>
      <c r="J3" s="207" t="s">
        <v>632</v>
      </c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</row>
    <row r="4" spans="1:29" ht="79.2" x14ac:dyDescent="0.25">
      <c r="A4" s="199" t="str">
        <f t="shared" si="0"/>
        <v/>
      </c>
      <c r="B4" s="200"/>
      <c r="C4" s="208"/>
      <c r="D4" s="202"/>
      <c r="E4" s="203"/>
      <c r="F4" s="209"/>
      <c r="G4" s="205"/>
      <c r="H4" s="205"/>
      <c r="I4" s="206"/>
      <c r="J4" s="207" t="s">
        <v>633</v>
      </c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</row>
    <row r="5" spans="1:29" ht="79.2" x14ac:dyDescent="0.25">
      <c r="A5" s="199" t="str">
        <f t="shared" si="0"/>
        <v/>
      </c>
      <c r="B5" s="200"/>
      <c r="C5" s="208"/>
      <c r="D5" s="202"/>
      <c r="E5" s="203"/>
      <c r="F5" s="209"/>
      <c r="G5" s="205"/>
      <c r="H5" s="205"/>
      <c r="I5" s="206"/>
      <c r="J5" s="207" t="s">
        <v>634</v>
      </c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</row>
    <row r="6" spans="1:29" ht="66" x14ac:dyDescent="0.25">
      <c r="A6" s="199" t="str">
        <f t="shared" si="0"/>
        <v/>
      </c>
      <c r="B6" s="200"/>
      <c r="C6" s="208"/>
      <c r="D6" s="202"/>
      <c r="E6" s="203"/>
      <c r="F6" s="209"/>
      <c r="G6" s="205"/>
      <c r="H6" s="205"/>
      <c r="I6" s="206"/>
      <c r="J6" s="207" t="s">
        <v>635</v>
      </c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</row>
    <row r="7" spans="1:29" ht="13.8" x14ac:dyDescent="0.25">
      <c r="A7" s="199" t="str">
        <f t="shared" si="0"/>
        <v/>
      </c>
      <c r="B7" s="200"/>
      <c r="C7" s="208"/>
      <c r="D7" s="202"/>
      <c r="E7" s="203"/>
      <c r="F7" s="209"/>
      <c r="G7" s="205"/>
      <c r="H7" s="205"/>
      <c r="I7" s="206"/>
      <c r="J7" s="21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</row>
    <row r="8" spans="1:29" ht="13.8" x14ac:dyDescent="0.25">
      <c r="A8" s="199" t="str">
        <f t="shared" si="0"/>
        <v/>
      </c>
      <c r="B8" s="200"/>
      <c r="C8" s="208"/>
      <c r="D8" s="202"/>
      <c r="E8" s="203"/>
      <c r="F8" s="209"/>
      <c r="G8" s="205"/>
      <c r="H8" s="205"/>
      <c r="I8" s="206"/>
      <c r="J8" s="21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</row>
    <row r="9" spans="1:29" ht="13.8" x14ac:dyDescent="0.25">
      <c r="A9" s="211" t="str">
        <f t="shared" si="0"/>
        <v/>
      </c>
      <c r="B9" s="212"/>
      <c r="C9" s="213"/>
      <c r="D9" s="214"/>
      <c r="E9" s="215"/>
      <c r="F9" s="216"/>
      <c r="G9" s="217"/>
      <c r="H9" s="217"/>
      <c r="I9" s="206"/>
      <c r="J9" s="218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</row>
    <row r="10" spans="1:29" ht="13.2" x14ac:dyDescent="0.25">
      <c r="A10" s="211" t="str">
        <f t="shared" si="0"/>
        <v/>
      </c>
      <c r="B10" s="200"/>
      <c r="C10" s="219"/>
      <c r="D10" s="202"/>
      <c r="E10" s="203"/>
      <c r="F10" s="209"/>
      <c r="G10" s="205"/>
      <c r="H10" s="217"/>
      <c r="I10" s="206"/>
      <c r="J10" s="21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</row>
    <row r="11" spans="1:29" ht="13.2" x14ac:dyDescent="0.25">
      <c r="A11" s="211" t="str">
        <f t="shared" si="0"/>
        <v/>
      </c>
      <c r="B11" s="200"/>
      <c r="C11" s="219"/>
      <c r="D11" s="202"/>
      <c r="E11" s="203"/>
      <c r="F11" s="209"/>
      <c r="G11" s="205"/>
      <c r="H11" s="217"/>
      <c r="I11" s="206"/>
      <c r="J11" s="21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</row>
    <row r="12" spans="1:29" ht="13.2" x14ac:dyDescent="0.25">
      <c r="A12" s="211" t="str">
        <f t="shared" si="0"/>
        <v/>
      </c>
      <c r="B12" s="200"/>
      <c r="C12" s="219"/>
      <c r="D12" s="202"/>
      <c r="E12" s="203"/>
      <c r="F12" s="204"/>
      <c r="G12" s="203"/>
      <c r="H12" s="217"/>
      <c r="I12" s="206"/>
      <c r="J12" s="21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</row>
    <row r="13" spans="1:29" ht="13.2" x14ac:dyDescent="0.25">
      <c r="A13" s="211" t="str">
        <f t="shared" si="0"/>
        <v/>
      </c>
      <c r="B13" s="200"/>
      <c r="C13" s="219"/>
      <c r="D13" s="202"/>
      <c r="E13" s="203"/>
      <c r="F13" s="209"/>
      <c r="G13" s="205"/>
      <c r="H13" s="205"/>
      <c r="I13" s="206"/>
      <c r="J13" s="21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</row>
    <row r="14" spans="1:29" ht="13.2" x14ac:dyDescent="0.25">
      <c r="A14" s="211" t="str">
        <f t="shared" si="0"/>
        <v/>
      </c>
      <c r="B14" s="200"/>
      <c r="C14" s="219"/>
      <c r="D14" s="202"/>
      <c r="E14" s="203"/>
      <c r="F14" s="209"/>
      <c r="G14" s="205"/>
      <c r="H14" s="205"/>
      <c r="I14" s="206"/>
      <c r="J14" s="21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</row>
    <row r="15" spans="1:29" ht="13.2" x14ac:dyDescent="0.25">
      <c r="A15" s="211" t="str">
        <f t="shared" si="0"/>
        <v/>
      </c>
      <c r="B15" s="200"/>
      <c r="C15" s="219"/>
      <c r="D15" s="202"/>
      <c r="E15" s="203"/>
      <c r="F15" s="209"/>
      <c r="G15" s="205"/>
      <c r="H15" s="205"/>
      <c r="I15" s="206"/>
      <c r="J15" s="21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</row>
    <row r="16" spans="1:29" ht="13.2" x14ac:dyDescent="0.25">
      <c r="A16" s="211" t="str">
        <f t="shared" si="0"/>
        <v/>
      </c>
      <c r="B16" s="200"/>
      <c r="C16" s="219"/>
      <c r="D16" s="202"/>
      <c r="E16" s="203"/>
      <c r="F16" s="209"/>
      <c r="G16" s="205"/>
      <c r="H16" s="205"/>
      <c r="I16" s="206"/>
      <c r="J16" s="21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</row>
    <row r="17" spans="1:29" ht="13.2" x14ac:dyDescent="0.25">
      <c r="A17" s="211" t="str">
        <f t="shared" si="0"/>
        <v/>
      </c>
      <c r="B17" s="200"/>
      <c r="C17" s="219"/>
      <c r="D17" s="202"/>
      <c r="E17" s="203"/>
      <c r="F17" s="209"/>
      <c r="G17" s="205"/>
      <c r="H17" s="217"/>
      <c r="I17" s="206"/>
      <c r="J17" s="21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</row>
    <row r="18" spans="1:29" ht="13.2" x14ac:dyDescent="0.25">
      <c r="A18" s="199"/>
      <c r="B18" s="200"/>
      <c r="C18" s="219"/>
      <c r="D18" s="202"/>
      <c r="E18" s="203"/>
      <c r="F18" s="209"/>
      <c r="G18" s="205"/>
      <c r="H18" s="217"/>
      <c r="I18" s="206"/>
      <c r="J18" s="21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</row>
    <row r="19" spans="1:29" ht="13.2" x14ac:dyDescent="0.25">
      <c r="A19" s="199"/>
      <c r="B19" s="200"/>
      <c r="C19" s="219"/>
      <c r="D19" s="202"/>
      <c r="E19" s="203"/>
      <c r="F19" s="209"/>
      <c r="G19" s="205"/>
      <c r="H19" s="217"/>
      <c r="I19" s="206"/>
      <c r="J19" s="21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</row>
    <row r="20" spans="1:29" ht="13.2" x14ac:dyDescent="0.25">
      <c r="A20" s="199"/>
      <c r="B20" s="220"/>
      <c r="C20" s="221"/>
      <c r="D20" s="222"/>
      <c r="E20" s="223"/>
      <c r="F20" s="209"/>
      <c r="G20" s="223"/>
      <c r="H20" s="223"/>
      <c r="I20" s="224"/>
      <c r="J20" s="21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</row>
    <row r="21" spans="1:29" ht="13.2" x14ac:dyDescent="0.25">
      <c r="A21" s="199"/>
      <c r="B21" s="220"/>
      <c r="C21" s="221"/>
      <c r="D21" s="222"/>
      <c r="E21" s="223"/>
      <c r="F21" s="209"/>
      <c r="G21" s="223"/>
      <c r="H21" s="223"/>
      <c r="I21" s="224"/>
      <c r="J21" s="21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</row>
    <row r="22" spans="1:29" ht="13.2" x14ac:dyDescent="0.25">
      <c r="A22" s="199"/>
      <c r="B22" s="220"/>
      <c r="C22" s="221"/>
      <c r="D22" s="222"/>
      <c r="E22" s="223"/>
      <c r="F22" s="209"/>
      <c r="G22" s="223"/>
      <c r="H22" s="223"/>
      <c r="I22" s="224"/>
      <c r="J22" s="21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</row>
    <row r="23" spans="1:29" ht="13.2" x14ac:dyDescent="0.25">
      <c r="A23" s="199"/>
      <c r="B23" s="220"/>
      <c r="C23" s="221"/>
      <c r="D23" s="222"/>
      <c r="E23" s="223"/>
      <c r="F23" s="209"/>
      <c r="G23" s="223"/>
      <c r="H23" s="223"/>
      <c r="I23" s="224"/>
      <c r="J23" s="21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</row>
    <row r="24" spans="1:29" ht="13.2" x14ac:dyDescent="0.25">
      <c r="A24" s="199"/>
      <c r="B24" s="220"/>
      <c r="C24" s="221"/>
      <c r="D24" s="222"/>
      <c r="E24" s="223"/>
      <c r="F24" s="209"/>
      <c r="G24" s="223"/>
      <c r="H24" s="223"/>
      <c r="I24" s="224"/>
      <c r="J24" s="21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</row>
    <row r="25" spans="1:29" ht="13.2" x14ac:dyDescent="0.25">
      <c r="A25" s="199"/>
      <c r="B25" s="220"/>
      <c r="C25" s="221"/>
      <c r="D25" s="222"/>
      <c r="E25" s="223"/>
      <c r="F25" s="209"/>
      <c r="G25" s="223"/>
      <c r="H25" s="223"/>
      <c r="I25" s="224"/>
      <c r="J25" s="21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</row>
    <row r="26" spans="1:29" ht="13.2" x14ac:dyDescent="0.25">
      <c r="A26" s="199"/>
      <c r="B26" s="220"/>
      <c r="C26" s="221"/>
      <c r="D26" s="222"/>
      <c r="E26" s="223"/>
      <c r="F26" s="209"/>
      <c r="G26" s="223"/>
      <c r="H26" s="223"/>
      <c r="I26" s="224"/>
      <c r="J26" s="21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</row>
    <row r="27" spans="1:29" ht="13.2" x14ac:dyDescent="0.25">
      <c r="A27" s="199"/>
      <c r="B27" s="220"/>
      <c r="C27" s="221"/>
      <c r="D27" s="222"/>
      <c r="E27" s="223"/>
      <c r="F27" s="209"/>
      <c r="G27" s="223"/>
      <c r="H27" s="223"/>
      <c r="I27" s="224"/>
      <c r="J27" s="21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</row>
    <row r="28" spans="1:29" ht="13.2" x14ac:dyDescent="0.25">
      <c r="A28" s="199"/>
      <c r="B28" s="220"/>
      <c r="C28" s="221"/>
      <c r="D28" s="222"/>
      <c r="E28" s="223"/>
      <c r="F28" s="209"/>
      <c r="G28" s="223"/>
      <c r="H28" s="223"/>
      <c r="I28" s="224"/>
      <c r="J28" s="21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</row>
    <row r="29" spans="1:29" ht="13.2" x14ac:dyDescent="0.25">
      <c r="A29" s="199"/>
      <c r="B29" s="220"/>
      <c r="C29" s="221"/>
      <c r="D29" s="222"/>
      <c r="E29" s="223"/>
      <c r="F29" s="209"/>
      <c r="G29" s="223"/>
      <c r="H29" s="223"/>
      <c r="I29" s="224"/>
      <c r="J29" s="21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</row>
    <row r="30" spans="1:29" ht="13.2" x14ac:dyDescent="0.25">
      <c r="A30" s="199"/>
      <c r="B30" s="220"/>
      <c r="C30" s="221"/>
      <c r="D30" s="222"/>
      <c r="E30" s="223"/>
      <c r="F30" s="209"/>
      <c r="G30" s="223"/>
      <c r="H30" s="223"/>
      <c r="I30" s="224"/>
      <c r="J30" s="21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</row>
    <row r="31" spans="1:29" ht="13.2" x14ac:dyDescent="0.25">
      <c r="A31" s="199"/>
      <c r="B31" s="220"/>
      <c r="C31" s="221"/>
      <c r="D31" s="222"/>
      <c r="E31" s="223"/>
      <c r="F31" s="209"/>
      <c r="G31" s="223"/>
      <c r="H31" s="223"/>
      <c r="I31" s="224"/>
      <c r="J31" s="21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</row>
    <row r="32" spans="1:29" ht="13.2" x14ac:dyDescent="0.25">
      <c r="A32" s="199"/>
      <c r="B32" s="220"/>
      <c r="C32" s="221"/>
      <c r="D32" s="222"/>
      <c r="E32" s="223"/>
      <c r="F32" s="209"/>
      <c r="G32" s="223"/>
      <c r="H32" s="223"/>
      <c r="I32" s="224"/>
      <c r="J32" s="21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</row>
    <row r="33" spans="1:29" ht="13.2" x14ac:dyDescent="0.25">
      <c r="A33" s="199"/>
      <c r="B33" s="220"/>
      <c r="C33" s="221"/>
      <c r="D33" s="222"/>
      <c r="E33" s="223"/>
      <c r="F33" s="209"/>
      <c r="G33" s="223"/>
      <c r="H33" s="223"/>
      <c r="I33" s="224"/>
      <c r="J33" s="21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</row>
    <row r="34" spans="1:29" ht="13.2" x14ac:dyDescent="0.25">
      <c r="A34" s="199"/>
      <c r="B34" s="220"/>
      <c r="C34" s="221"/>
      <c r="D34" s="222"/>
      <c r="E34" s="223"/>
      <c r="F34" s="209"/>
      <c r="G34" s="223"/>
      <c r="H34" s="223"/>
      <c r="I34" s="224"/>
      <c r="J34" s="21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spans="1:29" ht="13.2" x14ac:dyDescent="0.25">
      <c r="A35" s="199"/>
      <c r="B35" s="220"/>
      <c r="C35" s="221"/>
      <c r="D35" s="222"/>
      <c r="E35" s="223"/>
      <c r="F35" s="209"/>
      <c r="G35" s="223"/>
      <c r="H35" s="223"/>
      <c r="I35" s="224"/>
      <c r="J35" s="21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spans="1:29" ht="13.2" x14ac:dyDescent="0.25">
      <c r="A36" s="199"/>
      <c r="B36" s="220"/>
      <c r="C36" s="221"/>
      <c r="D36" s="222"/>
      <c r="E36" s="223"/>
      <c r="F36" s="209"/>
      <c r="G36" s="223"/>
      <c r="H36" s="223"/>
      <c r="I36" s="224"/>
      <c r="J36" s="21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spans="1:29" ht="13.2" x14ac:dyDescent="0.25">
      <c r="A37" s="199"/>
      <c r="B37" s="220"/>
      <c r="C37" s="221"/>
      <c r="D37" s="222"/>
      <c r="E37" s="223"/>
      <c r="F37" s="209"/>
      <c r="G37" s="223"/>
      <c r="H37" s="223"/>
      <c r="I37" s="224"/>
      <c r="J37" s="21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</row>
    <row r="38" spans="1:29" ht="13.2" x14ac:dyDescent="0.25">
      <c r="A38" s="199"/>
      <c r="B38" s="220"/>
      <c r="C38" s="221"/>
      <c r="D38" s="222"/>
      <c r="E38" s="223"/>
      <c r="F38" s="209"/>
      <c r="G38" s="223"/>
      <c r="H38" s="223"/>
      <c r="I38" s="224"/>
      <c r="J38" s="21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</row>
    <row r="39" spans="1:29" ht="13.2" x14ac:dyDescent="0.25">
      <c r="A39" s="199"/>
      <c r="B39" s="220"/>
      <c r="C39" s="221"/>
      <c r="D39" s="222"/>
      <c r="E39" s="223"/>
      <c r="F39" s="209"/>
      <c r="G39" s="223"/>
      <c r="H39" s="223"/>
      <c r="I39" s="224"/>
      <c r="J39" s="21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</row>
    <row r="40" spans="1:29" ht="13.2" x14ac:dyDescent="0.25">
      <c r="A40" s="199"/>
      <c r="B40" s="220"/>
      <c r="C40" s="221"/>
      <c r="D40" s="222"/>
      <c r="E40" s="223"/>
      <c r="F40" s="209"/>
      <c r="G40" s="223"/>
      <c r="H40" s="223"/>
      <c r="I40" s="224"/>
      <c r="J40" s="21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</row>
    <row r="41" spans="1:29" ht="13.2" x14ac:dyDescent="0.25">
      <c r="A41" s="199"/>
      <c r="B41" s="220"/>
      <c r="C41" s="221"/>
      <c r="D41" s="222"/>
      <c r="E41" s="223"/>
      <c r="F41" s="209"/>
      <c r="G41" s="223"/>
      <c r="H41" s="223"/>
      <c r="I41" s="224"/>
      <c r="J41" s="21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</row>
    <row r="42" spans="1:29" ht="13.2" x14ac:dyDescent="0.25">
      <c r="A42" s="199"/>
      <c r="B42" s="220"/>
      <c r="C42" s="221"/>
      <c r="D42" s="222"/>
      <c r="E42" s="223"/>
      <c r="F42" s="209"/>
      <c r="G42" s="223"/>
      <c r="H42" s="223"/>
      <c r="I42" s="224"/>
      <c r="J42" s="21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</row>
    <row r="43" spans="1:29" ht="13.2" x14ac:dyDescent="0.25">
      <c r="A43" s="199"/>
      <c r="B43" s="220"/>
      <c r="C43" s="221"/>
      <c r="D43" s="222"/>
      <c r="E43" s="223"/>
      <c r="F43" s="209"/>
      <c r="G43" s="223"/>
      <c r="H43" s="223"/>
      <c r="I43" s="224"/>
      <c r="J43" s="21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</row>
    <row r="44" spans="1:29" ht="13.2" x14ac:dyDescent="0.25">
      <c r="A44" s="199"/>
      <c r="B44" s="220"/>
      <c r="C44" s="221"/>
      <c r="D44" s="222"/>
      <c r="E44" s="223"/>
      <c r="F44" s="209"/>
      <c r="G44" s="223"/>
      <c r="H44" s="223"/>
      <c r="I44" s="224"/>
      <c r="J44" s="21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</row>
    <row r="45" spans="1:29" ht="13.2" x14ac:dyDescent="0.25">
      <c r="A45" s="199"/>
      <c r="B45" s="220"/>
      <c r="C45" s="221"/>
      <c r="D45" s="222"/>
      <c r="E45" s="223"/>
      <c r="F45" s="209"/>
      <c r="G45" s="223"/>
      <c r="H45" s="223"/>
      <c r="I45" s="224"/>
      <c r="J45" s="21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</row>
    <row r="46" spans="1:29" ht="13.2" x14ac:dyDescent="0.25">
      <c r="A46" s="199"/>
      <c r="B46" s="220"/>
      <c r="C46" s="221"/>
      <c r="D46" s="222"/>
      <c r="E46" s="223"/>
      <c r="F46" s="209"/>
      <c r="G46" s="223"/>
      <c r="H46" s="223"/>
      <c r="I46" s="224"/>
      <c r="J46" s="21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</row>
    <row r="47" spans="1:29" ht="13.2" x14ac:dyDescent="0.25">
      <c r="A47" s="199"/>
      <c r="B47" s="220"/>
      <c r="C47" s="221"/>
      <c r="D47" s="222"/>
      <c r="E47" s="223"/>
      <c r="F47" s="209"/>
      <c r="G47" s="223"/>
      <c r="H47" s="223"/>
      <c r="I47" s="224"/>
      <c r="J47" s="21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</row>
    <row r="48" spans="1:29" ht="13.2" x14ac:dyDescent="0.25">
      <c r="A48" s="199"/>
      <c r="B48" s="220"/>
      <c r="C48" s="221"/>
      <c r="D48" s="222"/>
      <c r="E48" s="223"/>
      <c r="F48" s="209"/>
      <c r="G48" s="223"/>
      <c r="H48" s="223"/>
      <c r="I48" s="224"/>
      <c r="J48" s="21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</row>
    <row r="49" spans="1:29" ht="13.2" x14ac:dyDescent="0.25">
      <c r="A49" s="199"/>
      <c r="B49" s="220"/>
      <c r="C49" s="221"/>
      <c r="D49" s="222"/>
      <c r="E49" s="223"/>
      <c r="F49" s="209"/>
      <c r="G49" s="223"/>
      <c r="H49" s="223"/>
      <c r="I49" s="224"/>
      <c r="J49" s="21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</row>
    <row r="50" spans="1:29" ht="13.2" x14ac:dyDescent="0.25">
      <c r="A50" s="199"/>
      <c r="B50" s="220"/>
      <c r="C50" s="221"/>
      <c r="D50" s="222"/>
      <c r="E50" s="223"/>
      <c r="F50" s="209"/>
      <c r="G50" s="223"/>
      <c r="H50" s="223"/>
      <c r="I50" s="224"/>
      <c r="J50" s="21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</row>
    <row r="51" spans="1:29" ht="13.2" x14ac:dyDescent="0.25">
      <c r="A51" s="199"/>
      <c r="B51" s="220"/>
      <c r="C51" s="221"/>
      <c r="D51" s="222"/>
      <c r="E51" s="223"/>
      <c r="F51" s="209"/>
      <c r="G51" s="223"/>
      <c r="H51" s="223"/>
      <c r="I51" s="224"/>
      <c r="J51" s="21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</row>
    <row r="52" spans="1:29" ht="13.2" x14ac:dyDescent="0.25">
      <c r="A52" s="199"/>
      <c r="B52" s="220"/>
      <c r="C52" s="221"/>
      <c r="D52" s="222"/>
      <c r="E52" s="223"/>
      <c r="F52" s="209"/>
      <c r="G52" s="223"/>
      <c r="H52" s="223"/>
      <c r="I52" s="224"/>
      <c r="J52" s="21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</row>
    <row r="53" spans="1:29" ht="13.2" x14ac:dyDescent="0.25">
      <c r="A53" s="199"/>
      <c r="B53" s="220"/>
      <c r="C53" s="221"/>
      <c r="D53" s="222"/>
      <c r="E53" s="223"/>
      <c r="F53" s="209"/>
      <c r="G53" s="223"/>
      <c r="H53" s="223"/>
      <c r="I53" s="224"/>
      <c r="J53" s="21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</row>
    <row r="54" spans="1:29" ht="13.2" x14ac:dyDescent="0.25">
      <c r="A54" s="199"/>
      <c r="B54" s="220"/>
      <c r="C54" s="221"/>
      <c r="D54" s="222"/>
      <c r="E54" s="223"/>
      <c r="F54" s="209"/>
      <c r="G54" s="223"/>
      <c r="H54" s="223"/>
      <c r="I54" s="224"/>
      <c r="J54" s="21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</row>
    <row r="55" spans="1:29" ht="13.2" x14ac:dyDescent="0.25">
      <c r="A55" s="199"/>
      <c r="B55" s="220"/>
      <c r="C55" s="221"/>
      <c r="D55" s="222"/>
      <c r="E55" s="223"/>
      <c r="F55" s="209"/>
      <c r="G55" s="223"/>
      <c r="H55" s="223"/>
      <c r="I55" s="224"/>
      <c r="J55" s="21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</row>
    <row r="56" spans="1:29" ht="13.2" x14ac:dyDescent="0.25">
      <c r="A56" s="199"/>
      <c r="B56" s="220"/>
      <c r="C56" s="221"/>
      <c r="D56" s="222"/>
      <c r="E56" s="223"/>
      <c r="F56" s="209"/>
      <c r="G56" s="223"/>
      <c r="H56" s="223"/>
      <c r="I56" s="224"/>
      <c r="J56" s="21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</row>
    <row r="57" spans="1:29" ht="13.2" x14ac:dyDescent="0.25">
      <c r="A57" s="199"/>
      <c r="B57" s="220"/>
      <c r="C57" s="221"/>
      <c r="D57" s="222"/>
      <c r="E57" s="223"/>
      <c r="F57" s="209"/>
      <c r="G57" s="223"/>
      <c r="H57" s="223"/>
      <c r="I57" s="224"/>
      <c r="J57" s="21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</row>
    <row r="58" spans="1:29" ht="13.2" x14ac:dyDescent="0.25">
      <c r="A58" s="199"/>
      <c r="B58" s="220"/>
      <c r="C58" s="221"/>
      <c r="D58" s="222"/>
      <c r="E58" s="223"/>
      <c r="F58" s="209"/>
      <c r="G58" s="223"/>
      <c r="H58" s="223"/>
      <c r="I58" s="224"/>
      <c r="J58" s="21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</row>
    <row r="59" spans="1:29" ht="13.2" x14ac:dyDescent="0.25">
      <c r="A59" s="199"/>
      <c r="B59" s="220"/>
      <c r="C59" s="221"/>
      <c r="D59" s="222"/>
      <c r="E59" s="223"/>
      <c r="F59" s="209"/>
      <c r="G59" s="223"/>
      <c r="H59" s="223"/>
      <c r="I59" s="224"/>
      <c r="J59" s="21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</row>
    <row r="60" spans="1:29" ht="13.2" x14ac:dyDescent="0.25">
      <c r="A60" s="199"/>
      <c r="B60" s="220"/>
      <c r="C60" s="221"/>
      <c r="D60" s="222"/>
      <c r="E60" s="223"/>
      <c r="F60" s="209"/>
      <c r="G60" s="223"/>
      <c r="H60" s="223"/>
      <c r="I60" s="224"/>
      <c r="J60" s="21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</row>
    <row r="61" spans="1:29" ht="13.2" x14ac:dyDescent="0.25">
      <c r="A61" s="199"/>
      <c r="B61" s="220"/>
      <c r="C61" s="221"/>
      <c r="D61" s="222"/>
      <c r="E61" s="223"/>
      <c r="F61" s="209"/>
      <c r="G61" s="223"/>
      <c r="H61" s="223"/>
      <c r="I61" s="224"/>
      <c r="J61" s="21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</row>
    <row r="62" spans="1:29" ht="13.2" x14ac:dyDescent="0.25">
      <c r="A62" s="199"/>
      <c r="B62" s="220"/>
      <c r="C62" s="221"/>
      <c r="D62" s="222"/>
      <c r="E62" s="223"/>
      <c r="F62" s="209"/>
      <c r="G62" s="223"/>
      <c r="H62" s="223"/>
      <c r="I62" s="224"/>
      <c r="J62" s="21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</row>
    <row r="63" spans="1:29" ht="13.2" x14ac:dyDescent="0.25">
      <c r="A63" s="199"/>
      <c r="B63" s="220"/>
      <c r="C63" s="221"/>
      <c r="D63" s="222"/>
      <c r="E63" s="223"/>
      <c r="F63" s="209"/>
      <c r="G63" s="223"/>
      <c r="H63" s="223"/>
      <c r="I63" s="224"/>
      <c r="J63" s="21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</row>
    <row r="64" spans="1:29" ht="13.2" x14ac:dyDescent="0.25">
      <c r="A64" s="199"/>
      <c r="B64" s="220"/>
      <c r="C64" s="221"/>
      <c r="D64" s="222"/>
      <c r="E64" s="223"/>
      <c r="F64" s="209"/>
      <c r="G64" s="223"/>
      <c r="H64" s="223"/>
      <c r="I64" s="224"/>
      <c r="J64" s="21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</row>
    <row r="65" spans="1:29" ht="13.2" x14ac:dyDescent="0.25">
      <c r="A65" s="199"/>
      <c r="B65" s="220"/>
      <c r="C65" s="221"/>
      <c r="D65" s="222"/>
      <c r="E65" s="223"/>
      <c r="F65" s="209"/>
      <c r="G65" s="223"/>
      <c r="H65" s="223"/>
      <c r="I65" s="224"/>
      <c r="J65" s="21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</row>
    <row r="66" spans="1:29" ht="13.2" x14ac:dyDescent="0.25">
      <c r="A66" s="199"/>
      <c r="B66" s="220"/>
      <c r="C66" s="221"/>
      <c r="D66" s="222"/>
      <c r="E66" s="223"/>
      <c r="F66" s="209"/>
      <c r="G66" s="223"/>
      <c r="H66" s="223"/>
      <c r="I66" s="224"/>
      <c r="J66" s="21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</row>
    <row r="67" spans="1:29" ht="13.2" x14ac:dyDescent="0.25">
      <c r="A67" s="199"/>
      <c r="B67" s="220"/>
      <c r="C67" s="221"/>
      <c r="D67" s="222"/>
      <c r="E67" s="223"/>
      <c r="F67" s="209"/>
      <c r="G67" s="223"/>
      <c r="H67" s="223"/>
      <c r="I67" s="224"/>
      <c r="J67" s="21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</row>
    <row r="68" spans="1:29" ht="13.2" x14ac:dyDescent="0.25">
      <c r="A68" s="199"/>
      <c r="B68" s="220"/>
      <c r="C68" s="221"/>
      <c r="D68" s="222"/>
      <c r="E68" s="223"/>
      <c r="F68" s="209"/>
      <c r="G68" s="223"/>
      <c r="H68" s="223"/>
      <c r="I68" s="224"/>
      <c r="J68" s="21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  <row r="69" spans="1:29" ht="13.2" x14ac:dyDescent="0.25">
      <c r="A69" s="199"/>
      <c r="B69" s="220"/>
      <c r="C69" s="221"/>
      <c r="D69" s="222"/>
      <c r="E69" s="223"/>
      <c r="F69" s="209"/>
      <c r="G69" s="223"/>
      <c r="H69" s="223"/>
      <c r="I69" s="224"/>
      <c r="J69" s="21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</row>
    <row r="70" spans="1:29" ht="13.2" x14ac:dyDescent="0.25">
      <c r="A70" s="199"/>
      <c r="B70" s="220"/>
      <c r="C70" s="221"/>
      <c r="D70" s="222"/>
      <c r="E70" s="223"/>
      <c r="F70" s="209"/>
      <c r="G70" s="223"/>
      <c r="H70" s="223"/>
      <c r="I70" s="224"/>
      <c r="J70" s="21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</row>
    <row r="71" spans="1:29" ht="13.2" x14ac:dyDescent="0.25">
      <c r="A71" s="199"/>
      <c r="B71" s="220"/>
      <c r="C71" s="221"/>
      <c r="D71" s="222"/>
      <c r="E71" s="223"/>
      <c r="F71" s="209"/>
      <c r="G71" s="223"/>
      <c r="H71" s="223"/>
      <c r="I71" s="224"/>
      <c r="J71" s="21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</row>
    <row r="72" spans="1:29" ht="13.2" x14ac:dyDescent="0.25">
      <c r="A72" s="199"/>
      <c r="B72" s="220"/>
      <c r="C72" s="221"/>
      <c r="D72" s="222"/>
      <c r="E72" s="223"/>
      <c r="F72" s="209"/>
      <c r="G72" s="223"/>
      <c r="H72" s="223"/>
      <c r="I72" s="224"/>
      <c r="J72" s="21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</row>
    <row r="73" spans="1:29" ht="13.2" x14ac:dyDescent="0.25">
      <c r="A73" s="199"/>
      <c r="B73" s="220"/>
      <c r="C73" s="221"/>
      <c r="D73" s="222"/>
      <c r="E73" s="223"/>
      <c r="F73" s="209"/>
      <c r="G73" s="223"/>
      <c r="H73" s="223"/>
      <c r="I73" s="224"/>
      <c r="J73" s="21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</row>
    <row r="74" spans="1:29" ht="13.2" x14ac:dyDescent="0.25">
      <c r="A74" s="199"/>
      <c r="B74" s="220"/>
      <c r="C74" s="221"/>
      <c r="D74" s="222"/>
      <c r="E74" s="223"/>
      <c r="F74" s="209"/>
      <c r="G74" s="223"/>
      <c r="H74" s="223"/>
      <c r="I74" s="224"/>
      <c r="J74" s="21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</row>
    <row r="75" spans="1:29" ht="13.2" x14ac:dyDescent="0.25">
      <c r="A75" s="199"/>
      <c r="B75" s="220"/>
      <c r="C75" s="221"/>
      <c r="D75" s="222"/>
      <c r="E75" s="223"/>
      <c r="F75" s="209"/>
      <c r="G75" s="223"/>
      <c r="H75" s="223"/>
      <c r="I75" s="224"/>
      <c r="J75" s="21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</row>
    <row r="76" spans="1:29" ht="13.2" x14ac:dyDescent="0.25">
      <c r="A76" s="199"/>
      <c r="B76" s="220"/>
      <c r="C76" s="221"/>
      <c r="D76" s="222"/>
      <c r="E76" s="223"/>
      <c r="F76" s="209"/>
      <c r="G76" s="223"/>
      <c r="H76" s="223"/>
      <c r="I76" s="224"/>
      <c r="J76" s="21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</row>
    <row r="77" spans="1:29" ht="13.2" x14ac:dyDescent="0.25">
      <c r="A77" s="199"/>
      <c r="B77" s="220"/>
      <c r="C77" s="221"/>
      <c r="D77" s="222"/>
      <c r="E77" s="223"/>
      <c r="F77" s="209"/>
      <c r="G77" s="223"/>
      <c r="H77" s="223"/>
      <c r="I77" s="224"/>
      <c r="J77" s="21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</row>
    <row r="78" spans="1:29" ht="13.2" x14ac:dyDescent="0.25">
      <c r="A78" s="199"/>
      <c r="B78" s="220"/>
      <c r="C78" s="221"/>
      <c r="D78" s="222"/>
      <c r="E78" s="223"/>
      <c r="F78" s="209"/>
      <c r="G78" s="223"/>
      <c r="H78" s="223"/>
      <c r="I78" s="224"/>
      <c r="J78" s="21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</row>
    <row r="79" spans="1:29" ht="13.2" x14ac:dyDescent="0.25">
      <c r="A79" s="199"/>
      <c r="B79" s="220"/>
      <c r="C79" s="221"/>
      <c r="D79" s="222"/>
      <c r="E79" s="223"/>
      <c r="F79" s="209"/>
      <c r="G79" s="223"/>
      <c r="H79" s="223"/>
      <c r="I79" s="224"/>
      <c r="J79" s="21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</row>
    <row r="80" spans="1:29" ht="13.2" x14ac:dyDescent="0.25">
      <c r="A80" s="199"/>
      <c r="B80" s="220"/>
      <c r="C80" s="221"/>
      <c r="D80" s="222"/>
      <c r="E80" s="223"/>
      <c r="F80" s="209"/>
      <c r="G80" s="223"/>
      <c r="H80" s="223"/>
      <c r="I80" s="224"/>
      <c r="J80" s="21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</row>
    <row r="81" spans="1:29" ht="13.2" x14ac:dyDescent="0.25">
      <c r="A81" s="199"/>
      <c r="B81" s="220"/>
      <c r="C81" s="221"/>
      <c r="D81" s="222"/>
      <c r="E81" s="223"/>
      <c r="F81" s="209"/>
      <c r="G81" s="223"/>
      <c r="H81" s="223"/>
      <c r="I81" s="224"/>
      <c r="J81" s="21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</row>
    <row r="82" spans="1:29" ht="13.2" x14ac:dyDescent="0.25">
      <c r="A82" s="199"/>
      <c r="B82" s="220"/>
      <c r="C82" s="221"/>
      <c r="D82" s="222"/>
      <c r="E82" s="223"/>
      <c r="F82" s="209"/>
      <c r="G82" s="223"/>
      <c r="H82" s="223"/>
      <c r="I82" s="224"/>
      <c r="J82" s="21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</row>
    <row r="83" spans="1:29" ht="13.2" x14ac:dyDescent="0.25">
      <c r="A83" s="199"/>
      <c r="B83" s="220"/>
      <c r="C83" s="221"/>
      <c r="D83" s="222"/>
      <c r="E83" s="223"/>
      <c r="F83" s="209"/>
      <c r="G83" s="223"/>
      <c r="H83" s="223"/>
      <c r="I83" s="224"/>
      <c r="J83" s="21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</row>
    <row r="84" spans="1:29" ht="13.2" x14ac:dyDescent="0.25">
      <c r="A84" s="199"/>
      <c r="B84" s="220"/>
      <c r="C84" s="221"/>
      <c r="D84" s="222"/>
      <c r="E84" s="223"/>
      <c r="F84" s="209"/>
      <c r="G84" s="223"/>
      <c r="H84" s="223"/>
      <c r="I84" s="224"/>
      <c r="J84" s="21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</row>
    <row r="85" spans="1:29" ht="13.2" x14ac:dyDescent="0.25">
      <c r="A85" s="199"/>
      <c r="B85" s="220"/>
      <c r="C85" s="221"/>
      <c r="D85" s="222"/>
      <c r="E85" s="223"/>
      <c r="F85" s="209"/>
      <c r="G85" s="223"/>
      <c r="H85" s="223"/>
      <c r="I85" s="224"/>
      <c r="J85" s="21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</row>
    <row r="86" spans="1:29" ht="13.2" x14ac:dyDescent="0.25">
      <c r="A86" s="199"/>
      <c r="B86" s="220"/>
      <c r="C86" s="221"/>
      <c r="D86" s="222"/>
      <c r="E86" s="223"/>
      <c r="F86" s="209"/>
      <c r="G86" s="223"/>
      <c r="H86" s="223"/>
      <c r="I86" s="224"/>
      <c r="J86" s="21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</row>
    <row r="87" spans="1:29" ht="13.2" x14ac:dyDescent="0.25">
      <c r="A87" s="199"/>
      <c r="B87" s="220"/>
      <c r="C87" s="221"/>
      <c r="D87" s="222"/>
      <c r="E87" s="223"/>
      <c r="F87" s="209"/>
      <c r="G87" s="223"/>
      <c r="H87" s="223"/>
      <c r="I87" s="224"/>
      <c r="J87" s="21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</row>
    <row r="88" spans="1:29" ht="13.2" x14ac:dyDescent="0.25">
      <c r="A88" s="199"/>
      <c r="B88" s="220"/>
      <c r="C88" s="221"/>
      <c r="D88" s="222"/>
      <c r="E88" s="223"/>
      <c r="F88" s="209"/>
      <c r="G88" s="223"/>
      <c r="H88" s="223"/>
      <c r="I88" s="224"/>
      <c r="J88" s="21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</row>
    <row r="89" spans="1:29" ht="13.2" x14ac:dyDescent="0.25">
      <c r="A89" s="199"/>
      <c r="B89" s="220"/>
      <c r="C89" s="221"/>
      <c r="D89" s="222"/>
      <c r="E89" s="223"/>
      <c r="F89" s="209"/>
      <c r="G89" s="223"/>
      <c r="H89" s="223"/>
      <c r="I89" s="224"/>
      <c r="J89" s="21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</row>
    <row r="90" spans="1:29" ht="13.2" x14ac:dyDescent="0.25">
      <c r="A90" s="199"/>
      <c r="B90" s="220"/>
      <c r="C90" s="221"/>
      <c r="D90" s="222"/>
      <c r="E90" s="223"/>
      <c r="F90" s="209"/>
      <c r="G90" s="223"/>
      <c r="H90" s="223"/>
      <c r="I90" s="224"/>
      <c r="J90" s="21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</row>
    <row r="91" spans="1:29" ht="13.2" x14ac:dyDescent="0.25">
      <c r="A91" s="199"/>
      <c r="B91" s="220"/>
      <c r="C91" s="221"/>
      <c r="D91" s="222"/>
      <c r="E91" s="223"/>
      <c r="F91" s="209"/>
      <c r="G91" s="223"/>
      <c r="H91" s="223"/>
      <c r="I91" s="224"/>
      <c r="J91" s="21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</row>
    <row r="92" spans="1:29" ht="13.2" x14ac:dyDescent="0.25">
      <c r="A92" s="199"/>
      <c r="B92" s="220"/>
      <c r="C92" s="221"/>
      <c r="D92" s="222"/>
      <c r="E92" s="223"/>
      <c r="F92" s="209"/>
      <c r="G92" s="223"/>
      <c r="H92" s="223"/>
      <c r="I92" s="224"/>
      <c r="J92" s="21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</row>
    <row r="93" spans="1:29" ht="13.2" x14ac:dyDescent="0.25">
      <c r="A93" s="199"/>
      <c r="B93" s="220"/>
      <c r="C93" s="221"/>
      <c r="D93" s="222"/>
      <c r="E93" s="223"/>
      <c r="F93" s="209"/>
      <c r="G93" s="223"/>
      <c r="H93" s="223"/>
      <c r="I93" s="224"/>
      <c r="J93" s="21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</row>
    <row r="94" spans="1:29" ht="13.2" x14ac:dyDescent="0.25">
      <c r="A94" s="199"/>
      <c r="B94" s="220"/>
      <c r="C94" s="221"/>
      <c r="D94" s="222"/>
      <c r="E94" s="223"/>
      <c r="F94" s="209"/>
      <c r="G94" s="223"/>
      <c r="H94" s="223"/>
      <c r="I94" s="224"/>
      <c r="J94" s="21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</row>
    <row r="95" spans="1:29" ht="13.2" x14ac:dyDescent="0.25">
      <c r="A95" s="199"/>
      <c r="B95" s="220"/>
      <c r="C95" s="221"/>
      <c r="D95" s="222"/>
      <c r="E95" s="223"/>
      <c r="F95" s="209"/>
      <c r="G95" s="223"/>
      <c r="H95" s="223"/>
      <c r="I95" s="224"/>
      <c r="J95" s="21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</row>
    <row r="96" spans="1:29" ht="13.2" x14ac:dyDescent="0.25">
      <c r="A96" s="199"/>
      <c r="B96" s="220"/>
      <c r="C96" s="221"/>
      <c r="D96" s="222"/>
      <c r="E96" s="223"/>
      <c r="F96" s="209"/>
      <c r="G96" s="223"/>
      <c r="H96" s="223"/>
      <c r="I96" s="224"/>
      <c r="J96" s="21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</row>
    <row r="97" spans="1:29" ht="13.2" x14ac:dyDescent="0.25">
      <c r="A97" s="199"/>
      <c r="B97" s="220"/>
      <c r="C97" s="221"/>
      <c r="D97" s="222"/>
      <c r="E97" s="223"/>
      <c r="F97" s="209"/>
      <c r="G97" s="223"/>
      <c r="H97" s="223"/>
      <c r="I97" s="224"/>
      <c r="J97" s="21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</row>
    <row r="98" spans="1:29" ht="13.2" x14ac:dyDescent="0.25">
      <c r="A98" s="199"/>
      <c r="B98" s="220"/>
      <c r="C98" s="221"/>
      <c r="D98" s="222"/>
      <c r="E98" s="223"/>
      <c r="F98" s="209"/>
      <c r="G98" s="223"/>
      <c r="H98" s="223"/>
      <c r="I98" s="224"/>
      <c r="J98" s="21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</row>
    <row r="99" spans="1:29" ht="13.2" x14ac:dyDescent="0.25">
      <c r="A99" s="199"/>
      <c r="B99" s="220"/>
      <c r="C99" s="221"/>
      <c r="D99" s="222"/>
      <c r="E99" s="223"/>
      <c r="F99" s="209"/>
      <c r="G99" s="223"/>
      <c r="H99" s="223"/>
      <c r="I99" s="224"/>
      <c r="J99" s="21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</row>
    <row r="100" spans="1:29" ht="13.2" x14ac:dyDescent="0.25">
      <c r="A100" s="199"/>
      <c r="B100" s="220"/>
      <c r="C100" s="221"/>
      <c r="D100" s="222"/>
      <c r="E100" s="223"/>
      <c r="F100" s="209"/>
      <c r="G100" s="223"/>
      <c r="H100" s="223"/>
      <c r="I100" s="224"/>
      <c r="J100" s="21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</row>
    <row r="101" spans="1:29" ht="13.2" x14ac:dyDescent="0.25">
      <c r="A101" s="199"/>
      <c r="B101" s="220"/>
      <c r="C101" s="221"/>
      <c r="D101" s="222"/>
      <c r="E101" s="223"/>
      <c r="F101" s="209"/>
      <c r="G101" s="223"/>
      <c r="H101" s="223"/>
      <c r="I101" s="224"/>
      <c r="J101" s="21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</row>
    <row r="102" spans="1:29" ht="13.2" x14ac:dyDescent="0.25">
      <c r="A102" s="199"/>
      <c r="B102" s="220"/>
      <c r="C102" s="221"/>
      <c r="D102" s="222"/>
      <c r="E102" s="223"/>
      <c r="F102" s="209"/>
      <c r="G102" s="223"/>
      <c r="H102" s="223"/>
      <c r="I102" s="224"/>
      <c r="J102" s="21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</row>
    <row r="103" spans="1:29" ht="13.2" x14ac:dyDescent="0.25">
      <c r="A103" s="199"/>
      <c r="B103" s="220"/>
      <c r="C103" s="221"/>
      <c r="D103" s="222"/>
      <c r="E103" s="223"/>
      <c r="F103" s="209"/>
      <c r="G103" s="223"/>
      <c r="H103" s="223"/>
      <c r="I103" s="224"/>
      <c r="J103" s="21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</row>
    <row r="104" spans="1:29" ht="13.2" x14ac:dyDescent="0.25">
      <c r="A104" s="199"/>
      <c r="B104" s="220"/>
      <c r="C104" s="221"/>
      <c r="D104" s="222"/>
      <c r="E104" s="223"/>
      <c r="F104" s="209"/>
      <c r="G104" s="223"/>
      <c r="H104" s="223"/>
      <c r="I104" s="224"/>
      <c r="J104" s="21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</row>
    <row r="105" spans="1:29" ht="13.2" x14ac:dyDescent="0.25">
      <c r="A105" s="199"/>
      <c r="B105" s="220"/>
      <c r="C105" s="221"/>
      <c r="D105" s="222"/>
      <c r="E105" s="223"/>
      <c r="F105" s="209"/>
      <c r="G105" s="223"/>
      <c r="H105" s="223"/>
      <c r="I105" s="224"/>
      <c r="J105" s="21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</row>
    <row r="106" spans="1:29" ht="13.2" x14ac:dyDescent="0.25">
      <c r="A106" s="199"/>
      <c r="B106" s="220"/>
      <c r="C106" s="221"/>
      <c r="D106" s="222"/>
      <c r="E106" s="223"/>
      <c r="F106" s="209"/>
      <c r="G106" s="223"/>
      <c r="H106" s="223"/>
      <c r="I106" s="224"/>
      <c r="J106" s="21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</row>
    <row r="107" spans="1:29" ht="13.2" x14ac:dyDescent="0.25">
      <c r="A107" s="199"/>
      <c r="B107" s="220"/>
      <c r="C107" s="221"/>
      <c r="D107" s="222"/>
      <c r="E107" s="223"/>
      <c r="F107" s="209"/>
      <c r="G107" s="223"/>
      <c r="H107" s="223"/>
      <c r="I107" s="224"/>
      <c r="J107" s="21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</row>
    <row r="108" spans="1:29" ht="13.2" x14ac:dyDescent="0.25">
      <c r="A108" s="199"/>
      <c r="B108" s="220"/>
      <c r="C108" s="221"/>
      <c r="D108" s="222"/>
      <c r="E108" s="223"/>
      <c r="F108" s="209"/>
      <c r="G108" s="223"/>
      <c r="H108" s="223"/>
      <c r="I108" s="224"/>
      <c r="J108" s="21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</row>
    <row r="109" spans="1:29" ht="13.2" x14ac:dyDescent="0.25">
      <c r="A109" s="199"/>
      <c r="B109" s="220"/>
      <c r="C109" s="221"/>
      <c r="D109" s="222"/>
      <c r="E109" s="223"/>
      <c r="F109" s="209"/>
      <c r="G109" s="223"/>
      <c r="H109" s="223"/>
      <c r="I109" s="224"/>
      <c r="J109" s="21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</row>
    <row r="110" spans="1:29" ht="13.2" x14ac:dyDescent="0.25">
      <c r="A110" s="199"/>
      <c r="B110" s="220"/>
      <c r="C110" s="221"/>
      <c r="D110" s="222"/>
      <c r="E110" s="223"/>
      <c r="F110" s="209"/>
      <c r="G110" s="223"/>
      <c r="H110" s="223"/>
      <c r="I110" s="224"/>
      <c r="J110" s="21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</row>
    <row r="111" spans="1:29" ht="13.2" x14ac:dyDescent="0.25">
      <c r="A111" s="199"/>
      <c r="B111" s="220"/>
      <c r="C111" s="221"/>
      <c r="D111" s="222"/>
      <c r="E111" s="223"/>
      <c r="F111" s="209"/>
      <c r="G111" s="223"/>
      <c r="H111" s="223"/>
      <c r="I111" s="224"/>
      <c r="J111" s="21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</row>
    <row r="112" spans="1:29" ht="13.2" x14ac:dyDescent="0.25">
      <c r="A112" s="199"/>
      <c r="B112" s="220"/>
      <c r="C112" s="221"/>
      <c r="D112" s="222"/>
      <c r="E112" s="223"/>
      <c r="F112" s="209"/>
      <c r="G112" s="223"/>
      <c r="H112" s="223"/>
      <c r="I112" s="224"/>
      <c r="J112" s="21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</row>
    <row r="113" spans="1:29" ht="13.2" x14ac:dyDescent="0.25">
      <c r="A113" s="199"/>
      <c r="B113" s="220"/>
      <c r="C113" s="221"/>
      <c r="D113" s="222"/>
      <c r="E113" s="223"/>
      <c r="F113" s="209"/>
      <c r="G113" s="223"/>
      <c r="H113" s="223"/>
      <c r="I113" s="224"/>
      <c r="J113" s="21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</row>
    <row r="114" spans="1:29" ht="13.2" x14ac:dyDescent="0.25">
      <c r="A114" s="199"/>
      <c r="B114" s="220"/>
      <c r="C114" s="221"/>
      <c r="D114" s="222"/>
      <c r="E114" s="223"/>
      <c r="F114" s="209"/>
      <c r="G114" s="223"/>
      <c r="H114" s="223"/>
      <c r="I114" s="224"/>
      <c r="J114" s="21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</row>
    <row r="115" spans="1:29" ht="13.2" x14ac:dyDescent="0.25">
      <c r="A115" s="199"/>
      <c r="B115" s="220"/>
      <c r="C115" s="221"/>
      <c r="D115" s="222"/>
      <c r="E115" s="223"/>
      <c r="F115" s="209"/>
      <c r="G115" s="223"/>
      <c r="H115" s="223"/>
      <c r="I115" s="224"/>
      <c r="J115" s="21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</row>
    <row r="116" spans="1:29" ht="13.2" x14ac:dyDescent="0.25">
      <c r="A116" s="199"/>
      <c r="B116" s="220"/>
      <c r="C116" s="221"/>
      <c r="D116" s="222"/>
      <c r="E116" s="223"/>
      <c r="F116" s="209"/>
      <c r="G116" s="223"/>
      <c r="H116" s="223"/>
      <c r="I116" s="224"/>
      <c r="J116" s="21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</row>
    <row r="117" spans="1:29" ht="13.2" x14ac:dyDescent="0.25">
      <c r="A117" s="199"/>
      <c r="B117" s="220"/>
      <c r="C117" s="221"/>
      <c r="D117" s="222"/>
      <c r="E117" s="223"/>
      <c r="F117" s="209"/>
      <c r="G117" s="223"/>
      <c r="H117" s="223"/>
      <c r="I117" s="224"/>
      <c r="J117" s="21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</row>
    <row r="118" spans="1:29" ht="13.2" x14ac:dyDescent="0.25">
      <c r="A118" s="199"/>
      <c r="B118" s="220"/>
      <c r="C118" s="221"/>
      <c r="D118" s="222"/>
      <c r="E118" s="223"/>
      <c r="F118" s="209"/>
      <c r="G118" s="223"/>
      <c r="H118" s="223"/>
      <c r="I118" s="224"/>
      <c r="J118" s="21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</row>
    <row r="119" spans="1:29" ht="13.2" x14ac:dyDescent="0.25">
      <c r="A119" s="199"/>
      <c r="B119" s="220"/>
      <c r="C119" s="221"/>
      <c r="D119" s="222"/>
      <c r="E119" s="223"/>
      <c r="F119" s="209"/>
      <c r="G119" s="223"/>
      <c r="H119" s="223"/>
      <c r="I119" s="224"/>
      <c r="J119" s="21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</row>
    <row r="120" spans="1:29" ht="13.2" x14ac:dyDescent="0.25">
      <c r="A120" s="199"/>
      <c r="B120" s="220"/>
      <c r="C120" s="221"/>
      <c r="D120" s="222"/>
      <c r="E120" s="223"/>
      <c r="F120" s="209"/>
      <c r="G120" s="223"/>
      <c r="H120" s="223"/>
      <c r="I120" s="224"/>
      <c r="J120" s="21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</row>
    <row r="121" spans="1:29" ht="13.2" x14ac:dyDescent="0.25">
      <c r="A121" s="199"/>
      <c r="B121" s="220"/>
      <c r="C121" s="221"/>
      <c r="D121" s="222"/>
      <c r="E121" s="223"/>
      <c r="F121" s="209"/>
      <c r="G121" s="223"/>
      <c r="H121" s="223"/>
      <c r="I121" s="224"/>
      <c r="J121" s="21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</row>
    <row r="122" spans="1:29" ht="13.2" x14ac:dyDescent="0.25">
      <c r="A122" s="199"/>
      <c r="B122" s="220"/>
      <c r="C122" s="221"/>
      <c r="D122" s="222"/>
      <c r="E122" s="223"/>
      <c r="F122" s="209"/>
      <c r="G122" s="223"/>
      <c r="H122" s="223"/>
      <c r="I122" s="224"/>
      <c r="J122" s="21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</row>
    <row r="123" spans="1:29" ht="13.2" x14ac:dyDescent="0.25">
      <c r="A123" s="199"/>
      <c r="B123" s="220"/>
      <c r="C123" s="221"/>
      <c r="D123" s="222"/>
      <c r="E123" s="223"/>
      <c r="F123" s="209"/>
      <c r="G123" s="223"/>
      <c r="H123" s="223"/>
      <c r="I123" s="224"/>
      <c r="J123" s="21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</row>
    <row r="124" spans="1:29" ht="13.2" x14ac:dyDescent="0.25">
      <c r="A124" s="199"/>
      <c r="B124" s="220"/>
      <c r="C124" s="221"/>
      <c r="D124" s="222"/>
      <c r="E124" s="223"/>
      <c r="F124" s="209"/>
      <c r="G124" s="223"/>
      <c r="H124" s="223"/>
      <c r="I124" s="224"/>
      <c r="J124" s="21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</row>
    <row r="125" spans="1:29" ht="13.2" x14ac:dyDescent="0.25">
      <c r="A125" s="199"/>
      <c r="B125" s="220"/>
      <c r="C125" s="221"/>
      <c r="D125" s="222"/>
      <c r="E125" s="223"/>
      <c r="F125" s="209"/>
      <c r="G125" s="223"/>
      <c r="H125" s="223"/>
      <c r="I125" s="224"/>
      <c r="J125" s="21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</row>
    <row r="126" spans="1:29" ht="13.2" x14ac:dyDescent="0.25">
      <c r="A126" s="199"/>
      <c r="B126" s="220"/>
      <c r="C126" s="221"/>
      <c r="D126" s="222"/>
      <c r="E126" s="223"/>
      <c r="F126" s="209"/>
      <c r="G126" s="223"/>
      <c r="H126" s="223"/>
      <c r="I126" s="224"/>
      <c r="J126" s="21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</row>
    <row r="127" spans="1:29" ht="13.2" x14ac:dyDescent="0.25">
      <c r="A127" s="199"/>
      <c r="B127" s="220"/>
      <c r="C127" s="221"/>
      <c r="D127" s="222"/>
      <c r="E127" s="223"/>
      <c r="F127" s="209"/>
      <c r="G127" s="223"/>
      <c r="H127" s="223"/>
      <c r="I127" s="224"/>
      <c r="J127" s="21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</row>
    <row r="128" spans="1:29" ht="13.2" x14ac:dyDescent="0.25">
      <c r="A128" s="199"/>
      <c r="B128" s="220"/>
      <c r="C128" s="221"/>
      <c r="D128" s="222"/>
      <c r="E128" s="223"/>
      <c r="F128" s="209"/>
      <c r="G128" s="223"/>
      <c r="H128" s="223"/>
      <c r="I128" s="224"/>
      <c r="J128" s="21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</row>
    <row r="129" spans="1:29" ht="13.2" x14ac:dyDescent="0.25">
      <c r="A129" s="199"/>
      <c r="B129" s="220"/>
      <c r="C129" s="221"/>
      <c r="D129" s="222"/>
      <c r="E129" s="223"/>
      <c r="F129" s="209"/>
      <c r="G129" s="223"/>
      <c r="H129" s="223"/>
      <c r="I129" s="224"/>
      <c r="J129" s="21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</row>
    <row r="130" spans="1:29" ht="13.2" x14ac:dyDescent="0.25">
      <c r="A130" s="199"/>
      <c r="B130" s="220"/>
      <c r="C130" s="221"/>
      <c r="D130" s="222"/>
      <c r="E130" s="223"/>
      <c r="F130" s="209"/>
      <c r="G130" s="223"/>
      <c r="H130" s="223"/>
      <c r="I130" s="224"/>
      <c r="J130" s="21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</row>
    <row r="131" spans="1:29" ht="13.2" x14ac:dyDescent="0.25">
      <c r="A131" s="199"/>
      <c r="B131" s="220"/>
      <c r="C131" s="221"/>
      <c r="D131" s="222"/>
      <c r="E131" s="223"/>
      <c r="F131" s="209"/>
      <c r="G131" s="223"/>
      <c r="H131" s="223"/>
      <c r="I131" s="224"/>
      <c r="J131" s="21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</row>
    <row r="132" spans="1:29" ht="13.2" x14ac:dyDescent="0.25">
      <c r="A132" s="199"/>
      <c r="B132" s="220"/>
      <c r="C132" s="221"/>
      <c r="D132" s="222"/>
      <c r="E132" s="223"/>
      <c r="F132" s="209"/>
      <c r="G132" s="223"/>
      <c r="H132" s="223"/>
      <c r="I132" s="224"/>
      <c r="J132" s="21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</row>
    <row r="133" spans="1:29" ht="13.2" x14ac:dyDescent="0.25">
      <c r="A133" s="199"/>
      <c r="B133" s="220"/>
      <c r="C133" s="221"/>
      <c r="D133" s="222"/>
      <c r="E133" s="223"/>
      <c r="F133" s="209"/>
      <c r="G133" s="223"/>
      <c r="H133" s="223"/>
      <c r="I133" s="224"/>
      <c r="J133" s="21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</row>
    <row r="134" spans="1:29" ht="13.2" x14ac:dyDescent="0.25">
      <c r="A134" s="199"/>
      <c r="B134" s="220"/>
      <c r="C134" s="221"/>
      <c r="D134" s="222"/>
      <c r="E134" s="223"/>
      <c r="F134" s="209"/>
      <c r="G134" s="223"/>
      <c r="H134" s="223"/>
      <c r="I134" s="224"/>
      <c r="J134" s="21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</row>
    <row r="135" spans="1:29" ht="13.2" x14ac:dyDescent="0.25">
      <c r="A135" s="199"/>
      <c r="B135" s="220"/>
      <c r="C135" s="221"/>
      <c r="D135" s="222"/>
      <c r="E135" s="223"/>
      <c r="F135" s="209"/>
      <c r="G135" s="223"/>
      <c r="H135" s="223"/>
      <c r="I135" s="224"/>
      <c r="J135" s="21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</row>
    <row r="136" spans="1:29" ht="13.2" x14ac:dyDescent="0.25">
      <c r="A136" s="199"/>
      <c r="B136" s="220"/>
      <c r="C136" s="221"/>
      <c r="D136" s="222"/>
      <c r="E136" s="223"/>
      <c r="F136" s="209"/>
      <c r="G136" s="223"/>
      <c r="H136" s="223"/>
      <c r="I136" s="224"/>
      <c r="J136" s="21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</row>
    <row r="137" spans="1:29" ht="13.2" x14ac:dyDescent="0.25">
      <c r="A137" s="199"/>
      <c r="B137" s="220"/>
      <c r="C137" s="221"/>
      <c r="D137" s="222"/>
      <c r="E137" s="223"/>
      <c r="F137" s="209"/>
      <c r="G137" s="223"/>
      <c r="H137" s="223"/>
      <c r="I137" s="224"/>
      <c r="J137" s="21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</row>
    <row r="138" spans="1:29" ht="13.2" x14ac:dyDescent="0.25">
      <c r="A138" s="199"/>
      <c r="B138" s="220"/>
      <c r="C138" s="221"/>
      <c r="D138" s="222"/>
      <c r="E138" s="223"/>
      <c r="F138" s="209"/>
      <c r="G138" s="223"/>
      <c r="H138" s="223"/>
      <c r="I138" s="224"/>
      <c r="J138" s="21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</row>
    <row r="139" spans="1:29" ht="13.2" x14ac:dyDescent="0.25">
      <c r="A139" s="199"/>
      <c r="B139" s="220"/>
      <c r="C139" s="221"/>
      <c r="D139" s="222"/>
      <c r="E139" s="223"/>
      <c r="F139" s="209"/>
      <c r="G139" s="223"/>
      <c r="H139" s="223"/>
      <c r="I139" s="224"/>
      <c r="J139" s="21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</row>
    <row r="140" spans="1:29" ht="13.2" x14ac:dyDescent="0.25">
      <c r="A140" s="199"/>
      <c r="B140" s="220"/>
      <c r="C140" s="221"/>
      <c r="D140" s="222"/>
      <c r="E140" s="223"/>
      <c r="F140" s="209"/>
      <c r="G140" s="223"/>
      <c r="H140" s="223"/>
      <c r="I140" s="224"/>
      <c r="J140" s="21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</row>
    <row r="141" spans="1:29" ht="13.2" x14ac:dyDescent="0.25">
      <c r="A141" s="199"/>
      <c r="B141" s="220"/>
      <c r="C141" s="221"/>
      <c r="D141" s="222"/>
      <c r="E141" s="223"/>
      <c r="F141" s="209"/>
      <c r="G141" s="223"/>
      <c r="H141" s="223"/>
      <c r="I141" s="224"/>
      <c r="J141" s="21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</row>
    <row r="142" spans="1:29" ht="13.2" x14ac:dyDescent="0.25">
      <c r="A142" s="199"/>
      <c r="B142" s="220"/>
      <c r="C142" s="221"/>
      <c r="D142" s="222"/>
      <c r="E142" s="223"/>
      <c r="F142" s="209"/>
      <c r="G142" s="223"/>
      <c r="H142" s="223"/>
      <c r="I142" s="224"/>
      <c r="J142" s="21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</row>
    <row r="143" spans="1:29" ht="13.2" x14ac:dyDescent="0.25">
      <c r="A143" s="199"/>
      <c r="B143" s="220"/>
      <c r="C143" s="221"/>
      <c r="D143" s="222"/>
      <c r="E143" s="223"/>
      <c r="F143" s="209"/>
      <c r="G143" s="223"/>
      <c r="H143" s="223"/>
      <c r="I143" s="224"/>
      <c r="J143" s="21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</row>
    <row r="144" spans="1:29" ht="13.2" x14ac:dyDescent="0.25">
      <c r="A144" s="199"/>
      <c r="B144" s="220"/>
      <c r="C144" s="221"/>
      <c r="D144" s="222"/>
      <c r="E144" s="223"/>
      <c r="F144" s="209"/>
      <c r="G144" s="223"/>
      <c r="H144" s="223"/>
      <c r="I144" s="224"/>
      <c r="J144" s="21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</row>
    <row r="145" spans="1:29" ht="13.2" x14ac:dyDescent="0.25">
      <c r="A145" s="199"/>
      <c r="B145" s="220"/>
      <c r="C145" s="221"/>
      <c r="D145" s="222"/>
      <c r="E145" s="223"/>
      <c r="F145" s="209"/>
      <c r="G145" s="223"/>
      <c r="H145" s="223"/>
      <c r="I145" s="224"/>
      <c r="J145" s="21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</row>
    <row r="146" spans="1:29" ht="13.2" x14ac:dyDescent="0.25">
      <c r="A146" s="199"/>
      <c r="B146" s="220"/>
      <c r="C146" s="221"/>
      <c r="D146" s="222"/>
      <c r="E146" s="223"/>
      <c r="F146" s="209"/>
      <c r="G146" s="223"/>
      <c r="H146" s="223"/>
      <c r="I146" s="224"/>
      <c r="J146" s="21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</row>
    <row r="147" spans="1:29" ht="13.2" x14ac:dyDescent="0.25">
      <c r="A147" s="199"/>
      <c r="B147" s="220"/>
      <c r="C147" s="221"/>
      <c r="D147" s="222"/>
      <c r="E147" s="223"/>
      <c r="F147" s="209"/>
      <c r="G147" s="223"/>
      <c r="H147" s="223"/>
      <c r="I147" s="224"/>
      <c r="J147" s="21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</row>
    <row r="148" spans="1:29" ht="13.2" x14ac:dyDescent="0.25">
      <c r="A148" s="199"/>
      <c r="B148" s="220"/>
      <c r="C148" s="221"/>
      <c r="D148" s="222"/>
      <c r="E148" s="223"/>
      <c r="F148" s="209"/>
      <c r="G148" s="223"/>
      <c r="H148" s="223"/>
      <c r="I148" s="224"/>
      <c r="J148" s="21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</row>
    <row r="149" spans="1:29" ht="13.2" x14ac:dyDescent="0.25">
      <c r="A149" s="199"/>
      <c r="B149" s="220"/>
      <c r="C149" s="221"/>
      <c r="D149" s="222"/>
      <c r="E149" s="223"/>
      <c r="F149" s="209"/>
      <c r="G149" s="223"/>
      <c r="H149" s="223"/>
      <c r="I149" s="224"/>
      <c r="J149" s="21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</row>
    <row r="150" spans="1:29" ht="13.2" x14ac:dyDescent="0.25">
      <c r="A150" s="199"/>
      <c r="B150" s="220"/>
      <c r="C150" s="221"/>
      <c r="D150" s="222"/>
      <c r="E150" s="223"/>
      <c r="F150" s="209"/>
      <c r="G150" s="223"/>
      <c r="H150" s="223"/>
      <c r="I150" s="224"/>
      <c r="J150" s="21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</row>
    <row r="151" spans="1:29" ht="13.2" x14ac:dyDescent="0.25">
      <c r="A151" s="199"/>
      <c r="B151" s="220"/>
      <c r="C151" s="221"/>
      <c r="D151" s="222"/>
      <c r="E151" s="223"/>
      <c r="F151" s="209"/>
      <c r="G151" s="223"/>
      <c r="H151" s="223"/>
      <c r="I151" s="224"/>
      <c r="J151" s="21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</row>
    <row r="152" spans="1:29" ht="13.2" x14ac:dyDescent="0.25">
      <c r="A152" s="199"/>
      <c r="B152" s="220"/>
      <c r="C152" s="221"/>
      <c r="D152" s="222"/>
      <c r="E152" s="223"/>
      <c r="F152" s="209"/>
      <c r="G152" s="223"/>
      <c r="H152" s="223"/>
      <c r="I152" s="224"/>
      <c r="J152" s="21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</row>
    <row r="153" spans="1:29" ht="13.2" x14ac:dyDescent="0.25">
      <c r="A153" s="199"/>
      <c r="B153" s="220"/>
      <c r="C153" s="221"/>
      <c r="D153" s="222"/>
      <c r="E153" s="223"/>
      <c r="F153" s="209"/>
      <c r="G153" s="223"/>
      <c r="H153" s="223"/>
      <c r="I153" s="224"/>
      <c r="J153" s="21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</row>
    <row r="154" spans="1:29" ht="13.2" x14ac:dyDescent="0.25">
      <c r="A154" s="199"/>
      <c r="B154" s="220"/>
      <c r="C154" s="221"/>
      <c r="D154" s="222"/>
      <c r="E154" s="223"/>
      <c r="F154" s="209"/>
      <c r="G154" s="223"/>
      <c r="H154" s="223"/>
      <c r="I154" s="224"/>
      <c r="J154" s="21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</row>
    <row r="155" spans="1:29" ht="13.2" x14ac:dyDescent="0.25">
      <c r="A155" s="199"/>
      <c r="B155" s="220"/>
      <c r="C155" s="221"/>
      <c r="D155" s="222"/>
      <c r="E155" s="223"/>
      <c r="F155" s="209"/>
      <c r="G155" s="223"/>
      <c r="H155" s="223"/>
      <c r="I155" s="224"/>
      <c r="J155" s="21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</row>
    <row r="156" spans="1:29" ht="13.2" x14ac:dyDescent="0.25">
      <c r="A156" s="199"/>
      <c r="B156" s="220"/>
      <c r="C156" s="221"/>
      <c r="D156" s="222"/>
      <c r="E156" s="223"/>
      <c r="F156" s="209"/>
      <c r="G156" s="223"/>
      <c r="H156" s="223"/>
      <c r="I156" s="224"/>
      <c r="J156" s="21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</row>
    <row r="157" spans="1:29" ht="13.2" x14ac:dyDescent="0.25">
      <c r="A157" s="199"/>
      <c r="B157" s="220"/>
      <c r="C157" s="221"/>
      <c r="D157" s="222"/>
      <c r="E157" s="223"/>
      <c r="F157" s="209"/>
      <c r="G157" s="223"/>
      <c r="H157" s="223"/>
      <c r="I157" s="224"/>
      <c r="J157" s="21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</row>
    <row r="158" spans="1:29" ht="13.2" x14ac:dyDescent="0.25">
      <c r="A158" s="199"/>
      <c r="B158" s="220"/>
      <c r="C158" s="221"/>
      <c r="D158" s="222"/>
      <c r="E158" s="223"/>
      <c r="F158" s="209"/>
      <c r="G158" s="223"/>
      <c r="H158" s="223"/>
      <c r="I158" s="224"/>
      <c r="J158" s="21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</row>
    <row r="159" spans="1:29" ht="13.2" x14ac:dyDescent="0.25">
      <c r="A159" s="199"/>
      <c r="B159" s="220"/>
      <c r="C159" s="221"/>
      <c r="D159" s="222"/>
      <c r="E159" s="223"/>
      <c r="F159" s="209"/>
      <c r="G159" s="223"/>
      <c r="H159" s="223"/>
      <c r="I159" s="224"/>
      <c r="J159" s="21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</row>
    <row r="160" spans="1:29" ht="13.2" x14ac:dyDescent="0.25">
      <c r="A160" s="199"/>
      <c r="B160" s="220"/>
      <c r="C160" s="221"/>
      <c r="D160" s="222"/>
      <c r="E160" s="223"/>
      <c r="F160" s="209"/>
      <c r="G160" s="223"/>
      <c r="H160" s="223"/>
      <c r="I160" s="224"/>
      <c r="J160" s="21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</row>
    <row r="161" spans="1:29" ht="13.2" x14ac:dyDescent="0.25">
      <c r="A161" s="199"/>
      <c r="B161" s="220"/>
      <c r="C161" s="221"/>
      <c r="D161" s="222"/>
      <c r="E161" s="223"/>
      <c r="F161" s="209"/>
      <c r="G161" s="223"/>
      <c r="H161" s="223"/>
      <c r="I161" s="224"/>
      <c r="J161" s="21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</row>
    <row r="162" spans="1:29" ht="13.2" x14ac:dyDescent="0.25">
      <c r="A162" s="199"/>
      <c r="B162" s="220"/>
      <c r="C162" s="221"/>
      <c r="D162" s="222"/>
      <c r="E162" s="223"/>
      <c r="F162" s="209"/>
      <c r="G162" s="223"/>
      <c r="H162" s="223"/>
      <c r="I162" s="224"/>
      <c r="J162" s="21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</row>
    <row r="163" spans="1:29" ht="13.2" x14ac:dyDescent="0.25">
      <c r="A163" s="199"/>
      <c r="B163" s="220"/>
      <c r="C163" s="221"/>
      <c r="D163" s="222"/>
      <c r="E163" s="223"/>
      <c r="F163" s="209"/>
      <c r="G163" s="223"/>
      <c r="H163" s="223"/>
      <c r="I163" s="224"/>
      <c r="J163" s="21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</row>
    <row r="164" spans="1:29" ht="13.2" x14ac:dyDescent="0.25">
      <c r="A164" s="199"/>
      <c r="B164" s="220"/>
      <c r="C164" s="221"/>
      <c r="D164" s="222"/>
      <c r="E164" s="223"/>
      <c r="F164" s="209"/>
      <c r="G164" s="223"/>
      <c r="H164" s="223"/>
      <c r="I164" s="224"/>
      <c r="J164" s="21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</row>
    <row r="165" spans="1:29" ht="13.2" x14ac:dyDescent="0.25">
      <c r="A165" s="199"/>
      <c r="B165" s="220"/>
      <c r="C165" s="221"/>
      <c r="D165" s="222"/>
      <c r="E165" s="223"/>
      <c r="F165" s="209"/>
      <c r="G165" s="223"/>
      <c r="H165" s="223"/>
      <c r="I165" s="224"/>
      <c r="J165" s="21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</row>
    <row r="166" spans="1:29" ht="13.2" x14ac:dyDescent="0.25">
      <c r="A166" s="199"/>
      <c r="B166" s="220"/>
      <c r="C166" s="221"/>
      <c r="D166" s="222"/>
      <c r="E166" s="223"/>
      <c r="F166" s="209"/>
      <c r="G166" s="223"/>
      <c r="H166" s="223"/>
      <c r="I166" s="224"/>
      <c r="J166" s="21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</row>
    <row r="167" spans="1:29" ht="13.2" x14ac:dyDescent="0.25">
      <c r="A167" s="199"/>
      <c r="B167" s="220"/>
      <c r="C167" s="221"/>
      <c r="D167" s="222"/>
      <c r="E167" s="223"/>
      <c r="F167" s="209"/>
      <c r="G167" s="223"/>
      <c r="H167" s="223"/>
      <c r="I167" s="224"/>
      <c r="J167" s="21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</row>
    <row r="168" spans="1:29" ht="13.2" x14ac:dyDescent="0.25">
      <c r="A168" s="199"/>
      <c r="B168" s="220"/>
      <c r="C168" s="221"/>
      <c r="D168" s="222"/>
      <c r="E168" s="223"/>
      <c r="F168" s="209"/>
      <c r="G168" s="223"/>
      <c r="H168" s="223"/>
      <c r="I168" s="224"/>
      <c r="J168" s="21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</row>
    <row r="169" spans="1:29" ht="13.2" x14ac:dyDescent="0.25">
      <c r="A169" s="199"/>
      <c r="B169" s="220"/>
      <c r="C169" s="221"/>
      <c r="D169" s="222"/>
      <c r="E169" s="223"/>
      <c r="F169" s="209"/>
      <c r="G169" s="223"/>
      <c r="H169" s="223"/>
      <c r="I169" s="224"/>
      <c r="J169" s="21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</row>
    <row r="170" spans="1:29" ht="13.2" x14ac:dyDescent="0.25">
      <c r="A170" s="199"/>
      <c r="B170" s="220"/>
      <c r="C170" s="221"/>
      <c r="D170" s="222"/>
      <c r="E170" s="223"/>
      <c r="F170" s="209"/>
      <c r="G170" s="223"/>
      <c r="H170" s="223"/>
      <c r="I170" s="224"/>
      <c r="J170" s="21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</row>
    <row r="171" spans="1:29" ht="13.2" x14ac:dyDescent="0.25">
      <c r="A171" s="199"/>
      <c r="B171" s="220"/>
      <c r="C171" s="221"/>
      <c r="D171" s="222"/>
      <c r="E171" s="223"/>
      <c r="F171" s="209"/>
      <c r="G171" s="223"/>
      <c r="H171" s="223"/>
      <c r="I171" s="224"/>
      <c r="J171" s="21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</row>
    <row r="172" spans="1:29" ht="13.2" x14ac:dyDescent="0.25">
      <c r="A172" s="199"/>
      <c r="B172" s="220"/>
      <c r="C172" s="221"/>
      <c r="D172" s="222"/>
      <c r="E172" s="223"/>
      <c r="F172" s="209"/>
      <c r="G172" s="223"/>
      <c r="H172" s="223"/>
      <c r="I172" s="224"/>
      <c r="J172" s="21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</row>
    <row r="173" spans="1:29" ht="13.2" x14ac:dyDescent="0.25">
      <c r="A173" s="199"/>
      <c r="B173" s="220"/>
      <c r="C173" s="221"/>
      <c r="D173" s="222"/>
      <c r="E173" s="223"/>
      <c r="F173" s="209"/>
      <c r="G173" s="223"/>
      <c r="H173" s="223"/>
      <c r="I173" s="224"/>
      <c r="J173" s="21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</row>
    <row r="174" spans="1:29" ht="13.2" x14ac:dyDescent="0.25">
      <c r="A174" s="199"/>
      <c r="B174" s="220"/>
      <c r="C174" s="221"/>
      <c r="D174" s="222"/>
      <c r="E174" s="223"/>
      <c r="F174" s="209"/>
      <c r="G174" s="223"/>
      <c r="H174" s="223"/>
      <c r="I174" s="224"/>
      <c r="J174" s="21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</row>
    <row r="175" spans="1:29" ht="13.2" x14ac:dyDescent="0.25">
      <c r="A175" s="199"/>
      <c r="B175" s="220"/>
      <c r="C175" s="221"/>
      <c r="D175" s="222"/>
      <c r="E175" s="223"/>
      <c r="F175" s="209"/>
      <c r="G175" s="223"/>
      <c r="H175" s="223"/>
      <c r="I175" s="224"/>
      <c r="J175" s="21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</row>
    <row r="176" spans="1:29" ht="13.2" x14ac:dyDescent="0.25">
      <c r="A176" s="199"/>
      <c r="B176" s="220"/>
      <c r="C176" s="221"/>
      <c r="D176" s="222"/>
      <c r="E176" s="223"/>
      <c r="F176" s="209"/>
      <c r="G176" s="223"/>
      <c r="H176" s="223"/>
      <c r="I176" s="224"/>
      <c r="J176" s="21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</row>
    <row r="177" spans="1:29" ht="13.2" x14ac:dyDescent="0.25">
      <c r="A177" s="199"/>
      <c r="B177" s="220"/>
      <c r="C177" s="221"/>
      <c r="D177" s="222"/>
      <c r="E177" s="223"/>
      <c r="F177" s="209"/>
      <c r="G177" s="223"/>
      <c r="H177" s="223"/>
      <c r="I177" s="224"/>
      <c r="J177" s="21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</row>
    <row r="178" spans="1:29" ht="13.2" x14ac:dyDescent="0.25">
      <c r="A178" s="199"/>
      <c r="B178" s="220"/>
      <c r="C178" s="221"/>
      <c r="D178" s="222"/>
      <c r="E178" s="223"/>
      <c r="F178" s="209"/>
      <c r="G178" s="223"/>
      <c r="H178" s="223"/>
      <c r="I178" s="224"/>
      <c r="J178" s="21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</row>
    <row r="179" spans="1:29" ht="13.2" x14ac:dyDescent="0.25">
      <c r="A179" s="199"/>
      <c r="B179" s="220"/>
      <c r="C179" s="221"/>
      <c r="D179" s="222"/>
      <c r="E179" s="223"/>
      <c r="F179" s="209"/>
      <c r="G179" s="223"/>
      <c r="H179" s="223"/>
      <c r="I179" s="224"/>
      <c r="J179" s="21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</row>
    <row r="180" spans="1:29" ht="13.2" x14ac:dyDescent="0.25">
      <c r="A180" s="199"/>
      <c r="B180" s="220"/>
      <c r="C180" s="221"/>
      <c r="D180" s="222"/>
      <c r="E180" s="223"/>
      <c r="F180" s="209"/>
      <c r="G180" s="223"/>
      <c r="H180" s="223"/>
      <c r="I180" s="224"/>
      <c r="J180" s="21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</row>
    <row r="181" spans="1:29" ht="13.2" x14ac:dyDescent="0.25">
      <c r="A181" s="199"/>
      <c r="B181" s="220"/>
      <c r="C181" s="221"/>
      <c r="D181" s="222"/>
      <c r="E181" s="223"/>
      <c r="F181" s="209"/>
      <c r="G181" s="223"/>
      <c r="H181" s="223"/>
      <c r="I181" s="224"/>
      <c r="J181" s="21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</row>
    <row r="182" spans="1:29" ht="13.2" x14ac:dyDescent="0.25">
      <c r="A182" s="199"/>
      <c r="B182" s="220"/>
      <c r="C182" s="221"/>
      <c r="D182" s="222"/>
      <c r="E182" s="223"/>
      <c r="F182" s="209"/>
      <c r="G182" s="223"/>
      <c r="H182" s="223"/>
      <c r="I182" s="224"/>
      <c r="J182" s="21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</row>
    <row r="183" spans="1:29" ht="13.2" x14ac:dyDescent="0.25">
      <c r="A183" s="199"/>
      <c r="B183" s="220"/>
      <c r="C183" s="221"/>
      <c r="D183" s="222"/>
      <c r="E183" s="223"/>
      <c r="F183" s="209"/>
      <c r="G183" s="223"/>
      <c r="H183" s="223"/>
      <c r="I183" s="224"/>
      <c r="J183" s="21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</row>
    <row r="184" spans="1:29" ht="13.2" x14ac:dyDescent="0.25">
      <c r="A184" s="199"/>
      <c r="B184" s="220"/>
      <c r="C184" s="221"/>
      <c r="D184" s="222"/>
      <c r="E184" s="223"/>
      <c r="F184" s="209"/>
      <c r="G184" s="223"/>
      <c r="H184" s="223"/>
      <c r="I184" s="224"/>
      <c r="J184" s="21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</row>
    <row r="185" spans="1:29" ht="13.2" x14ac:dyDescent="0.25">
      <c r="A185" s="199"/>
      <c r="B185" s="220"/>
      <c r="C185" s="221"/>
      <c r="D185" s="222"/>
      <c r="E185" s="223"/>
      <c r="F185" s="209"/>
      <c r="G185" s="223"/>
      <c r="H185" s="223"/>
      <c r="I185" s="224"/>
      <c r="J185" s="21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</row>
    <row r="186" spans="1:29" ht="13.2" x14ac:dyDescent="0.25">
      <c r="A186" s="199"/>
      <c r="B186" s="220"/>
      <c r="C186" s="221"/>
      <c r="D186" s="222"/>
      <c r="E186" s="223"/>
      <c r="F186" s="209"/>
      <c r="G186" s="223"/>
      <c r="H186" s="223"/>
      <c r="I186" s="224"/>
      <c r="J186" s="21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</row>
    <row r="187" spans="1:29" ht="13.2" x14ac:dyDescent="0.25">
      <c r="A187" s="199"/>
      <c r="B187" s="220"/>
      <c r="C187" s="221"/>
      <c r="D187" s="222"/>
      <c r="E187" s="223"/>
      <c r="F187" s="209"/>
      <c r="G187" s="223"/>
      <c r="H187" s="223"/>
      <c r="I187" s="224"/>
      <c r="J187" s="21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</row>
    <row r="188" spans="1:29" ht="13.2" x14ac:dyDescent="0.25">
      <c r="A188" s="199"/>
      <c r="B188" s="220"/>
      <c r="C188" s="221"/>
      <c r="D188" s="222"/>
      <c r="E188" s="223"/>
      <c r="F188" s="209"/>
      <c r="G188" s="223"/>
      <c r="H188" s="223"/>
      <c r="I188" s="224"/>
      <c r="J188" s="21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</row>
    <row r="189" spans="1:29" ht="13.2" x14ac:dyDescent="0.25">
      <c r="A189" s="199"/>
      <c r="B189" s="220"/>
      <c r="C189" s="221"/>
      <c r="D189" s="222"/>
      <c r="E189" s="223"/>
      <c r="F189" s="209"/>
      <c r="G189" s="223"/>
      <c r="H189" s="223"/>
      <c r="I189" s="224"/>
      <c r="J189" s="21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</row>
    <row r="190" spans="1:29" ht="13.2" x14ac:dyDescent="0.25">
      <c r="A190" s="199"/>
      <c r="B190" s="220"/>
      <c r="C190" s="221"/>
      <c r="D190" s="222"/>
      <c r="E190" s="223"/>
      <c r="F190" s="209"/>
      <c r="G190" s="223"/>
      <c r="H190" s="223"/>
      <c r="I190" s="224"/>
      <c r="J190" s="21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</row>
    <row r="191" spans="1:29" ht="13.2" x14ac:dyDescent="0.25">
      <c r="A191" s="199"/>
      <c r="B191" s="220"/>
      <c r="C191" s="221"/>
      <c r="D191" s="222"/>
      <c r="E191" s="223"/>
      <c r="F191" s="209"/>
      <c r="G191" s="223"/>
      <c r="H191" s="223"/>
      <c r="I191" s="224"/>
      <c r="J191" s="21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</row>
    <row r="192" spans="1:29" ht="13.2" x14ac:dyDescent="0.25">
      <c r="A192" s="199"/>
      <c r="B192" s="220"/>
      <c r="C192" s="221"/>
      <c r="D192" s="222"/>
      <c r="E192" s="223"/>
      <c r="F192" s="209"/>
      <c r="G192" s="223"/>
      <c r="H192" s="223"/>
      <c r="I192" s="224"/>
      <c r="J192" s="21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</row>
    <row r="193" spans="1:29" ht="13.2" x14ac:dyDescent="0.25">
      <c r="A193" s="199"/>
      <c r="B193" s="220"/>
      <c r="C193" s="221"/>
      <c r="D193" s="222"/>
      <c r="E193" s="223"/>
      <c r="F193" s="209"/>
      <c r="G193" s="223"/>
      <c r="H193" s="223"/>
      <c r="I193" s="224"/>
      <c r="J193" s="21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</row>
    <row r="194" spans="1:29" ht="13.2" x14ac:dyDescent="0.25">
      <c r="A194" s="199"/>
      <c r="B194" s="220"/>
      <c r="C194" s="221"/>
      <c r="D194" s="222"/>
      <c r="E194" s="223"/>
      <c r="F194" s="209"/>
      <c r="G194" s="223"/>
      <c r="H194" s="223"/>
      <c r="I194" s="224"/>
      <c r="J194" s="21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</row>
    <row r="195" spans="1:29" ht="13.2" x14ac:dyDescent="0.25">
      <c r="A195" s="199"/>
      <c r="B195" s="220"/>
      <c r="C195" s="221"/>
      <c r="D195" s="222"/>
      <c r="E195" s="223"/>
      <c r="F195" s="209"/>
      <c r="G195" s="223"/>
      <c r="H195" s="223"/>
      <c r="I195" s="224"/>
      <c r="J195" s="21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</row>
    <row r="196" spans="1:29" ht="13.2" x14ac:dyDescent="0.25">
      <c r="A196" s="199"/>
      <c r="B196" s="220"/>
      <c r="C196" s="221"/>
      <c r="D196" s="222"/>
      <c r="E196" s="223"/>
      <c r="F196" s="209"/>
      <c r="G196" s="223"/>
      <c r="H196" s="223"/>
      <c r="I196" s="224"/>
      <c r="J196" s="21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</row>
    <row r="197" spans="1:29" ht="13.2" x14ac:dyDescent="0.25">
      <c r="A197" s="199"/>
      <c r="B197" s="220"/>
      <c r="C197" s="221"/>
      <c r="D197" s="222"/>
      <c r="E197" s="223"/>
      <c r="F197" s="209"/>
      <c r="G197" s="223"/>
      <c r="H197" s="223"/>
      <c r="I197" s="224"/>
      <c r="J197" s="21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</row>
    <row r="198" spans="1:29" ht="13.2" x14ac:dyDescent="0.25">
      <c r="A198" s="199"/>
      <c r="B198" s="220"/>
      <c r="C198" s="221"/>
      <c r="D198" s="222"/>
      <c r="E198" s="223"/>
      <c r="F198" s="209"/>
      <c r="G198" s="223"/>
      <c r="H198" s="223"/>
      <c r="I198" s="224"/>
      <c r="J198" s="21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</row>
    <row r="199" spans="1:29" ht="13.2" x14ac:dyDescent="0.25">
      <c r="A199" s="199"/>
      <c r="B199" s="220"/>
      <c r="C199" s="221"/>
      <c r="D199" s="222"/>
      <c r="E199" s="223"/>
      <c r="F199" s="209"/>
      <c r="G199" s="223"/>
      <c r="H199" s="223"/>
      <c r="I199" s="224"/>
      <c r="J199" s="21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</row>
    <row r="200" spans="1:29" ht="13.2" x14ac:dyDescent="0.25">
      <c r="A200" s="199"/>
      <c r="B200" s="220"/>
      <c r="C200" s="221"/>
      <c r="D200" s="222"/>
      <c r="E200" s="223"/>
      <c r="F200" s="209"/>
      <c r="G200" s="223"/>
      <c r="H200" s="223"/>
      <c r="I200" s="224"/>
      <c r="J200" s="21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</row>
    <row r="201" spans="1:29" ht="13.2" x14ac:dyDescent="0.25">
      <c r="A201" s="199"/>
      <c r="B201" s="220"/>
      <c r="C201" s="221"/>
      <c r="D201" s="222"/>
      <c r="E201" s="223"/>
      <c r="F201" s="209"/>
      <c r="G201" s="223"/>
      <c r="H201" s="223"/>
      <c r="I201" s="224"/>
      <c r="J201" s="21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</row>
    <row r="202" spans="1:29" ht="13.2" x14ac:dyDescent="0.25">
      <c r="A202" s="199"/>
      <c r="B202" s="220"/>
      <c r="C202" s="221"/>
      <c r="D202" s="222"/>
      <c r="E202" s="223"/>
      <c r="F202" s="209"/>
      <c r="G202" s="223"/>
      <c r="H202" s="223"/>
      <c r="I202" s="224"/>
      <c r="J202" s="21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</row>
    <row r="203" spans="1:29" ht="13.2" x14ac:dyDescent="0.25">
      <c r="A203" s="199"/>
      <c r="B203" s="220"/>
      <c r="C203" s="221"/>
      <c r="D203" s="222"/>
      <c r="E203" s="223"/>
      <c r="F203" s="209"/>
      <c r="G203" s="223"/>
      <c r="H203" s="223"/>
      <c r="I203" s="224"/>
      <c r="J203" s="21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</row>
    <row r="204" spans="1:29" ht="13.2" x14ac:dyDescent="0.25">
      <c r="A204" s="199"/>
      <c r="B204" s="220"/>
      <c r="C204" s="221"/>
      <c r="D204" s="222"/>
      <c r="E204" s="223"/>
      <c r="F204" s="209"/>
      <c r="G204" s="223"/>
      <c r="H204" s="223"/>
      <c r="I204" s="224"/>
      <c r="J204" s="21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</row>
    <row r="205" spans="1:29" ht="13.2" x14ac:dyDescent="0.25">
      <c r="A205" s="199"/>
      <c r="B205" s="220"/>
      <c r="C205" s="221"/>
      <c r="D205" s="222"/>
      <c r="E205" s="223"/>
      <c r="F205" s="209"/>
      <c r="G205" s="223"/>
      <c r="H205" s="223"/>
      <c r="I205" s="224"/>
      <c r="J205" s="21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</row>
    <row r="206" spans="1:29" ht="13.2" x14ac:dyDescent="0.25">
      <c r="A206" s="199"/>
      <c r="B206" s="220"/>
      <c r="C206" s="221"/>
      <c r="D206" s="222"/>
      <c r="E206" s="223"/>
      <c r="F206" s="209"/>
      <c r="G206" s="223"/>
      <c r="H206" s="223"/>
      <c r="I206" s="224"/>
      <c r="J206" s="21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</row>
    <row r="207" spans="1:29" ht="13.2" x14ac:dyDescent="0.25">
      <c r="A207" s="199"/>
      <c r="B207" s="220"/>
      <c r="C207" s="221"/>
      <c r="D207" s="222"/>
      <c r="E207" s="223"/>
      <c r="F207" s="209"/>
      <c r="G207" s="223"/>
      <c r="H207" s="223"/>
      <c r="I207" s="224"/>
      <c r="J207" s="21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</row>
    <row r="208" spans="1:29" ht="13.2" x14ac:dyDescent="0.25">
      <c r="A208" s="199"/>
      <c r="B208" s="220"/>
      <c r="C208" s="221"/>
      <c r="D208" s="222"/>
      <c r="E208" s="223"/>
      <c r="F208" s="209"/>
      <c r="G208" s="223"/>
      <c r="H208" s="223"/>
      <c r="I208" s="224"/>
      <c r="J208" s="21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</row>
    <row r="209" spans="1:29" ht="13.2" x14ac:dyDescent="0.25">
      <c r="A209" s="199"/>
      <c r="B209" s="220"/>
      <c r="C209" s="221"/>
      <c r="D209" s="222"/>
      <c r="E209" s="223"/>
      <c r="F209" s="209"/>
      <c r="G209" s="223"/>
      <c r="H209" s="223"/>
      <c r="I209" s="224"/>
      <c r="J209" s="21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</row>
    <row r="210" spans="1:29" ht="13.2" x14ac:dyDescent="0.25">
      <c r="A210" s="199"/>
      <c r="B210" s="220"/>
      <c r="C210" s="221"/>
      <c r="D210" s="222"/>
      <c r="E210" s="223"/>
      <c r="F210" s="209"/>
      <c r="G210" s="223"/>
      <c r="H210" s="223"/>
      <c r="I210" s="224"/>
      <c r="J210" s="21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</row>
    <row r="211" spans="1:29" ht="13.2" x14ac:dyDescent="0.25">
      <c r="A211" s="199"/>
      <c r="B211" s="220"/>
      <c r="C211" s="221"/>
      <c r="D211" s="222"/>
      <c r="E211" s="223"/>
      <c r="F211" s="209"/>
      <c r="G211" s="223"/>
      <c r="H211" s="223"/>
      <c r="I211" s="224"/>
      <c r="J211" s="21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</row>
    <row r="212" spans="1:29" ht="13.2" x14ac:dyDescent="0.25">
      <c r="A212" s="199"/>
      <c r="B212" s="220"/>
      <c r="C212" s="221"/>
      <c r="D212" s="222"/>
      <c r="E212" s="223"/>
      <c r="F212" s="209"/>
      <c r="G212" s="223"/>
      <c r="H212" s="223"/>
      <c r="I212" s="224"/>
      <c r="J212" s="21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</row>
    <row r="213" spans="1:29" ht="13.2" x14ac:dyDescent="0.25">
      <c r="A213" s="199"/>
      <c r="B213" s="220"/>
      <c r="C213" s="221"/>
      <c r="D213" s="222"/>
      <c r="E213" s="223"/>
      <c r="F213" s="209"/>
      <c r="G213" s="223"/>
      <c r="H213" s="223"/>
      <c r="I213" s="224"/>
      <c r="J213" s="21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</row>
    <row r="214" spans="1:29" ht="13.2" x14ac:dyDescent="0.25">
      <c r="A214" s="199"/>
      <c r="B214" s="220"/>
      <c r="C214" s="221"/>
      <c r="D214" s="222"/>
      <c r="E214" s="223"/>
      <c r="F214" s="209"/>
      <c r="G214" s="223"/>
      <c r="H214" s="223"/>
      <c r="I214" s="224"/>
      <c r="J214" s="21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</row>
    <row r="215" spans="1:29" ht="13.2" x14ac:dyDescent="0.25">
      <c r="A215" s="199"/>
      <c r="B215" s="220"/>
      <c r="C215" s="221"/>
      <c r="D215" s="222"/>
      <c r="E215" s="223"/>
      <c r="F215" s="209"/>
      <c r="G215" s="223"/>
      <c r="H215" s="223"/>
      <c r="I215" s="224"/>
      <c r="J215" s="21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</row>
    <row r="216" spans="1:29" ht="13.2" x14ac:dyDescent="0.25">
      <c r="A216" s="199"/>
      <c r="B216" s="220"/>
      <c r="C216" s="221"/>
      <c r="D216" s="222"/>
      <c r="E216" s="223"/>
      <c r="F216" s="209"/>
      <c r="G216" s="223"/>
      <c r="H216" s="223"/>
      <c r="I216" s="224"/>
      <c r="J216" s="21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</row>
    <row r="217" spans="1:29" ht="13.2" x14ac:dyDescent="0.25">
      <c r="A217" s="199"/>
      <c r="B217" s="220"/>
      <c r="C217" s="221"/>
      <c r="D217" s="222"/>
      <c r="E217" s="223"/>
      <c r="F217" s="209"/>
      <c r="G217" s="223"/>
      <c r="H217" s="223"/>
      <c r="I217" s="224"/>
      <c r="J217" s="21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</row>
    <row r="218" spans="1:29" ht="13.2" x14ac:dyDescent="0.25">
      <c r="A218" s="199"/>
      <c r="B218" s="220"/>
      <c r="C218" s="221"/>
      <c r="D218" s="222"/>
      <c r="E218" s="223"/>
      <c r="F218" s="209"/>
      <c r="G218" s="223"/>
      <c r="H218" s="223"/>
      <c r="I218" s="224"/>
      <c r="J218" s="21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</row>
    <row r="219" spans="1:29" ht="13.2" x14ac:dyDescent="0.25">
      <c r="A219" s="199"/>
      <c r="B219" s="220"/>
      <c r="C219" s="221"/>
      <c r="D219" s="222"/>
      <c r="E219" s="223"/>
      <c r="F219" s="209"/>
      <c r="G219" s="223"/>
      <c r="H219" s="223"/>
      <c r="I219" s="224"/>
      <c r="J219" s="21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</row>
    <row r="220" spans="1:29" ht="13.2" x14ac:dyDescent="0.25">
      <c r="A220" s="199"/>
      <c r="B220" s="220"/>
      <c r="C220" s="221"/>
      <c r="D220" s="222"/>
      <c r="E220" s="223"/>
      <c r="F220" s="209"/>
      <c r="G220" s="223"/>
      <c r="H220" s="223"/>
      <c r="I220" s="224"/>
      <c r="J220" s="21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</row>
    <row r="221" spans="1:29" ht="13.2" x14ac:dyDescent="0.25">
      <c r="A221" s="199"/>
      <c r="B221" s="220"/>
      <c r="C221" s="221"/>
      <c r="D221" s="222"/>
      <c r="E221" s="223"/>
      <c r="F221" s="209"/>
      <c r="G221" s="223"/>
      <c r="H221" s="223"/>
      <c r="I221" s="224"/>
      <c r="J221" s="21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</row>
    <row r="222" spans="1:29" ht="13.2" x14ac:dyDescent="0.25">
      <c r="A222" s="199"/>
      <c r="B222" s="220"/>
      <c r="C222" s="221"/>
      <c r="D222" s="222"/>
      <c r="E222" s="223"/>
      <c r="F222" s="209"/>
      <c r="G222" s="223"/>
      <c r="H222" s="223"/>
      <c r="I222" s="224"/>
      <c r="J222" s="21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</row>
    <row r="223" spans="1:29" ht="13.2" x14ac:dyDescent="0.25">
      <c r="A223" s="199"/>
      <c r="B223" s="220"/>
      <c r="C223" s="221"/>
      <c r="D223" s="222"/>
      <c r="E223" s="223"/>
      <c r="F223" s="209"/>
      <c r="G223" s="223"/>
      <c r="H223" s="223"/>
      <c r="I223" s="224"/>
      <c r="J223" s="21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</row>
    <row r="224" spans="1:29" ht="13.2" x14ac:dyDescent="0.25">
      <c r="A224" s="199"/>
      <c r="B224" s="220"/>
      <c r="C224" s="221"/>
      <c r="D224" s="222"/>
      <c r="E224" s="223"/>
      <c r="F224" s="209"/>
      <c r="G224" s="223"/>
      <c r="H224" s="223"/>
      <c r="I224" s="224"/>
      <c r="J224" s="21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</row>
    <row r="225" spans="1:29" ht="13.2" x14ac:dyDescent="0.25">
      <c r="A225" s="199"/>
      <c r="B225" s="220"/>
      <c r="C225" s="221"/>
      <c r="D225" s="222"/>
      <c r="E225" s="223"/>
      <c r="F225" s="209"/>
      <c r="G225" s="223"/>
      <c r="H225" s="223"/>
      <c r="I225" s="224"/>
      <c r="J225" s="21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</row>
    <row r="226" spans="1:29" ht="13.2" x14ac:dyDescent="0.25">
      <c r="A226" s="199"/>
      <c r="B226" s="220"/>
      <c r="C226" s="221"/>
      <c r="D226" s="222"/>
      <c r="E226" s="223"/>
      <c r="F226" s="209"/>
      <c r="G226" s="223"/>
      <c r="H226" s="223"/>
      <c r="I226" s="224"/>
      <c r="J226" s="21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</row>
    <row r="227" spans="1:29" ht="13.2" x14ac:dyDescent="0.25">
      <c r="A227" s="199"/>
      <c r="B227" s="220"/>
      <c r="C227" s="221"/>
      <c r="D227" s="222"/>
      <c r="E227" s="223"/>
      <c r="F227" s="209"/>
      <c r="G227" s="223"/>
      <c r="H227" s="223"/>
      <c r="I227" s="224"/>
      <c r="J227" s="21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</row>
    <row r="228" spans="1:29" ht="13.2" x14ac:dyDescent="0.25">
      <c r="A228" s="199"/>
      <c r="B228" s="220"/>
      <c r="C228" s="221"/>
      <c r="D228" s="222"/>
      <c r="E228" s="223"/>
      <c r="F228" s="209"/>
      <c r="G228" s="223"/>
      <c r="H228" s="223"/>
      <c r="I228" s="224"/>
      <c r="J228" s="21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</row>
    <row r="229" spans="1:29" ht="13.2" x14ac:dyDescent="0.25">
      <c r="A229" s="199"/>
      <c r="B229" s="220"/>
      <c r="C229" s="221"/>
      <c r="D229" s="222"/>
      <c r="E229" s="223"/>
      <c r="F229" s="209"/>
      <c r="G229" s="223"/>
      <c r="H229" s="223"/>
      <c r="I229" s="224"/>
      <c r="J229" s="21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</row>
    <row r="230" spans="1:29" ht="13.2" x14ac:dyDescent="0.25">
      <c r="A230" s="199"/>
      <c r="B230" s="220"/>
      <c r="C230" s="221"/>
      <c r="D230" s="222"/>
      <c r="E230" s="223"/>
      <c r="F230" s="209"/>
      <c r="G230" s="223"/>
      <c r="H230" s="223"/>
      <c r="I230" s="224"/>
      <c r="J230" s="21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</row>
    <row r="231" spans="1:29" ht="13.2" x14ac:dyDescent="0.25">
      <c r="A231" s="199"/>
      <c r="B231" s="220"/>
      <c r="C231" s="221"/>
      <c r="D231" s="222"/>
      <c r="E231" s="223"/>
      <c r="F231" s="209"/>
      <c r="G231" s="223"/>
      <c r="H231" s="223"/>
      <c r="I231" s="224"/>
      <c r="J231" s="21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</row>
    <row r="232" spans="1:29" ht="13.2" x14ac:dyDescent="0.25">
      <c r="A232" s="199"/>
      <c r="B232" s="220"/>
      <c r="C232" s="221"/>
      <c r="D232" s="222"/>
      <c r="E232" s="223"/>
      <c r="F232" s="209"/>
      <c r="G232" s="223"/>
      <c r="H232" s="223"/>
      <c r="I232" s="224"/>
      <c r="J232" s="21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</row>
    <row r="233" spans="1:29" ht="13.2" x14ac:dyDescent="0.25">
      <c r="A233" s="199"/>
      <c r="B233" s="220"/>
      <c r="C233" s="221"/>
      <c r="D233" s="222"/>
      <c r="E233" s="223"/>
      <c r="F233" s="209"/>
      <c r="G233" s="223"/>
      <c r="H233" s="223"/>
      <c r="I233" s="224"/>
      <c r="J233" s="21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</row>
    <row r="234" spans="1:29" ht="13.2" x14ac:dyDescent="0.25">
      <c r="A234" s="199"/>
      <c r="B234" s="220"/>
      <c r="C234" s="221"/>
      <c r="D234" s="222"/>
      <c r="E234" s="223"/>
      <c r="F234" s="209"/>
      <c r="G234" s="223"/>
      <c r="H234" s="223"/>
      <c r="I234" s="224"/>
      <c r="J234" s="21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</row>
    <row r="235" spans="1:29" ht="13.2" x14ac:dyDescent="0.25">
      <c r="A235" s="199"/>
      <c r="B235" s="220"/>
      <c r="C235" s="221"/>
      <c r="D235" s="222"/>
      <c r="E235" s="223"/>
      <c r="F235" s="209"/>
      <c r="G235" s="223"/>
      <c r="H235" s="223"/>
      <c r="I235" s="224"/>
      <c r="J235" s="21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</row>
    <row r="236" spans="1:29" ht="13.2" x14ac:dyDescent="0.25">
      <c r="A236" s="199"/>
      <c r="B236" s="220"/>
      <c r="C236" s="221"/>
      <c r="D236" s="222"/>
      <c r="E236" s="223"/>
      <c r="F236" s="209"/>
      <c r="G236" s="223"/>
      <c r="H236" s="223"/>
      <c r="I236" s="224"/>
      <c r="J236" s="21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</row>
    <row r="237" spans="1:29" ht="13.2" x14ac:dyDescent="0.25">
      <c r="A237" s="199"/>
      <c r="B237" s="220"/>
      <c r="C237" s="221"/>
      <c r="D237" s="222"/>
      <c r="E237" s="223"/>
      <c r="F237" s="209"/>
      <c r="G237" s="223"/>
      <c r="H237" s="223"/>
      <c r="I237" s="224"/>
      <c r="J237" s="21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</row>
    <row r="238" spans="1:29" ht="13.2" x14ac:dyDescent="0.25">
      <c r="A238" s="199"/>
      <c r="B238" s="220"/>
      <c r="C238" s="221"/>
      <c r="D238" s="222"/>
      <c r="E238" s="223"/>
      <c r="F238" s="209"/>
      <c r="G238" s="223"/>
      <c r="H238" s="223"/>
      <c r="I238" s="224"/>
      <c r="J238" s="21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</row>
    <row r="239" spans="1:29" ht="13.2" x14ac:dyDescent="0.25">
      <c r="A239" s="199"/>
      <c r="B239" s="220"/>
      <c r="C239" s="221"/>
      <c r="D239" s="222"/>
      <c r="E239" s="223"/>
      <c r="F239" s="209"/>
      <c r="G239" s="223"/>
      <c r="H239" s="223"/>
      <c r="I239" s="224"/>
      <c r="J239" s="21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</row>
    <row r="240" spans="1:29" ht="13.2" x14ac:dyDescent="0.25">
      <c r="A240" s="199"/>
      <c r="B240" s="220"/>
      <c r="C240" s="221"/>
      <c r="D240" s="222"/>
      <c r="E240" s="223"/>
      <c r="F240" s="209"/>
      <c r="G240" s="223"/>
      <c r="H240" s="223"/>
      <c r="I240" s="224"/>
      <c r="J240" s="21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</row>
    <row r="241" spans="1:29" ht="13.2" x14ac:dyDescent="0.25">
      <c r="A241" s="199"/>
      <c r="B241" s="220"/>
      <c r="C241" s="221"/>
      <c r="D241" s="222"/>
      <c r="E241" s="223"/>
      <c r="F241" s="209"/>
      <c r="G241" s="223"/>
      <c r="H241" s="223"/>
      <c r="I241" s="224"/>
      <c r="J241" s="21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</row>
    <row r="242" spans="1:29" ht="13.2" x14ac:dyDescent="0.25">
      <c r="A242" s="199"/>
      <c r="B242" s="220"/>
      <c r="C242" s="221"/>
      <c r="D242" s="222"/>
      <c r="E242" s="223"/>
      <c r="F242" s="209"/>
      <c r="G242" s="223"/>
      <c r="H242" s="223"/>
      <c r="I242" s="224"/>
      <c r="J242" s="21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</row>
    <row r="243" spans="1:29" ht="13.2" x14ac:dyDescent="0.25">
      <c r="A243" s="199"/>
      <c r="B243" s="220"/>
      <c r="C243" s="221"/>
      <c r="D243" s="222"/>
      <c r="E243" s="223"/>
      <c r="F243" s="209"/>
      <c r="G243" s="223"/>
      <c r="H243" s="223"/>
      <c r="I243" s="224"/>
      <c r="J243" s="21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</row>
    <row r="244" spans="1:29" ht="13.2" x14ac:dyDescent="0.25">
      <c r="A244" s="199"/>
      <c r="B244" s="220"/>
      <c r="C244" s="221"/>
      <c r="D244" s="222"/>
      <c r="E244" s="223"/>
      <c r="F244" s="209"/>
      <c r="G244" s="223"/>
      <c r="H244" s="223"/>
      <c r="I244" s="224"/>
      <c r="J244" s="21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</row>
    <row r="245" spans="1:29" ht="13.2" x14ac:dyDescent="0.25">
      <c r="A245" s="199"/>
      <c r="B245" s="220"/>
      <c r="C245" s="221"/>
      <c r="D245" s="222"/>
      <c r="E245" s="223"/>
      <c r="F245" s="209"/>
      <c r="G245" s="223"/>
      <c r="H245" s="223"/>
      <c r="I245" s="224"/>
      <c r="J245" s="21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</row>
    <row r="246" spans="1:29" ht="13.2" x14ac:dyDescent="0.25">
      <c r="A246" s="199"/>
      <c r="B246" s="220"/>
      <c r="C246" s="221"/>
      <c r="D246" s="222"/>
      <c r="E246" s="223"/>
      <c r="F246" s="209"/>
      <c r="G246" s="223"/>
      <c r="H246" s="223"/>
      <c r="I246" s="224"/>
      <c r="J246" s="21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</row>
    <row r="247" spans="1:29" ht="13.2" x14ac:dyDescent="0.25">
      <c r="A247" s="199"/>
      <c r="B247" s="220"/>
      <c r="C247" s="221"/>
      <c r="D247" s="222"/>
      <c r="E247" s="223"/>
      <c r="F247" s="209"/>
      <c r="G247" s="223"/>
      <c r="H247" s="223"/>
      <c r="I247" s="224"/>
      <c r="J247" s="21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</row>
    <row r="248" spans="1:29" ht="13.2" x14ac:dyDescent="0.25">
      <c r="A248" s="199"/>
      <c r="B248" s="220"/>
      <c r="C248" s="221"/>
      <c r="D248" s="222"/>
      <c r="E248" s="223"/>
      <c r="F248" s="209"/>
      <c r="G248" s="223"/>
      <c r="H248" s="223"/>
      <c r="I248" s="224"/>
      <c r="J248" s="21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</row>
    <row r="249" spans="1:29" ht="13.2" x14ac:dyDescent="0.25">
      <c r="A249" s="199"/>
      <c r="B249" s="220"/>
      <c r="C249" s="221"/>
      <c r="D249" s="222"/>
      <c r="E249" s="223"/>
      <c r="F249" s="209"/>
      <c r="G249" s="223"/>
      <c r="H249" s="223"/>
      <c r="I249" s="224"/>
      <c r="J249" s="21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</row>
    <row r="250" spans="1:29" ht="13.2" x14ac:dyDescent="0.25">
      <c r="A250" s="199"/>
      <c r="B250" s="220"/>
      <c r="C250" s="221"/>
      <c r="D250" s="222"/>
      <c r="E250" s="223"/>
      <c r="F250" s="209"/>
      <c r="G250" s="223"/>
      <c r="H250" s="223"/>
      <c r="I250" s="224"/>
      <c r="J250" s="21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</row>
    <row r="251" spans="1:29" ht="13.2" x14ac:dyDescent="0.25">
      <c r="A251" s="199"/>
      <c r="B251" s="220"/>
      <c r="C251" s="221"/>
      <c r="D251" s="222"/>
      <c r="E251" s="223"/>
      <c r="F251" s="209"/>
      <c r="G251" s="223"/>
      <c r="H251" s="223"/>
      <c r="I251" s="224"/>
      <c r="J251" s="21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</row>
    <row r="252" spans="1:29" ht="13.2" x14ac:dyDescent="0.25">
      <c r="A252" s="199"/>
      <c r="B252" s="220"/>
      <c r="C252" s="221"/>
      <c r="D252" s="222"/>
      <c r="E252" s="223"/>
      <c r="F252" s="209"/>
      <c r="G252" s="223"/>
      <c r="H252" s="223"/>
      <c r="I252" s="224"/>
      <c r="J252" s="21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</row>
    <row r="253" spans="1:29" ht="13.2" x14ac:dyDescent="0.25">
      <c r="A253" s="199"/>
      <c r="B253" s="220"/>
      <c r="C253" s="221"/>
      <c r="D253" s="222"/>
      <c r="E253" s="223"/>
      <c r="F253" s="209"/>
      <c r="G253" s="223"/>
      <c r="H253" s="223"/>
      <c r="I253" s="224"/>
      <c r="J253" s="21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</row>
    <row r="254" spans="1:29" ht="13.2" x14ac:dyDescent="0.25">
      <c r="A254" s="199"/>
      <c r="B254" s="220"/>
      <c r="C254" s="221"/>
      <c r="D254" s="222"/>
      <c r="E254" s="223"/>
      <c r="F254" s="209"/>
      <c r="G254" s="223"/>
      <c r="H254" s="223"/>
      <c r="I254" s="224"/>
      <c r="J254" s="21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</row>
    <row r="255" spans="1:29" ht="13.2" x14ac:dyDescent="0.25">
      <c r="A255" s="199"/>
      <c r="B255" s="220"/>
      <c r="C255" s="221"/>
      <c r="D255" s="222"/>
      <c r="E255" s="223"/>
      <c r="F255" s="209"/>
      <c r="G255" s="223"/>
      <c r="H255" s="223"/>
      <c r="I255" s="224"/>
      <c r="J255" s="21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</row>
    <row r="256" spans="1:29" ht="13.2" x14ac:dyDescent="0.25">
      <c r="A256" s="199"/>
      <c r="B256" s="220"/>
      <c r="C256" s="221"/>
      <c r="D256" s="222"/>
      <c r="E256" s="223"/>
      <c r="F256" s="209"/>
      <c r="G256" s="223"/>
      <c r="H256" s="223"/>
      <c r="I256" s="224"/>
      <c r="J256" s="21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</row>
    <row r="257" spans="1:29" ht="13.2" x14ac:dyDescent="0.25">
      <c r="A257" s="199"/>
      <c r="B257" s="220"/>
      <c r="C257" s="221"/>
      <c r="D257" s="222"/>
      <c r="E257" s="223"/>
      <c r="F257" s="209"/>
      <c r="G257" s="223"/>
      <c r="H257" s="223"/>
      <c r="I257" s="224"/>
      <c r="J257" s="21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</row>
    <row r="258" spans="1:29" ht="13.2" x14ac:dyDescent="0.25">
      <c r="A258" s="199"/>
      <c r="B258" s="220"/>
      <c r="C258" s="221"/>
      <c r="D258" s="222"/>
      <c r="E258" s="223"/>
      <c r="F258" s="209"/>
      <c r="G258" s="223"/>
      <c r="H258" s="223"/>
      <c r="I258" s="224"/>
      <c r="J258" s="21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</row>
    <row r="259" spans="1:29" ht="13.2" x14ac:dyDescent="0.25">
      <c r="A259" s="199"/>
      <c r="B259" s="220"/>
      <c r="C259" s="221"/>
      <c r="D259" s="222"/>
      <c r="E259" s="223"/>
      <c r="F259" s="209"/>
      <c r="G259" s="223"/>
      <c r="H259" s="223"/>
      <c r="I259" s="224"/>
      <c r="J259" s="21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</row>
    <row r="260" spans="1:29" ht="13.2" x14ac:dyDescent="0.25">
      <c r="A260" s="199"/>
      <c r="B260" s="220"/>
      <c r="C260" s="221"/>
      <c r="D260" s="222"/>
      <c r="E260" s="223"/>
      <c r="F260" s="209"/>
      <c r="G260" s="223"/>
      <c r="H260" s="223"/>
      <c r="I260" s="224"/>
      <c r="J260" s="21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</row>
    <row r="261" spans="1:29" ht="13.2" x14ac:dyDescent="0.25">
      <c r="A261" s="199"/>
      <c r="B261" s="220"/>
      <c r="C261" s="221"/>
      <c r="D261" s="222"/>
      <c r="E261" s="223"/>
      <c r="F261" s="209"/>
      <c r="G261" s="223"/>
      <c r="H261" s="223"/>
      <c r="I261" s="224"/>
      <c r="J261" s="21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</row>
    <row r="262" spans="1:29" ht="13.2" x14ac:dyDescent="0.25">
      <c r="A262" s="199"/>
      <c r="B262" s="220"/>
      <c r="C262" s="221"/>
      <c r="D262" s="222"/>
      <c r="E262" s="223"/>
      <c r="F262" s="209"/>
      <c r="G262" s="223"/>
      <c r="H262" s="223"/>
      <c r="I262" s="224"/>
      <c r="J262" s="21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</row>
    <row r="263" spans="1:29" ht="13.2" x14ac:dyDescent="0.25">
      <c r="A263" s="199"/>
      <c r="B263" s="220"/>
      <c r="C263" s="221"/>
      <c r="D263" s="222"/>
      <c r="E263" s="223"/>
      <c r="F263" s="209"/>
      <c r="G263" s="223"/>
      <c r="H263" s="223"/>
      <c r="I263" s="224"/>
      <c r="J263" s="21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</row>
    <row r="264" spans="1:29" ht="13.2" x14ac:dyDescent="0.25">
      <c r="A264" s="199"/>
      <c r="B264" s="220"/>
      <c r="C264" s="221"/>
      <c r="D264" s="222"/>
      <c r="E264" s="223"/>
      <c r="F264" s="209"/>
      <c r="G264" s="223"/>
      <c r="H264" s="223"/>
      <c r="I264" s="224"/>
      <c r="J264" s="21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</row>
    <row r="265" spans="1:29" ht="13.2" x14ac:dyDescent="0.25">
      <c r="A265" s="199"/>
      <c r="B265" s="220"/>
      <c r="C265" s="221"/>
      <c r="D265" s="222"/>
      <c r="E265" s="223"/>
      <c r="F265" s="209"/>
      <c r="G265" s="223"/>
      <c r="H265" s="223"/>
      <c r="I265" s="224"/>
      <c r="J265" s="21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</row>
    <row r="266" spans="1:29" ht="13.2" x14ac:dyDescent="0.25">
      <c r="A266" s="199"/>
      <c r="B266" s="220"/>
      <c r="C266" s="221"/>
      <c r="D266" s="222"/>
      <c r="E266" s="223"/>
      <c r="F266" s="209"/>
      <c r="G266" s="223"/>
      <c r="H266" s="223"/>
      <c r="I266" s="224"/>
      <c r="J266" s="21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</row>
    <row r="267" spans="1:29" ht="13.2" x14ac:dyDescent="0.25">
      <c r="A267" s="199"/>
      <c r="B267" s="220"/>
      <c r="C267" s="221"/>
      <c r="D267" s="222"/>
      <c r="E267" s="223"/>
      <c r="F267" s="209"/>
      <c r="G267" s="223"/>
      <c r="H267" s="223"/>
      <c r="I267" s="224"/>
      <c r="J267" s="21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</row>
    <row r="268" spans="1:29" ht="13.2" x14ac:dyDescent="0.25">
      <c r="A268" s="199"/>
      <c r="B268" s="220"/>
      <c r="C268" s="221"/>
      <c r="D268" s="222"/>
      <c r="E268" s="223"/>
      <c r="F268" s="209"/>
      <c r="G268" s="223"/>
      <c r="H268" s="223"/>
      <c r="I268" s="224"/>
      <c r="J268" s="21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</row>
    <row r="269" spans="1:29" ht="13.2" x14ac:dyDescent="0.25">
      <c r="A269" s="199"/>
      <c r="B269" s="220"/>
      <c r="C269" s="221"/>
      <c r="D269" s="222"/>
      <c r="E269" s="223"/>
      <c r="F269" s="209"/>
      <c r="G269" s="223"/>
      <c r="H269" s="223"/>
      <c r="I269" s="224"/>
      <c r="J269" s="21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</row>
    <row r="270" spans="1:29" ht="13.2" x14ac:dyDescent="0.25">
      <c r="A270" s="199"/>
      <c r="B270" s="220"/>
      <c r="C270" s="221"/>
      <c r="D270" s="222"/>
      <c r="E270" s="223"/>
      <c r="F270" s="209"/>
      <c r="G270" s="223"/>
      <c r="H270" s="223"/>
      <c r="I270" s="224"/>
      <c r="J270" s="21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</row>
    <row r="271" spans="1:29" ht="13.2" x14ac:dyDescent="0.25">
      <c r="A271" s="199"/>
      <c r="B271" s="220"/>
      <c r="C271" s="221"/>
      <c r="D271" s="222"/>
      <c r="E271" s="223"/>
      <c r="F271" s="209"/>
      <c r="G271" s="223"/>
      <c r="H271" s="223"/>
      <c r="I271" s="224"/>
      <c r="J271" s="21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</row>
    <row r="272" spans="1:29" ht="13.2" x14ac:dyDescent="0.25">
      <c r="A272" s="199"/>
      <c r="B272" s="220"/>
      <c r="C272" s="221"/>
      <c r="D272" s="222"/>
      <c r="E272" s="223"/>
      <c r="F272" s="209"/>
      <c r="G272" s="223"/>
      <c r="H272" s="223"/>
      <c r="I272" s="224"/>
      <c r="J272" s="21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</row>
    <row r="273" spans="1:29" ht="13.2" x14ac:dyDescent="0.25">
      <c r="A273" s="199"/>
      <c r="B273" s="220"/>
      <c r="C273" s="221"/>
      <c r="D273" s="222"/>
      <c r="E273" s="223"/>
      <c r="F273" s="209"/>
      <c r="G273" s="223"/>
      <c r="H273" s="223"/>
      <c r="I273" s="224"/>
      <c r="J273" s="21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</row>
    <row r="274" spans="1:29" ht="13.2" x14ac:dyDescent="0.25">
      <c r="A274" s="199"/>
      <c r="B274" s="220"/>
      <c r="C274" s="221"/>
      <c r="D274" s="222"/>
      <c r="E274" s="223"/>
      <c r="F274" s="209"/>
      <c r="G274" s="223"/>
      <c r="H274" s="223"/>
      <c r="I274" s="224"/>
      <c r="J274" s="21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</row>
    <row r="275" spans="1:29" ht="13.2" x14ac:dyDescent="0.25">
      <c r="A275" s="199"/>
      <c r="B275" s="220"/>
      <c r="C275" s="221"/>
      <c r="D275" s="222"/>
      <c r="E275" s="223"/>
      <c r="F275" s="209"/>
      <c r="G275" s="223"/>
      <c r="H275" s="223"/>
      <c r="I275" s="224"/>
      <c r="J275" s="21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</row>
    <row r="276" spans="1:29" ht="13.2" x14ac:dyDescent="0.25">
      <c r="A276" s="199"/>
      <c r="B276" s="220"/>
      <c r="C276" s="221"/>
      <c r="D276" s="222"/>
      <c r="E276" s="223"/>
      <c r="F276" s="209"/>
      <c r="G276" s="223"/>
      <c r="H276" s="223"/>
      <c r="I276" s="224"/>
      <c r="J276" s="21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</row>
    <row r="277" spans="1:29" ht="13.2" x14ac:dyDescent="0.25">
      <c r="A277" s="199"/>
      <c r="B277" s="220"/>
      <c r="C277" s="221"/>
      <c r="D277" s="222"/>
      <c r="E277" s="223"/>
      <c r="F277" s="209"/>
      <c r="G277" s="223"/>
      <c r="H277" s="223"/>
      <c r="I277" s="224"/>
      <c r="J277" s="21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</row>
    <row r="278" spans="1:29" ht="13.2" x14ac:dyDescent="0.25">
      <c r="A278" s="199"/>
      <c r="B278" s="220"/>
      <c r="C278" s="221"/>
      <c r="D278" s="222"/>
      <c r="E278" s="223"/>
      <c r="F278" s="209"/>
      <c r="G278" s="223"/>
      <c r="H278" s="223"/>
      <c r="I278" s="224"/>
      <c r="J278" s="21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</row>
    <row r="279" spans="1:29" ht="13.2" x14ac:dyDescent="0.25">
      <c r="A279" s="199"/>
      <c r="B279" s="220"/>
      <c r="C279" s="221"/>
      <c r="D279" s="222"/>
      <c r="E279" s="223"/>
      <c r="F279" s="209"/>
      <c r="G279" s="223"/>
      <c r="H279" s="223"/>
      <c r="I279" s="224"/>
      <c r="J279" s="21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</row>
    <row r="280" spans="1:29" ht="13.2" x14ac:dyDescent="0.25">
      <c r="A280" s="199"/>
      <c r="B280" s="220"/>
      <c r="C280" s="221"/>
      <c r="D280" s="222"/>
      <c r="E280" s="223"/>
      <c r="F280" s="209"/>
      <c r="G280" s="223"/>
      <c r="H280" s="223"/>
      <c r="I280" s="224"/>
      <c r="J280" s="21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</row>
    <row r="281" spans="1:29" ht="13.2" x14ac:dyDescent="0.25">
      <c r="A281" s="199"/>
      <c r="B281" s="220"/>
      <c r="C281" s="221"/>
      <c r="D281" s="222"/>
      <c r="E281" s="223"/>
      <c r="F281" s="209"/>
      <c r="G281" s="223"/>
      <c r="H281" s="223"/>
      <c r="I281" s="224"/>
      <c r="J281" s="21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</row>
    <row r="282" spans="1:29" ht="13.2" x14ac:dyDescent="0.25">
      <c r="A282" s="199"/>
      <c r="B282" s="220"/>
      <c r="C282" s="221"/>
      <c r="D282" s="222"/>
      <c r="E282" s="223"/>
      <c r="F282" s="209"/>
      <c r="G282" s="223"/>
      <c r="H282" s="223"/>
      <c r="I282" s="224"/>
      <c r="J282" s="21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</row>
    <row r="283" spans="1:29" ht="13.2" x14ac:dyDescent="0.25">
      <c r="A283" s="199"/>
      <c r="B283" s="220"/>
      <c r="C283" s="221"/>
      <c r="D283" s="222"/>
      <c r="E283" s="223"/>
      <c r="F283" s="209"/>
      <c r="G283" s="223"/>
      <c r="H283" s="223"/>
      <c r="I283" s="224"/>
      <c r="J283" s="21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</row>
    <row r="284" spans="1:29" ht="13.2" x14ac:dyDescent="0.25">
      <c r="A284" s="199"/>
      <c r="B284" s="220"/>
      <c r="C284" s="221"/>
      <c r="D284" s="222"/>
      <c r="E284" s="223"/>
      <c r="F284" s="209"/>
      <c r="G284" s="223"/>
      <c r="H284" s="223"/>
      <c r="I284" s="224"/>
      <c r="J284" s="21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</row>
    <row r="285" spans="1:29" ht="13.2" x14ac:dyDescent="0.25">
      <c r="A285" s="199"/>
      <c r="B285" s="220"/>
      <c r="C285" s="221"/>
      <c r="D285" s="222"/>
      <c r="E285" s="223"/>
      <c r="F285" s="209"/>
      <c r="G285" s="223"/>
      <c r="H285" s="223"/>
      <c r="I285" s="224"/>
      <c r="J285" s="21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</row>
    <row r="286" spans="1:29" ht="13.2" x14ac:dyDescent="0.25">
      <c r="A286" s="199"/>
      <c r="B286" s="220"/>
      <c r="C286" s="221"/>
      <c r="D286" s="222"/>
      <c r="E286" s="223"/>
      <c r="F286" s="209"/>
      <c r="G286" s="223"/>
      <c r="H286" s="223"/>
      <c r="I286" s="224"/>
      <c r="J286" s="21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</row>
    <row r="287" spans="1:29" ht="13.2" x14ac:dyDescent="0.25">
      <c r="A287" s="199"/>
      <c r="B287" s="220"/>
      <c r="C287" s="221"/>
      <c r="D287" s="222"/>
      <c r="E287" s="223"/>
      <c r="F287" s="209"/>
      <c r="G287" s="223"/>
      <c r="H287" s="223"/>
      <c r="I287" s="224"/>
      <c r="J287" s="21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</row>
    <row r="288" spans="1:29" ht="13.2" x14ac:dyDescent="0.25">
      <c r="A288" s="199"/>
      <c r="B288" s="220"/>
      <c r="C288" s="221"/>
      <c r="D288" s="222"/>
      <c r="E288" s="223"/>
      <c r="F288" s="209"/>
      <c r="G288" s="223"/>
      <c r="H288" s="223"/>
      <c r="I288" s="224"/>
      <c r="J288" s="21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</row>
    <row r="289" spans="1:29" ht="13.2" x14ac:dyDescent="0.25">
      <c r="A289" s="199"/>
      <c r="B289" s="220"/>
      <c r="C289" s="221"/>
      <c r="D289" s="222"/>
      <c r="E289" s="223"/>
      <c r="F289" s="209"/>
      <c r="G289" s="223"/>
      <c r="H289" s="223"/>
      <c r="I289" s="224"/>
      <c r="J289" s="21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</row>
    <row r="290" spans="1:29" ht="13.2" x14ac:dyDescent="0.25">
      <c r="A290" s="199"/>
      <c r="B290" s="220"/>
      <c r="C290" s="221"/>
      <c r="D290" s="222"/>
      <c r="E290" s="223"/>
      <c r="F290" s="209"/>
      <c r="G290" s="223"/>
      <c r="H290" s="223"/>
      <c r="I290" s="224"/>
      <c r="J290" s="21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</row>
    <row r="291" spans="1:29" ht="13.2" x14ac:dyDescent="0.25">
      <c r="A291" s="199"/>
      <c r="B291" s="220"/>
      <c r="C291" s="221"/>
      <c r="D291" s="222"/>
      <c r="E291" s="223"/>
      <c r="F291" s="209"/>
      <c r="G291" s="223"/>
      <c r="H291" s="223"/>
      <c r="I291" s="224"/>
      <c r="J291" s="21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</row>
    <row r="292" spans="1:29" ht="13.2" x14ac:dyDescent="0.25">
      <c r="A292" s="199"/>
      <c r="B292" s="220"/>
      <c r="C292" s="221"/>
      <c r="D292" s="222"/>
      <c r="E292" s="223"/>
      <c r="F292" s="209"/>
      <c r="G292" s="223"/>
      <c r="H292" s="223"/>
      <c r="I292" s="224"/>
      <c r="J292" s="21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</row>
    <row r="293" spans="1:29" ht="13.2" x14ac:dyDescent="0.25">
      <c r="A293" s="199"/>
      <c r="B293" s="220"/>
      <c r="C293" s="221"/>
      <c r="D293" s="222"/>
      <c r="E293" s="223"/>
      <c r="F293" s="209"/>
      <c r="G293" s="223"/>
      <c r="H293" s="223"/>
      <c r="I293" s="224"/>
      <c r="J293" s="21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</row>
    <row r="294" spans="1:29" ht="13.2" x14ac:dyDescent="0.25">
      <c r="A294" s="199"/>
      <c r="B294" s="220"/>
      <c r="C294" s="221"/>
      <c r="D294" s="222"/>
      <c r="E294" s="223"/>
      <c r="F294" s="209"/>
      <c r="G294" s="223"/>
      <c r="H294" s="223"/>
      <c r="I294" s="224"/>
      <c r="J294" s="21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</row>
    <row r="295" spans="1:29" ht="13.2" x14ac:dyDescent="0.25">
      <c r="A295" s="199"/>
      <c r="B295" s="220"/>
      <c r="C295" s="221"/>
      <c r="D295" s="222"/>
      <c r="E295" s="223"/>
      <c r="F295" s="209"/>
      <c r="G295" s="223"/>
      <c r="H295" s="223"/>
      <c r="I295" s="224"/>
      <c r="J295" s="21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</row>
    <row r="296" spans="1:29" ht="13.2" x14ac:dyDescent="0.25">
      <c r="A296" s="199"/>
      <c r="B296" s="220"/>
      <c r="C296" s="221"/>
      <c r="D296" s="222"/>
      <c r="E296" s="223"/>
      <c r="F296" s="209"/>
      <c r="G296" s="223"/>
      <c r="H296" s="223"/>
      <c r="I296" s="224"/>
      <c r="J296" s="21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</row>
    <row r="297" spans="1:29" ht="13.2" x14ac:dyDescent="0.25">
      <c r="A297" s="199"/>
      <c r="B297" s="220"/>
      <c r="C297" s="221"/>
      <c r="D297" s="222"/>
      <c r="E297" s="223"/>
      <c r="F297" s="209"/>
      <c r="G297" s="223"/>
      <c r="H297" s="223"/>
      <c r="I297" s="224"/>
      <c r="J297" s="21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</row>
    <row r="298" spans="1:29" ht="13.2" x14ac:dyDescent="0.25">
      <c r="A298" s="199"/>
      <c r="B298" s="220"/>
      <c r="C298" s="221"/>
      <c r="D298" s="222"/>
      <c r="E298" s="223"/>
      <c r="F298" s="209"/>
      <c r="G298" s="223"/>
      <c r="H298" s="223"/>
      <c r="I298" s="224"/>
      <c r="J298" s="21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</row>
    <row r="299" spans="1:29" ht="13.2" x14ac:dyDescent="0.25">
      <c r="A299" s="199"/>
      <c r="B299" s="220"/>
      <c r="C299" s="221"/>
      <c r="D299" s="222"/>
      <c r="E299" s="223"/>
      <c r="F299" s="209"/>
      <c r="G299" s="223"/>
      <c r="H299" s="223"/>
      <c r="I299" s="224"/>
      <c r="J299" s="21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</row>
    <row r="300" spans="1:29" ht="13.2" x14ac:dyDescent="0.25">
      <c r="A300" s="199"/>
      <c r="B300" s="220"/>
      <c r="C300" s="221"/>
      <c r="D300" s="222"/>
      <c r="E300" s="223"/>
      <c r="F300" s="209"/>
      <c r="G300" s="223"/>
      <c r="H300" s="223"/>
      <c r="I300" s="224"/>
      <c r="J300" s="21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</row>
    <row r="301" spans="1:29" ht="13.2" x14ac:dyDescent="0.25">
      <c r="A301" s="199"/>
      <c r="B301" s="220"/>
      <c r="C301" s="221"/>
      <c r="D301" s="222"/>
      <c r="E301" s="223"/>
      <c r="F301" s="209"/>
      <c r="G301" s="223"/>
      <c r="H301" s="223"/>
      <c r="I301" s="224"/>
      <c r="J301" s="21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</row>
    <row r="302" spans="1:29" ht="13.2" x14ac:dyDescent="0.25">
      <c r="A302" s="199"/>
      <c r="B302" s="220"/>
      <c r="C302" s="221"/>
      <c r="D302" s="222"/>
      <c r="E302" s="223"/>
      <c r="F302" s="209"/>
      <c r="G302" s="223"/>
      <c r="H302" s="223"/>
      <c r="I302" s="224"/>
      <c r="J302" s="21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</row>
    <row r="303" spans="1:29" ht="13.2" x14ac:dyDescent="0.25">
      <c r="A303" s="199"/>
      <c r="B303" s="220"/>
      <c r="C303" s="221"/>
      <c r="D303" s="222"/>
      <c r="E303" s="223"/>
      <c r="F303" s="209"/>
      <c r="G303" s="223"/>
      <c r="H303" s="223"/>
      <c r="I303" s="224"/>
      <c r="J303" s="21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</row>
    <row r="304" spans="1:29" ht="13.2" x14ac:dyDescent="0.25">
      <c r="A304" s="199"/>
      <c r="B304" s="220"/>
      <c r="C304" s="221"/>
      <c r="D304" s="222"/>
      <c r="E304" s="223"/>
      <c r="F304" s="209"/>
      <c r="G304" s="223"/>
      <c r="H304" s="223"/>
      <c r="I304" s="224"/>
      <c r="J304" s="21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</row>
    <row r="305" spans="1:29" ht="13.2" x14ac:dyDescent="0.25">
      <c r="A305" s="199"/>
      <c r="B305" s="220"/>
      <c r="C305" s="221"/>
      <c r="D305" s="222"/>
      <c r="E305" s="223"/>
      <c r="F305" s="209"/>
      <c r="G305" s="223"/>
      <c r="H305" s="223"/>
      <c r="I305" s="224"/>
      <c r="J305" s="21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</row>
    <row r="306" spans="1:29" ht="13.2" x14ac:dyDescent="0.25">
      <c r="A306" s="199"/>
      <c r="B306" s="220"/>
      <c r="C306" s="221"/>
      <c r="D306" s="222"/>
      <c r="E306" s="223"/>
      <c r="F306" s="209"/>
      <c r="G306" s="223"/>
      <c r="H306" s="223"/>
      <c r="I306" s="224"/>
      <c r="J306" s="21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</row>
    <row r="307" spans="1:29" ht="13.2" x14ac:dyDescent="0.25">
      <c r="A307" s="199"/>
      <c r="B307" s="220"/>
      <c r="C307" s="221"/>
      <c r="D307" s="222"/>
      <c r="E307" s="223"/>
      <c r="F307" s="209"/>
      <c r="G307" s="223"/>
      <c r="H307" s="223"/>
      <c r="I307" s="224"/>
      <c r="J307" s="21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</row>
    <row r="308" spans="1:29" ht="13.2" x14ac:dyDescent="0.25">
      <c r="A308" s="199"/>
      <c r="B308" s="220"/>
      <c r="C308" s="221"/>
      <c r="D308" s="222"/>
      <c r="E308" s="223"/>
      <c r="F308" s="209"/>
      <c r="G308" s="223"/>
      <c r="H308" s="223"/>
      <c r="I308" s="224"/>
      <c r="J308" s="21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</row>
    <row r="309" spans="1:29" ht="13.2" x14ac:dyDescent="0.25">
      <c r="A309" s="199"/>
      <c r="B309" s="220"/>
      <c r="C309" s="221"/>
      <c r="D309" s="222"/>
      <c r="E309" s="223"/>
      <c r="F309" s="209"/>
      <c r="G309" s="223"/>
      <c r="H309" s="223"/>
      <c r="I309" s="224"/>
      <c r="J309" s="21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</row>
    <row r="310" spans="1:29" ht="13.2" x14ac:dyDescent="0.25">
      <c r="A310" s="199"/>
      <c r="B310" s="220"/>
      <c r="C310" s="221"/>
      <c r="D310" s="222"/>
      <c r="E310" s="223"/>
      <c r="F310" s="209"/>
      <c r="G310" s="223"/>
      <c r="H310" s="223"/>
      <c r="I310" s="224"/>
      <c r="J310" s="21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</row>
    <row r="311" spans="1:29" ht="13.2" x14ac:dyDescent="0.25">
      <c r="A311" s="199"/>
      <c r="B311" s="220"/>
      <c r="C311" s="221"/>
      <c r="D311" s="222"/>
      <c r="E311" s="223"/>
      <c r="F311" s="209"/>
      <c r="G311" s="223"/>
      <c r="H311" s="223"/>
      <c r="I311" s="224"/>
      <c r="J311" s="21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</row>
    <row r="312" spans="1:29" ht="13.2" x14ac:dyDescent="0.25">
      <c r="A312" s="199"/>
      <c r="B312" s="220"/>
      <c r="C312" s="221"/>
      <c r="D312" s="222"/>
      <c r="E312" s="223"/>
      <c r="F312" s="209"/>
      <c r="G312" s="223"/>
      <c r="H312" s="223"/>
      <c r="I312" s="224"/>
      <c r="J312" s="21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</row>
    <row r="313" spans="1:29" ht="13.2" x14ac:dyDescent="0.25">
      <c r="A313" s="199"/>
      <c r="B313" s="220"/>
      <c r="C313" s="221"/>
      <c r="D313" s="222"/>
      <c r="E313" s="223"/>
      <c r="F313" s="209"/>
      <c r="G313" s="223"/>
      <c r="H313" s="223"/>
      <c r="I313" s="224"/>
      <c r="J313" s="21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</row>
    <row r="314" spans="1:29" ht="13.2" x14ac:dyDescent="0.25">
      <c r="A314" s="199"/>
      <c r="B314" s="220"/>
      <c r="C314" s="221"/>
      <c r="D314" s="222"/>
      <c r="E314" s="223"/>
      <c r="F314" s="209"/>
      <c r="G314" s="223"/>
      <c r="H314" s="223"/>
      <c r="I314" s="224"/>
      <c r="J314" s="21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</row>
    <row r="315" spans="1:29" ht="13.2" x14ac:dyDescent="0.25">
      <c r="A315" s="199"/>
      <c r="B315" s="220"/>
      <c r="C315" s="221"/>
      <c r="D315" s="222"/>
      <c r="E315" s="223"/>
      <c r="F315" s="209"/>
      <c r="G315" s="223"/>
      <c r="H315" s="223"/>
      <c r="I315" s="224"/>
      <c r="J315" s="21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</row>
    <row r="316" spans="1:29" ht="13.2" x14ac:dyDescent="0.25">
      <c r="A316" s="199"/>
      <c r="B316" s="220"/>
      <c r="C316" s="221"/>
      <c r="D316" s="222"/>
      <c r="E316" s="223"/>
      <c r="F316" s="209"/>
      <c r="G316" s="223"/>
      <c r="H316" s="223"/>
      <c r="I316" s="224"/>
      <c r="J316" s="21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</row>
    <row r="317" spans="1:29" ht="13.2" x14ac:dyDescent="0.25">
      <c r="A317" s="199"/>
      <c r="B317" s="220"/>
      <c r="C317" s="221"/>
      <c r="D317" s="222"/>
      <c r="E317" s="223"/>
      <c r="F317" s="209"/>
      <c r="G317" s="223"/>
      <c r="H317" s="223"/>
      <c r="I317" s="224"/>
      <c r="J317" s="21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</row>
    <row r="318" spans="1:29" ht="13.2" x14ac:dyDescent="0.25">
      <c r="A318" s="199"/>
      <c r="B318" s="220"/>
      <c r="C318" s="221"/>
      <c r="D318" s="222"/>
      <c r="E318" s="223"/>
      <c r="F318" s="209"/>
      <c r="G318" s="223"/>
      <c r="H318" s="223"/>
      <c r="I318" s="224"/>
      <c r="J318" s="21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</row>
    <row r="319" spans="1:29" ht="13.2" x14ac:dyDescent="0.25">
      <c r="A319" s="199"/>
      <c r="B319" s="220"/>
      <c r="C319" s="221"/>
      <c r="D319" s="222"/>
      <c r="E319" s="223"/>
      <c r="F319" s="209"/>
      <c r="G319" s="223"/>
      <c r="H319" s="223"/>
      <c r="I319" s="224"/>
      <c r="J319" s="21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</row>
    <row r="320" spans="1:29" ht="13.2" x14ac:dyDescent="0.25">
      <c r="A320" s="199"/>
      <c r="B320" s="220"/>
      <c r="C320" s="221"/>
      <c r="D320" s="222"/>
      <c r="E320" s="223"/>
      <c r="F320" s="209"/>
      <c r="G320" s="223"/>
      <c r="H320" s="223"/>
      <c r="I320" s="224"/>
      <c r="J320" s="21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</row>
    <row r="321" spans="1:29" ht="13.2" x14ac:dyDescent="0.25">
      <c r="A321" s="199"/>
      <c r="B321" s="220"/>
      <c r="C321" s="221"/>
      <c r="D321" s="222"/>
      <c r="E321" s="223"/>
      <c r="F321" s="209"/>
      <c r="G321" s="223"/>
      <c r="H321" s="223"/>
      <c r="I321" s="224"/>
      <c r="J321" s="21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</row>
    <row r="322" spans="1:29" ht="13.2" x14ac:dyDescent="0.25">
      <c r="A322" s="199"/>
      <c r="B322" s="220"/>
      <c r="C322" s="221"/>
      <c r="D322" s="222"/>
      <c r="E322" s="223"/>
      <c r="F322" s="209"/>
      <c r="G322" s="223"/>
      <c r="H322" s="223"/>
      <c r="I322" s="224"/>
      <c r="J322" s="21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</row>
    <row r="323" spans="1:29" ht="13.2" x14ac:dyDescent="0.25">
      <c r="A323" s="199"/>
      <c r="B323" s="220"/>
      <c r="C323" s="221"/>
      <c r="D323" s="222"/>
      <c r="E323" s="223"/>
      <c r="F323" s="209"/>
      <c r="G323" s="223"/>
      <c r="H323" s="223"/>
      <c r="I323" s="224"/>
      <c r="J323" s="21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</row>
    <row r="324" spans="1:29" ht="13.2" x14ac:dyDescent="0.25">
      <c r="A324" s="199"/>
      <c r="B324" s="220"/>
      <c r="C324" s="221"/>
      <c r="D324" s="222"/>
      <c r="E324" s="223"/>
      <c r="F324" s="209"/>
      <c r="G324" s="223"/>
      <c r="H324" s="223"/>
      <c r="I324" s="224"/>
      <c r="J324" s="21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</row>
    <row r="325" spans="1:29" ht="13.2" x14ac:dyDescent="0.25">
      <c r="A325" s="199"/>
      <c r="B325" s="220"/>
      <c r="C325" s="221"/>
      <c r="D325" s="222"/>
      <c r="E325" s="223"/>
      <c r="F325" s="209"/>
      <c r="G325" s="223"/>
      <c r="H325" s="223"/>
      <c r="I325" s="224"/>
      <c r="J325" s="21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</row>
    <row r="326" spans="1:29" ht="13.2" x14ac:dyDescent="0.25">
      <c r="A326" s="199"/>
      <c r="B326" s="220"/>
      <c r="C326" s="221"/>
      <c r="D326" s="222"/>
      <c r="E326" s="223"/>
      <c r="F326" s="209"/>
      <c r="G326" s="223"/>
      <c r="H326" s="223"/>
      <c r="I326" s="224"/>
      <c r="J326" s="21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</row>
    <row r="327" spans="1:29" ht="13.2" x14ac:dyDescent="0.25">
      <c r="A327" s="199"/>
      <c r="B327" s="220"/>
      <c r="C327" s="221"/>
      <c r="D327" s="222"/>
      <c r="E327" s="223"/>
      <c r="F327" s="209"/>
      <c r="G327" s="223"/>
      <c r="H327" s="223"/>
      <c r="I327" s="224"/>
      <c r="J327" s="21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</row>
    <row r="328" spans="1:29" ht="13.2" x14ac:dyDescent="0.25">
      <c r="A328" s="199"/>
      <c r="B328" s="220"/>
      <c r="C328" s="221"/>
      <c r="D328" s="222"/>
      <c r="E328" s="223"/>
      <c r="F328" s="209"/>
      <c r="G328" s="223"/>
      <c r="H328" s="223"/>
      <c r="I328" s="224"/>
      <c r="J328" s="21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</row>
    <row r="329" spans="1:29" ht="13.2" x14ac:dyDescent="0.25">
      <c r="A329" s="199"/>
      <c r="B329" s="220"/>
      <c r="C329" s="221"/>
      <c r="D329" s="222"/>
      <c r="E329" s="223"/>
      <c r="F329" s="209"/>
      <c r="G329" s="223"/>
      <c r="H329" s="223"/>
      <c r="I329" s="224"/>
      <c r="J329" s="21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</row>
    <row r="330" spans="1:29" ht="13.2" x14ac:dyDescent="0.25">
      <c r="A330" s="199"/>
      <c r="B330" s="220"/>
      <c r="C330" s="221"/>
      <c r="D330" s="222"/>
      <c r="E330" s="223"/>
      <c r="F330" s="209"/>
      <c r="G330" s="223"/>
      <c r="H330" s="223"/>
      <c r="I330" s="224"/>
      <c r="J330" s="21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</row>
    <row r="331" spans="1:29" ht="13.2" x14ac:dyDescent="0.25">
      <c r="A331" s="199"/>
      <c r="B331" s="220"/>
      <c r="C331" s="221"/>
      <c r="D331" s="222"/>
      <c r="E331" s="223"/>
      <c r="F331" s="209"/>
      <c r="G331" s="223"/>
      <c r="H331" s="223"/>
      <c r="I331" s="224"/>
      <c r="J331" s="21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</row>
    <row r="332" spans="1:29" ht="13.2" x14ac:dyDescent="0.25">
      <c r="A332" s="199"/>
      <c r="B332" s="220"/>
      <c r="C332" s="221"/>
      <c r="D332" s="222"/>
      <c r="E332" s="223"/>
      <c r="F332" s="209"/>
      <c r="G332" s="223"/>
      <c r="H332" s="223"/>
      <c r="I332" s="224"/>
      <c r="J332" s="21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</row>
    <row r="333" spans="1:29" ht="13.2" x14ac:dyDescent="0.25">
      <c r="A333" s="199"/>
      <c r="B333" s="220"/>
      <c r="C333" s="221"/>
      <c r="D333" s="222"/>
      <c r="E333" s="223"/>
      <c r="F333" s="209"/>
      <c r="G333" s="223"/>
      <c r="H333" s="223"/>
      <c r="I333" s="224"/>
      <c r="J333" s="21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</row>
    <row r="334" spans="1:29" ht="13.2" x14ac:dyDescent="0.25">
      <c r="A334" s="199"/>
      <c r="B334" s="220"/>
      <c r="C334" s="221"/>
      <c r="D334" s="222"/>
      <c r="E334" s="223"/>
      <c r="F334" s="209"/>
      <c r="G334" s="223"/>
      <c r="H334" s="223"/>
      <c r="I334" s="224"/>
      <c r="J334" s="21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</row>
    <row r="335" spans="1:29" ht="13.2" x14ac:dyDescent="0.25">
      <c r="A335" s="199"/>
      <c r="B335" s="220"/>
      <c r="C335" s="221"/>
      <c r="D335" s="222"/>
      <c r="E335" s="223"/>
      <c r="F335" s="209"/>
      <c r="G335" s="223"/>
      <c r="H335" s="223"/>
      <c r="I335" s="224"/>
      <c r="J335" s="21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</row>
    <row r="336" spans="1:29" ht="13.2" x14ac:dyDescent="0.25">
      <c r="A336" s="199"/>
      <c r="B336" s="220"/>
      <c r="C336" s="221"/>
      <c r="D336" s="222"/>
      <c r="E336" s="223"/>
      <c r="F336" s="209"/>
      <c r="G336" s="223"/>
      <c r="H336" s="223"/>
      <c r="I336" s="224"/>
      <c r="J336" s="21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</row>
    <row r="337" spans="1:29" ht="13.2" x14ac:dyDescent="0.25">
      <c r="A337" s="199"/>
      <c r="B337" s="220"/>
      <c r="C337" s="221"/>
      <c r="D337" s="222"/>
      <c r="E337" s="223"/>
      <c r="F337" s="209"/>
      <c r="G337" s="223"/>
      <c r="H337" s="223"/>
      <c r="I337" s="224"/>
      <c r="J337" s="21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</row>
    <row r="338" spans="1:29" ht="13.2" x14ac:dyDescent="0.25">
      <c r="A338" s="199"/>
      <c r="B338" s="220"/>
      <c r="C338" s="221"/>
      <c r="D338" s="222"/>
      <c r="E338" s="223"/>
      <c r="F338" s="209"/>
      <c r="G338" s="223"/>
      <c r="H338" s="223"/>
      <c r="I338" s="224"/>
      <c r="J338" s="21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</row>
    <row r="339" spans="1:29" ht="13.2" x14ac:dyDescent="0.25">
      <c r="A339" s="199"/>
      <c r="B339" s="220"/>
      <c r="C339" s="221"/>
      <c r="D339" s="222"/>
      <c r="E339" s="223"/>
      <c r="F339" s="209"/>
      <c r="G339" s="223"/>
      <c r="H339" s="223"/>
      <c r="I339" s="224"/>
      <c r="J339" s="21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</row>
    <row r="340" spans="1:29" ht="13.2" x14ac:dyDescent="0.25">
      <c r="A340" s="199"/>
      <c r="B340" s="220"/>
      <c r="C340" s="221"/>
      <c r="D340" s="222"/>
      <c r="E340" s="223"/>
      <c r="F340" s="209"/>
      <c r="G340" s="223"/>
      <c r="H340" s="223"/>
      <c r="I340" s="224"/>
      <c r="J340" s="21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</row>
    <row r="341" spans="1:29" ht="13.2" x14ac:dyDescent="0.25">
      <c r="A341" s="199"/>
      <c r="B341" s="220"/>
      <c r="C341" s="221"/>
      <c r="D341" s="222"/>
      <c r="E341" s="223"/>
      <c r="F341" s="209"/>
      <c r="G341" s="223"/>
      <c r="H341" s="223"/>
      <c r="I341" s="224"/>
      <c r="J341" s="21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</row>
    <row r="342" spans="1:29" ht="13.2" x14ac:dyDescent="0.25">
      <c r="A342" s="199"/>
      <c r="B342" s="220"/>
      <c r="C342" s="221"/>
      <c r="D342" s="222"/>
      <c r="E342" s="223"/>
      <c r="F342" s="209"/>
      <c r="G342" s="223"/>
      <c r="H342" s="223"/>
      <c r="I342" s="224"/>
      <c r="J342" s="21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</row>
    <row r="343" spans="1:29" ht="13.2" x14ac:dyDescent="0.25">
      <c r="A343" s="199"/>
      <c r="B343" s="220"/>
      <c r="C343" s="221"/>
      <c r="D343" s="222"/>
      <c r="E343" s="223"/>
      <c r="F343" s="209"/>
      <c r="G343" s="223"/>
      <c r="H343" s="223"/>
      <c r="I343" s="224"/>
      <c r="J343" s="21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</row>
    <row r="344" spans="1:29" ht="13.2" x14ac:dyDescent="0.25">
      <c r="A344" s="199"/>
      <c r="B344" s="220"/>
      <c r="C344" s="221"/>
      <c r="D344" s="222"/>
      <c r="E344" s="223"/>
      <c r="F344" s="209"/>
      <c r="G344" s="223"/>
      <c r="H344" s="223"/>
      <c r="I344" s="224"/>
      <c r="J344" s="21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</row>
    <row r="345" spans="1:29" ht="13.2" x14ac:dyDescent="0.25">
      <c r="A345" s="199"/>
      <c r="B345" s="220"/>
      <c r="C345" s="221"/>
      <c r="D345" s="222"/>
      <c r="E345" s="223"/>
      <c r="F345" s="209"/>
      <c r="G345" s="223"/>
      <c r="H345" s="223"/>
      <c r="I345" s="224"/>
      <c r="J345" s="21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</row>
    <row r="346" spans="1:29" ht="13.2" x14ac:dyDescent="0.25">
      <c r="A346" s="199"/>
      <c r="B346" s="220"/>
      <c r="C346" s="221"/>
      <c r="D346" s="222"/>
      <c r="E346" s="223"/>
      <c r="F346" s="209"/>
      <c r="G346" s="223"/>
      <c r="H346" s="223"/>
      <c r="I346" s="224"/>
      <c r="J346" s="21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</row>
    <row r="347" spans="1:29" ht="13.2" x14ac:dyDescent="0.25">
      <c r="A347" s="199"/>
      <c r="B347" s="220"/>
      <c r="C347" s="221"/>
      <c r="D347" s="222"/>
      <c r="E347" s="223"/>
      <c r="F347" s="209"/>
      <c r="G347" s="223"/>
      <c r="H347" s="223"/>
      <c r="I347" s="224"/>
      <c r="J347" s="21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</row>
    <row r="348" spans="1:29" ht="13.2" x14ac:dyDescent="0.25">
      <c r="A348" s="199"/>
      <c r="B348" s="220"/>
      <c r="C348" s="221"/>
      <c r="D348" s="222"/>
      <c r="E348" s="223"/>
      <c r="F348" s="209"/>
      <c r="G348" s="223"/>
      <c r="H348" s="223"/>
      <c r="I348" s="224"/>
      <c r="J348" s="21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</row>
    <row r="349" spans="1:29" ht="13.2" x14ac:dyDescent="0.25">
      <c r="A349" s="199"/>
      <c r="B349" s="220"/>
      <c r="C349" s="221"/>
      <c r="D349" s="222"/>
      <c r="E349" s="223"/>
      <c r="F349" s="209"/>
      <c r="G349" s="223"/>
      <c r="H349" s="223"/>
      <c r="I349" s="224"/>
      <c r="J349" s="21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</row>
    <row r="350" spans="1:29" ht="13.2" x14ac:dyDescent="0.25">
      <c r="A350" s="199"/>
      <c r="B350" s="220"/>
      <c r="C350" s="221"/>
      <c r="D350" s="222"/>
      <c r="E350" s="223"/>
      <c r="F350" s="209"/>
      <c r="G350" s="223"/>
      <c r="H350" s="223"/>
      <c r="I350" s="224"/>
      <c r="J350" s="21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</row>
    <row r="351" spans="1:29" ht="13.2" x14ac:dyDescent="0.25">
      <c r="A351" s="199"/>
      <c r="B351" s="220"/>
      <c r="C351" s="221"/>
      <c r="D351" s="222"/>
      <c r="E351" s="223"/>
      <c r="F351" s="209"/>
      <c r="G351" s="223"/>
      <c r="H351" s="223"/>
      <c r="I351" s="224"/>
      <c r="J351" s="21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</row>
    <row r="352" spans="1:29" ht="13.2" x14ac:dyDescent="0.25">
      <c r="A352" s="199"/>
      <c r="B352" s="220"/>
      <c r="C352" s="221"/>
      <c r="D352" s="222"/>
      <c r="E352" s="223"/>
      <c r="F352" s="209"/>
      <c r="G352" s="223"/>
      <c r="H352" s="223"/>
      <c r="I352" s="224"/>
      <c r="J352" s="21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</row>
    <row r="353" spans="1:29" ht="13.2" x14ac:dyDescent="0.25">
      <c r="A353" s="199"/>
      <c r="B353" s="220"/>
      <c r="C353" s="221"/>
      <c r="D353" s="222"/>
      <c r="E353" s="223"/>
      <c r="F353" s="209"/>
      <c r="G353" s="223"/>
      <c r="H353" s="223"/>
      <c r="I353" s="224"/>
      <c r="J353" s="21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</row>
    <row r="354" spans="1:29" ht="13.2" x14ac:dyDescent="0.25">
      <c r="A354" s="199"/>
      <c r="B354" s="220"/>
      <c r="C354" s="221"/>
      <c r="D354" s="222"/>
      <c r="E354" s="223"/>
      <c r="F354" s="209"/>
      <c r="G354" s="223"/>
      <c r="H354" s="223"/>
      <c r="I354" s="224"/>
      <c r="J354" s="21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</row>
    <row r="355" spans="1:29" ht="13.2" x14ac:dyDescent="0.25">
      <c r="A355" s="199"/>
      <c r="B355" s="220"/>
      <c r="C355" s="221"/>
      <c r="D355" s="222"/>
      <c r="E355" s="223"/>
      <c r="F355" s="209"/>
      <c r="G355" s="223"/>
      <c r="H355" s="223"/>
      <c r="I355" s="224"/>
      <c r="J355" s="21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</row>
    <row r="356" spans="1:29" ht="13.2" x14ac:dyDescent="0.25">
      <c r="A356" s="199"/>
      <c r="B356" s="220"/>
      <c r="C356" s="221"/>
      <c r="D356" s="222"/>
      <c r="E356" s="223"/>
      <c r="F356" s="209"/>
      <c r="G356" s="223"/>
      <c r="H356" s="223"/>
      <c r="I356" s="224"/>
      <c r="J356" s="21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</row>
    <row r="357" spans="1:29" ht="13.2" x14ac:dyDescent="0.25">
      <c r="A357" s="199"/>
      <c r="B357" s="220"/>
      <c r="C357" s="221"/>
      <c r="D357" s="222"/>
      <c r="E357" s="223"/>
      <c r="F357" s="209"/>
      <c r="G357" s="223"/>
      <c r="H357" s="223"/>
      <c r="I357" s="224"/>
      <c r="J357" s="21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</row>
    <row r="358" spans="1:29" ht="13.2" x14ac:dyDescent="0.25">
      <c r="A358" s="199"/>
      <c r="B358" s="220"/>
      <c r="C358" s="221"/>
      <c r="D358" s="222"/>
      <c r="E358" s="223"/>
      <c r="F358" s="209"/>
      <c r="G358" s="223"/>
      <c r="H358" s="223"/>
      <c r="I358" s="224"/>
      <c r="J358" s="21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</row>
    <row r="359" spans="1:29" ht="13.2" x14ac:dyDescent="0.25">
      <c r="A359" s="199"/>
      <c r="B359" s="220"/>
      <c r="C359" s="221"/>
      <c r="D359" s="222"/>
      <c r="E359" s="223"/>
      <c r="F359" s="209"/>
      <c r="G359" s="223"/>
      <c r="H359" s="223"/>
      <c r="I359" s="224"/>
      <c r="J359" s="21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</row>
    <row r="360" spans="1:29" ht="13.2" x14ac:dyDescent="0.25">
      <c r="A360" s="199"/>
      <c r="B360" s="220"/>
      <c r="C360" s="221"/>
      <c r="D360" s="222"/>
      <c r="E360" s="223"/>
      <c r="F360" s="209"/>
      <c r="G360" s="223"/>
      <c r="H360" s="223"/>
      <c r="I360" s="224"/>
      <c r="J360" s="21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</row>
    <row r="361" spans="1:29" ht="13.2" x14ac:dyDescent="0.25">
      <c r="A361" s="199"/>
      <c r="B361" s="220"/>
      <c r="C361" s="221"/>
      <c r="D361" s="222"/>
      <c r="E361" s="223"/>
      <c r="F361" s="209"/>
      <c r="G361" s="223"/>
      <c r="H361" s="223"/>
      <c r="I361" s="224"/>
      <c r="J361" s="21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</row>
    <row r="362" spans="1:29" ht="13.2" x14ac:dyDescent="0.25">
      <c r="A362" s="199"/>
      <c r="B362" s="220"/>
      <c r="C362" s="221"/>
      <c r="D362" s="222"/>
      <c r="E362" s="223"/>
      <c r="F362" s="209"/>
      <c r="G362" s="223"/>
      <c r="H362" s="223"/>
      <c r="I362" s="224"/>
      <c r="J362" s="21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</row>
    <row r="363" spans="1:29" ht="13.2" x14ac:dyDescent="0.25">
      <c r="A363" s="199"/>
      <c r="B363" s="220"/>
      <c r="C363" s="221"/>
      <c r="D363" s="222"/>
      <c r="E363" s="223"/>
      <c r="F363" s="209"/>
      <c r="G363" s="223"/>
      <c r="H363" s="223"/>
      <c r="I363" s="224"/>
      <c r="J363" s="21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</row>
    <row r="364" spans="1:29" ht="13.2" x14ac:dyDescent="0.25">
      <c r="A364" s="199"/>
      <c r="B364" s="220"/>
      <c r="C364" s="221"/>
      <c r="D364" s="222"/>
      <c r="E364" s="223"/>
      <c r="F364" s="209"/>
      <c r="G364" s="223"/>
      <c r="H364" s="223"/>
      <c r="I364" s="224"/>
      <c r="J364" s="21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</row>
    <row r="365" spans="1:29" ht="13.2" x14ac:dyDescent="0.25">
      <c r="A365" s="199"/>
      <c r="B365" s="220"/>
      <c r="C365" s="221"/>
      <c r="D365" s="222"/>
      <c r="E365" s="223"/>
      <c r="F365" s="209"/>
      <c r="G365" s="223"/>
      <c r="H365" s="223"/>
      <c r="I365" s="224"/>
      <c r="J365" s="21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</row>
    <row r="366" spans="1:29" ht="13.2" x14ac:dyDescent="0.25">
      <c r="A366" s="199"/>
      <c r="B366" s="220"/>
      <c r="C366" s="221"/>
      <c r="D366" s="222"/>
      <c r="E366" s="223"/>
      <c r="F366" s="209"/>
      <c r="G366" s="223"/>
      <c r="H366" s="223"/>
      <c r="I366" s="224"/>
      <c r="J366" s="21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</row>
    <row r="367" spans="1:29" ht="13.2" x14ac:dyDescent="0.25">
      <c r="A367" s="199"/>
      <c r="B367" s="220"/>
      <c r="C367" s="221"/>
      <c r="D367" s="222"/>
      <c r="E367" s="223"/>
      <c r="F367" s="209"/>
      <c r="G367" s="223"/>
      <c r="H367" s="223"/>
      <c r="I367" s="224"/>
      <c r="J367" s="21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</row>
    <row r="368" spans="1:29" ht="13.2" x14ac:dyDescent="0.25">
      <c r="A368" s="199"/>
      <c r="B368" s="220"/>
      <c r="C368" s="221"/>
      <c r="D368" s="222"/>
      <c r="E368" s="223"/>
      <c r="F368" s="209"/>
      <c r="G368" s="223"/>
      <c r="H368" s="223"/>
      <c r="I368" s="224"/>
      <c r="J368" s="21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</row>
    <row r="369" spans="1:29" ht="13.2" x14ac:dyDescent="0.25">
      <c r="A369" s="199"/>
      <c r="B369" s="220"/>
      <c r="C369" s="221"/>
      <c r="D369" s="222"/>
      <c r="E369" s="223"/>
      <c r="F369" s="209"/>
      <c r="G369" s="223"/>
      <c r="H369" s="223"/>
      <c r="I369" s="224"/>
      <c r="J369" s="21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</row>
    <row r="370" spans="1:29" ht="13.2" x14ac:dyDescent="0.25">
      <c r="A370" s="199"/>
      <c r="B370" s="220"/>
      <c r="C370" s="221"/>
      <c r="D370" s="222"/>
      <c r="E370" s="223"/>
      <c r="F370" s="209"/>
      <c r="G370" s="223"/>
      <c r="H370" s="223"/>
      <c r="I370" s="224"/>
      <c r="J370" s="21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</row>
    <row r="371" spans="1:29" ht="13.2" x14ac:dyDescent="0.25">
      <c r="A371" s="199"/>
      <c r="B371" s="220"/>
      <c r="C371" s="221"/>
      <c r="D371" s="222"/>
      <c r="E371" s="223"/>
      <c r="F371" s="209"/>
      <c r="G371" s="223"/>
      <c r="H371" s="223"/>
      <c r="I371" s="224"/>
      <c r="J371" s="21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</row>
    <row r="372" spans="1:29" ht="13.2" x14ac:dyDescent="0.25">
      <c r="A372" s="199"/>
      <c r="B372" s="220"/>
      <c r="C372" s="221"/>
      <c r="D372" s="222"/>
      <c r="E372" s="223"/>
      <c r="F372" s="209"/>
      <c r="G372" s="223"/>
      <c r="H372" s="223"/>
      <c r="I372" s="224"/>
      <c r="J372" s="21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</row>
    <row r="373" spans="1:29" ht="13.2" x14ac:dyDescent="0.25">
      <c r="A373" s="199"/>
      <c r="B373" s="220"/>
      <c r="C373" s="221"/>
      <c r="D373" s="222"/>
      <c r="E373" s="223"/>
      <c r="F373" s="209"/>
      <c r="G373" s="223"/>
      <c r="H373" s="223"/>
      <c r="I373" s="224"/>
      <c r="J373" s="21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</row>
    <row r="374" spans="1:29" ht="13.2" x14ac:dyDescent="0.25">
      <c r="A374" s="199"/>
      <c r="B374" s="220"/>
      <c r="C374" s="221"/>
      <c r="D374" s="222"/>
      <c r="E374" s="223"/>
      <c r="F374" s="209"/>
      <c r="G374" s="223"/>
      <c r="H374" s="223"/>
      <c r="I374" s="224"/>
      <c r="J374" s="21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</row>
    <row r="375" spans="1:29" ht="13.2" x14ac:dyDescent="0.25">
      <c r="A375" s="199"/>
      <c r="B375" s="220"/>
      <c r="C375" s="221"/>
      <c r="D375" s="222"/>
      <c r="E375" s="223"/>
      <c r="F375" s="209"/>
      <c r="G375" s="223"/>
      <c r="H375" s="223"/>
      <c r="I375" s="224"/>
      <c r="J375" s="21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</row>
    <row r="376" spans="1:29" ht="13.2" x14ac:dyDescent="0.25">
      <c r="A376" s="199"/>
      <c r="B376" s="220"/>
      <c r="C376" s="221"/>
      <c r="D376" s="222"/>
      <c r="E376" s="223"/>
      <c r="F376" s="209"/>
      <c r="G376" s="223"/>
      <c r="H376" s="223"/>
      <c r="I376" s="224"/>
      <c r="J376" s="21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</row>
    <row r="377" spans="1:29" ht="13.2" x14ac:dyDescent="0.25">
      <c r="A377" s="199"/>
      <c r="B377" s="220"/>
      <c r="C377" s="221"/>
      <c r="D377" s="222"/>
      <c r="E377" s="223"/>
      <c r="F377" s="209"/>
      <c r="G377" s="223"/>
      <c r="H377" s="223"/>
      <c r="I377" s="224"/>
      <c r="J377" s="21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</row>
    <row r="378" spans="1:29" ht="13.2" x14ac:dyDescent="0.25">
      <c r="A378" s="199"/>
      <c r="B378" s="220"/>
      <c r="C378" s="221"/>
      <c r="D378" s="222"/>
      <c r="E378" s="223"/>
      <c r="F378" s="209"/>
      <c r="G378" s="223"/>
      <c r="H378" s="223"/>
      <c r="I378" s="224"/>
      <c r="J378" s="21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</row>
    <row r="379" spans="1:29" ht="13.2" x14ac:dyDescent="0.25">
      <c r="A379" s="199"/>
      <c r="B379" s="220"/>
      <c r="C379" s="221"/>
      <c r="D379" s="222"/>
      <c r="E379" s="223"/>
      <c r="F379" s="209"/>
      <c r="G379" s="223"/>
      <c r="H379" s="223"/>
      <c r="I379" s="224"/>
      <c r="J379" s="21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</row>
    <row r="380" spans="1:29" ht="13.2" x14ac:dyDescent="0.25">
      <c r="A380" s="199"/>
      <c r="B380" s="220"/>
      <c r="C380" s="221"/>
      <c r="D380" s="222"/>
      <c r="E380" s="223"/>
      <c r="F380" s="209"/>
      <c r="G380" s="223"/>
      <c r="H380" s="223"/>
      <c r="I380" s="224"/>
      <c r="J380" s="21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</row>
    <row r="381" spans="1:29" ht="13.2" x14ac:dyDescent="0.25">
      <c r="A381" s="199"/>
      <c r="B381" s="220"/>
      <c r="C381" s="221"/>
      <c r="D381" s="222"/>
      <c r="E381" s="223"/>
      <c r="F381" s="209"/>
      <c r="G381" s="223"/>
      <c r="H381" s="223"/>
      <c r="I381" s="224"/>
      <c r="J381" s="21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</row>
    <row r="382" spans="1:29" ht="13.2" x14ac:dyDescent="0.25">
      <c r="A382" s="199"/>
      <c r="B382" s="220"/>
      <c r="C382" s="221"/>
      <c r="D382" s="222"/>
      <c r="E382" s="223"/>
      <c r="F382" s="209"/>
      <c r="G382" s="223"/>
      <c r="H382" s="223"/>
      <c r="I382" s="224"/>
      <c r="J382" s="21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</row>
    <row r="383" spans="1:29" ht="13.2" x14ac:dyDescent="0.25">
      <c r="A383" s="199"/>
      <c r="B383" s="220"/>
      <c r="C383" s="221"/>
      <c r="D383" s="222"/>
      <c r="E383" s="223"/>
      <c r="F383" s="209"/>
      <c r="G383" s="223"/>
      <c r="H383" s="223"/>
      <c r="I383" s="224"/>
      <c r="J383" s="21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</row>
    <row r="384" spans="1:29" ht="13.2" x14ac:dyDescent="0.25">
      <c r="A384" s="199"/>
      <c r="B384" s="220"/>
      <c r="C384" s="221"/>
      <c r="D384" s="222"/>
      <c r="E384" s="223"/>
      <c r="F384" s="209"/>
      <c r="G384" s="223"/>
      <c r="H384" s="223"/>
      <c r="I384" s="224"/>
      <c r="J384" s="21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</row>
    <row r="385" spans="1:29" ht="13.2" x14ac:dyDescent="0.25">
      <c r="A385" s="199"/>
      <c r="B385" s="220"/>
      <c r="C385" s="221"/>
      <c r="D385" s="222"/>
      <c r="E385" s="223"/>
      <c r="F385" s="209"/>
      <c r="G385" s="223"/>
      <c r="H385" s="223"/>
      <c r="I385" s="224"/>
      <c r="J385" s="21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</row>
    <row r="386" spans="1:29" ht="13.2" x14ac:dyDescent="0.25">
      <c r="A386" s="199"/>
      <c r="B386" s="220"/>
      <c r="C386" s="221"/>
      <c r="D386" s="222"/>
      <c r="E386" s="223"/>
      <c r="F386" s="209"/>
      <c r="G386" s="223"/>
      <c r="H386" s="223"/>
      <c r="I386" s="224"/>
      <c r="J386" s="21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</row>
    <row r="387" spans="1:29" ht="13.2" x14ac:dyDescent="0.25">
      <c r="A387" s="199"/>
      <c r="B387" s="220"/>
      <c r="C387" s="221"/>
      <c r="D387" s="222"/>
      <c r="E387" s="223"/>
      <c r="F387" s="209"/>
      <c r="G387" s="223"/>
      <c r="H387" s="223"/>
      <c r="I387" s="224"/>
      <c r="J387" s="21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</row>
    <row r="388" spans="1:29" ht="13.2" x14ac:dyDescent="0.25">
      <c r="A388" s="199"/>
      <c r="B388" s="220"/>
      <c r="C388" s="221"/>
      <c r="D388" s="222"/>
      <c r="E388" s="223"/>
      <c r="F388" s="209"/>
      <c r="G388" s="223"/>
      <c r="H388" s="223"/>
      <c r="I388" s="224"/>
      <c r="J388" s="21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</row>
    <row r="389" spans="1:29" ht="13.2" x14ac:dyDescent="0.25">
      <c r="A389" s="199"/>
      <c r="B389" s="220"/>
      <c r="C389" s="221"/>
      <c r="D389" s="222"/>
      <c r="E389" s="223"/>
      <c r="F389" s="209"/>
      <c r="G389" s="223"/>
      <c r="H389" s="223"/>
      <c r="I389" s="224"/>
      <c r="J389" s="21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</row>
    <row r="390" spans="1:29" ht="13.2" x14ac:dyDescent="0.25">
      <c r="A390" s="199"/>
      <c r="B390" s="220"/>
      <c r="C390" s="221"/>
      <c r="D390" s="222"/>
      <c r="E390" s="223"/>
      <c r="F390" s="209"/>
      <c r="G390" s="223"/>
      <c r="H390" s="223"/>
      <c r="I390" s="224"/>
      <c r="J390" s="21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</row>
    <row r="391" spans="1:29" ht="13.2" x14ac:dyDescent="0.25">
      <c r="A391" s="199"/>
      <c r="B391" s="220"/>
      <c r="C391" s="221"/>
      <c r="D391" s="222"/>
      <c r="E391" s="223"/>
      <c r="F391" s="209"/>
      <c r="G391" s="223"/>
      <c r="H391" s="223"/>
      <c r="I391" s="224"/>
      <c r="J391" s="21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</row>
    <row r="392" spans="1:29" ht="13.2" x14ac:dyDescent="0.25">
      <c r="A392" s="199"/>
      <c r="B392" s="220"/>
      <c r="C392" s="221"/>
      <c r="D392" s="222"/>
      <c r="E392" s="223"/>
      <c r="F392" s="209"/>
      <c r="G392" s="223"/>
      <c r="H392" s="223"/>
      <c r="I392" s="224"/>
      <c r="J392" s="21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</row>
    <row r="393" spans="1:29" ht="13.2" x14ac:dyDescent="0.25">
      <c r="A393" s="199"/>
      <c r="B393" s="220"/>
      <c r="C393" s="221"/>
      <c r="D393" s="222"/>
      <c r="E393" s="223"/>
      <c r="F393" s="209"/>
      <c r="G393" s="223"/>
      <c r="H393" s="223"/>
      <c r="I393" s="224"/>
      <c r="J393" s="21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</row>
    <row r="394" spans="1:29" ht="13.2" x14ac:dyDescent="0.25">
      <c r="A394" s="199"/>
      <c r="B394" s="220"/>
      <c r="C394" s="221"/>
      <c r="D394" s="222"/>
      <c r="E394" s="223"/>
      <c r="F394" s="209"/>
      <c r="G394" s="223"/>
      <c r="H394" s="223"/>
      <c r="I394" s="224"/>
      <c r="J394" s="21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</row>
    <row r="395" spans="1:29" ht="13.2" x14ac:dyDescent="0.25">
      <c r="A395" s="199"/>
      <c r="B395" s="220"/>
      <c r="C395" s="221"/>
      <c r="D395" s="222"/>
      <c r="E395" s="223"/>
      <c r="F395" s="209"/>
      <c r="G395" s="223"/>
      <c r="H395" s="223"/>
      <c r="I395" s="224"/>
      <c r="J395" s="21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</row>
    <row r="396" spans="1:29" ht="13.2" x14ac:dyDescent="0.25">
      <c r="A396" s="199"/>
      <c r="B396" s="220"/>
      <c r="C396" s="221"/>
      <c r="D396" s="222"/>
      <c r="E396" s="223"/>
      <c r="F396" s="209"/>
      <c r="G396" s="223"/>
      <c r="H396" s="223"/>
      <c r="I396" s="224"/>
      <c r="J396" s="21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</row>
    <row r="397" spans="1:29" ht="13.2" x14ac:dyDescent="0.25">
      <c r="A397" s="199"/>
      <c r="B397" s="220"/>
      <c r="C397" s="221"/>
      <c r="D397" s="222"/>
      <c r="E397" s="223"/>
      <c r="F397" s="209"/>
      <c r="G397" s="223"/>
      <c r="H397" s="223"/>
      <c r="I397" s="224"/>
      <c r="J397" s="21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</row>
    <row r="398" spans="1:29" ht="13.2" x14ac:dyDescent="0.25">
      <c r="A398" s="199"/>
      <c r="B398" s="220"/>
      <c r="C398" s="221"/>
      <c r="D398" s="222"/>
      <c r="E398" s="223"/>
      <c r="F398" s="209"/>
      <c r="G398" s="223"/>
      <c r="H398" s="223"/>
      <c r="I398" s="224"/>
      <c r="J398" s="21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</row>
    <row r="399" spans="1:29" ht="13.2" x14ac:dyDescent="0.25">
      <c r="A399" s="199"/>
      <c r="B399" s="220"/>
      <c r="C399" s="221"/>
      <c r="D399" s="222"/>
      <c r="E399" s="223"/>
      <c r="F399" s="209"/>
      <c r="G399" s="223"/>
      <c r="H399" s="223"/>
      <c r="I399" s="224"/>
      <c r="J399" s="21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</row>
    <row r="400" spans="1:29" ht="13.2" x14ac:dyDescent="0.25">
      <c r="A400" s="199"/>
      <c r="B400" s="220"/>
      <c r="C400" s="221"/>
      <c r="D400" s="222"/>
      <c r="E400" s="223"/>
      <c r="F400" s="209"/>
      <c r="G400" s="223"/>
      <c r="H400" s="223"/>
      <c r="I400" s="224"/>
      <c r="J400" s="21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</row>
    <row r="401" spans="1:29" ht="13.2" x14ac:dyDescent="0.25">
      <c r="A401" s="199"/>
      <c r="B401" s="220"/>
      <c r="C401" s="221"/>
      <c r="D401" s="222"/>
      <c r="E401" s="223"/>
      <c r="F401" s="209"/>
      <c r="G401" s="223"/>
      <c r="H401" s="223"/>
      <c r="I401" s="224"/>
      <c r="J401" s="21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</row>
    <row r="402" spans="1:29" ht="13.2" x14ac:dyDescent="0.25">
      <c r="A402" s="199"/>
      <c r="B402" s="220"/>
      <c r="C402" s="221"/>
      <c r="D402" s="222"/>
      <c r="E402" s="223"/>
      <c r="F402" s="209"/>
      <c r="G402" s="223"/>
      <c r="H402" s="223"/>
      <c r="I402" s="224"/>
      <c r="J402" s="21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</row>
    <row r="403" spans="1:29" ht="13.2" x14ac:dyDescent="0.25">
      <c r="A403" s="199"/>
      <c r="B403" s="220"/>
      <c r="C403" s="221"/>
      <c r="D403" s="222"/>
      <c r="E403" s="223"/>
      <c r="F403" s="209"/>
      <c r="G403" s="223"/>
      <c r="H403" s="223"/>
      <c r="I403" s="224"/>
      <c r="J403" s="21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</row>
    <row r="404" spans="1:29" ht="13.2" x14ac:dyDescent="0.25">
      <c r="A404" s="199"/>
      <c r="B404" s="220"/>
      <c r="C404" s="221"/>
      <c r="D404" s="222"/>
      <c r="E404" s="223"/>
      <c r="F404" s="209"/>
      <c r="G404" s="223"/>
      <c r="H404" s="223"/>
      <c r="I404" s="224"/>
      <c r="J404" s="21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</row>
    <row r="405" spans="1:29" ht="13.2" x14ac:dyDescent="0.25">
      <c r="A405" s="199"/>
      <c r="B405" s="220"/>
      <c r="C405" s="221"/>
      <c r="D405" s="222"/>
      <c r="E405" s="223"/>
      <c r="F405" s="209"/>
      <c r="G405" s="223"/>
      <c r="H405" s="223"/>
      <c r="I405" s="224"/>
      <c r="J405" s="21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</row>
    <row r="406" spans="1:29" ht="13.2" x14ac:dyDescent="0.25">
      <c r="A406" s="199"/>
      <c r="B406" s="220"/>
      <c r="C406" s="221"/>
      <c r="D406" s="222"/>
      <c r="E406" s="223"/>
      <c r="F406" s="209"/>
      <c r="G406" s="223"/>
      <c r="H406" s="223"/>
      <c r="I406" s="224"/>
      <c r="J406" s="21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</row>
    <row r="407" spans="1:29" ht="13.2" x14ac:dyDescent="0.25">
      <c r="A407" s="199"/>
      <c r="B407" s="220"/>
      <c r="C407" s="221"/>
      <c r="D407" s="222"/>
      <c r="E407" s="223"/>
      <c r="F407" s="209"/>
      <c r="G407" s="223"/>
      <c r="H407" s="223"/>
      <c r="I407" s="224"/>
      <c r="J407" s="21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</row>
    <row r="408" spans="1:29" ht="13.2" x14ac:dyDescent="0.25">
      <c r="A408" s="199"/>
      <c r="B408" s="220"/>
      <c r="C408" s="221"/>
      <c r="D408" s="222"/>
      <c r="E408" s="223"/>
      <c r="F408" s="209"/>
      <c r="G408" s="223"/>
      <c r="H408" s="223"/>
      <c r="I408" s="224"/>
      <c r="J408" s="21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</row>
    <row r="409" spans="1:29" ht="13.2" x14ac:dyDescent="0.25">
      <c r="A409" s="199"/>
      <c r="B409" s="220"/>
      <c r="C409" s="221"/>
      <c r="D409" s="222"/>
      <c r="E409" s="223"/>
      <c r="F409" s="209"/>
      <c r="G409" s="223"/>
      <c r="H409" s="223"/>
      <c r="I409" s="224"/>
      <c r="J409" s="21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</row>
    <row r="410" spans="1:29" ht="13.2" x14ac:dyDescent="0.25">
      <c r="A410" s="199"/>
      <c r="B410" s="220"/>
      <c r="C410" s="221"/>
      <c r="D410" s="222"/>
      <c r="E410" s="223"/>
      <c r="F410" s="209"/>
      <c r="G410" s="223"/>
      <c r="H410" s="223"/>
      <c r="I410" s="224"/>
      <c r="J410" s="21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</row>
    <row r="411" spans="1:29" ht="13.2" x14ac:dyDescent="0.25">
      <c r="A411" s="199"/>
      <c r="B411" s="220"/>
      <c r="C411" s="221"/>
      <c r="D411" s="222"/>
      <c r="E411" s="223"/>
      <c r="F411" s="209"/>
      <c r="G411" s="223"/>
      <c r="H411" s="223"/>
      <c r="I411" s="224"/>
      <c r="J411" s="21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</row>
    <row r="412" spans="1:29" ht="13.2" x14ac:dyDescent="0.25">
      <c r="A412" s="199"/>
      <c r="B412" s="220"/>
      <c r="C412" s="221"/>
      <c r="D412" s="222"/>
      <c r="E412" s="223"/>
      <c r="F412" s="209"/>
      <c r="G412" s="223"/>
      <c r="H412" s="223"/>
      <c r="I412" s="224"/>
      <c r="J412" s="21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</row>
    <row r="413" spans="1:29" ht="13.2" x14ac:dyDescent="0.25">
      <c r="A413" s="199"/>
      <c r="B413" s="220"/>
      <c r="C413" s="221"/>
      <c r="D413" s="222"/>
      <c r="E413" s="223"/>
      <c r="F413" s="209"/>
      <c r="G413" s="223"/>
      <c r="H413" s="223"/>
      <c r="I413" s="224"/>
      <c r="J413" s="21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</row>
    <row r="414" spans="1:29" ht="13.2" x14ac:dyDescent="0.25">
      <c r="A414" s="199"/>
      <c r="B414" s="220"/>
      <c r="C414" s="221"/>
      <c r="D414" s="222"/>
      <c r="E414" s="223"/>
      <c r="F414" s="209"/>
      <c r="G414" s="223"/>
      <c r="H414" s="223"/>
      <c r="I414" s="224"/>
      <c r="J414" s="21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</row>
    <row r="415" spans="1:29" ht="13.2" x14ac:dyDescent="0.25">
      <c r="A415" s="199"/>
      <c r="B415" s="220"/>
      <c r="C415" s="221"/>
      <c r="D415" s="222"/>
      <c r="E415" s="223"/>
      <c r="F415" s="209"/>
      <c r="G415" s="223"/>
      <c r="H415" s="223"/>
      <c r="I415" s="224"/>
      <c r="J415" s="21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</row>
    <row r="416" spans="1:29" ht="13.2" x14ac:dyDescent="0.25">
      <c r="A416" s="199"/>
      <c r="B416" s="220"/>
      <c r="C416" s="221"/>
      <c r="D416" s="222"/>
      <c r="E416" s="223"/>
      <c r="F416" s="209"/>
      <c r="G416" s="223"/>
      <c r="H416" s="223"/>
      <c r="I416" s="224"/>
      <c r="J416" s="21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</row>
    <row r="417" spans="1:29" ht="13.2" x14ac:dyDescent="0.25">
      <c r="A417" s="199"/>
      <c r="B417" s="220"/>
      <c r="C417" s="221"/>
      <c r="D417" s="222"/>
      <c r="E417" s="223"/>
      <c r="F417" s="209"/>
      <c r="G417" s="223"/>
      <c r="H417" s="223"/>
      <c r="I417" s="224"/>
      <c r="J417" s="21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</row>
    <row r="418" spans="1:29" ht="13.2" x14ac:dyDescent="0.25">
      <c r="A418" s="199"/>
      <c r="B418" s="220"/>
      <c r="C418" s="221"/>
      <c r="D418" s="222"/>
      <c r="E418" s="223"/>
      <c r="F418" s="209"/>
      <c r="G418" s="223"/>
      <c r="H418" s="223"/>
      <c r="I418" s="224"/>
      <c r="J418" s="21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</row>
    <row r="419" spans="1:29" ht="13.2" x14ac:dyDescent="0.25">
      <c r="A419" s="199"/>
      <c r="B419" s="220"/>
      <c r="C419" s="221"/>
      <c r="D419" s="222"/>
      <c r="E419" s="223"/>
      <c r="F419" s="209"/>
      <c r="G419" s="223"/>
      <c r="H419" s="223"/>
      <c r="I419" s="224"/>
      <c r="J419" s="21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</row>
    <row r="420" spans="1:29" ht="13.2" x14ac:dyDescent="0.25">
      <c r="A420" s="199"/>
      <c r="B420" s="220"/>
      <c r="C420" s="221"/>
      <c r="D420" s="222"/>
      <c r="E420" s="223"/>
      <c r="F420" s="209"/>
      <c r="G420" s="223"/>
      <c r="H420" s="223"/>
      <c r="I420" s="224"/>
      <c r="J420" s="21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</row>
    <row r="421" spans="1:29" ht="13.2" x14ac:dyDescent="0.25">
      <c r="A421" s="199"/>
      <c r="B421" s="220"/>
      <c r="C421" s="221"/>
      <c r="D421" s="222"/>
      <c r="E421" s="223"/>
      <c r="F421" s="209"/>
      <c r="G421" s="223"/>
      <c r="H421" s="223"/>
      <c r="I421" s="224"/>
      <c r="J421" s="21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</row>
    <row r="422" spans="1:29" ht="13.2" x14ac:dyDescent="0.25">
      <c r="A422" s="199"/>
      <c r="B422" s="220"/>
      <c r="C422" s="221"/>
      <c r="D422" s="222"/>
      <c r="E422" s="223"/>
      <c r="F422" s="209"/>
      <c r="G422" s="223"/>
      <c r="H422" s="223"/>
      <c r="I422" s="224"/>
      <c r="J422" s="21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</row>
    <row r="423" spans="1:29" ht="13.2" x14ac:dyDescent="0.25">
      <c r="A423" s="199"/>
      <c r="B423" s="220"/>
      <c r="C423" s="221"/>
      <c r="D423" s="222"/>
      <c r="E423" s="223"/>
      <c r="F423" s="209"/>
      <c r="G423" s="223"/>
      <c r="H423" s="223"/>
      <c r="I423" s="224"/>
      <c r="J423" s="21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</row>
    <row r="424" spans="1:29" ht="13.2" x14ac:dyDescent="0.25">
      <c r="A424" s="199"/>
      <c r="B424" s="220"/>
      <c r="C424" s="221"/>
      <c r="D424" s="222"/>
      <c r="E424" s="223"/>
      <c r="F424" s="209"/>
      <c r="G424" s="223"/>
      <c r="H424" s="223"/>
      <c r="I424" s="224"/>
      <c r="J424" s="21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</row>
    <row r="425" spans="1:29" ht="13.2" x14ac:dyDescent="0.25">
      <c r="A425" s="199"/>
      <c r="B425" s="220"/>
      <c r="C425" s="221"/>
      <c r="D425" s="222"/>
      <c r="E425" s="223"/>
      <c r="F425" s="209"/>
      <c r="G425" s="223"/>
      <c r="H425" s="223"/>
      <c r="I425" s="224"/>
      <c r="J425" s="21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</row>
    <row r="426" spans="1:29" ht="13.2" x14ac:dyDescent="0.25">
      <c r="A426" s="199"/>
      <c r="B426" s="220"/>
      <c r="C426" s="221"/>
      <c r="D426" s="222"/>
      <c r="E426" s="223"/>
      <c r="F426" s="209"/>
      <c r="G426" s="223"/>
      <c r="H426" s="223"/>
      <c r="I426" s="224"/>
      <c r="J426" s="21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</row>
    <row r="427" spans="1:29" ht="13.2" x14ac:dyDescent="0.25">
      <c r="A427" s="199"/>
      <c r="B427" s="220"/>
      <c r="C427" s="221"/>
      <c r="D427" s="222"/>
      <c r="E427" s="223"/>
      <c r="F427" s="209"/>
      <c r="G427" s="223"/>
      <c r="H427" s="223"/>
      <c r="I427" s="224"/>
      <c r="J427" s="21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</row>
    <row r="428" spans="1:29" ht="13.2" x14ac:dyDescent="0.25">
      <c r="A428" s="199"/>
      <c r="B428" s="220"/>
      <c r="C428" s="221"/>
      <c r="D428" s="222"/>
      <c r="E428" s="223"/>
      <c r="F428" s="209"/>
      <c r="G428" s="223"/>
      <c r="H428" s="223"/>
      <c r="I428" s="224"/>
      <c r="J428" s="21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</row>
    <row r="429" spans="1:29" ht="13.2" x14ac:dyDescent="0.25">
      <c r="A429" s="199"/>
      <c r="B429" s="220"/>
      <c r="C429" s="221"/>
      <c r="D429" s="222"/>
      <c r="E429" s="223"/>
      <c r="F429" s="209"/>
      <c r="G429" s="223"/>
      <c r="H429" s="223"/>
      <c r="I429" s="224"/>
      <c r="J429" s="21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</row>
    <row r="430" spans="1:29" ht="13.2" x14ac:dyDescent="0.25">
      <c r="A430" s="199"/>
      <c r="B430" s="220"/>
      <c r="C430" s="221"/>
      <c r="D430" s="222"/>
      <c r="E430" s="223"/>
      <c r="F430" s="209"/>
      <c r="G430" s="223"/>
      <c r="H430" s="223"/>
      <c r="I430" s="224"/>
      <c r="J430" s="21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</row>
    <row r="431" spans="1:29" ht="13.2" x14ac:dyDescent="0.25">
      <c r="A431" s="199"/>
      <c r="B431" s="220"/>
      <c r="C431" s="221"/>
      <c r="D431" s="222"/>
      <c r="E431" s="223"/>
      <c r="F431" s="209"/>
      <c r="G431" s="223"/>
      <c r="H431" s="223"/>
      <c r="I431" s="224"/>
      <c r="J431" s="21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</row>
    <row r="432" spans="1:29" ht="13.2" x14ac:dyDescent="0.25">
      <c r="A432" s="199"/>
      <c r="B432" s="220"/>
      <c r="C432" s="221"/>
      <c r="D432" s="222"/>
      <c r="E432" s="223"/>
      <c r="F432" s="209"/>
      <c r="G432" s="223"/>
      <c r="H432" s="223"/>
      <c r="I432" s="224"/>
      <c r="J432" s="21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</row>
    <row r="433" spans="1:29" ht="13.2" x14ac:dyDescent="0.25">
      <c r="A433" s="199"/>
      <c r="B433" s="220"/>
      <c r="C433" s="221"/>
      <c r="D433" s="222"/>
      <c r="E433" s="223"/>
      <c r="F433" s="209"/>
      <c r="G433" s="223"/>
      <c r="H433" s="223"/>
      <c r="I433" s="224"/>
      <c r="J433" s="21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</row>
    <row r="434" spans="1:29" ht="13.2" x14ac:dyDescent="0.25">
      <c r="A434" s="199"/>
      <c r="B434" s="220"/>
      <c r="C434" s="221"/>
      <c r="D434" s="222"/>
      <c r="E434" s="223"/>
      <c r="F434" s="209"/>
      <c r="G434" s="223"/>
      <c r="H434" s="223"/>
      <c r="I434" s="224"/>
      <c r="J434" s="21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</row>
    <row r="435" spans="1:29" ht="13.2" x14ac:dyDescent="0.25">
      <c r="A435" s="199"/>
      <c r="B435" s="220"/>
      <c r="C435" s="221"/>
      <c r="D435" s="222"/>
      <c r="E435" s="223"/>
      <c r="F435" s="209"/>
      <c r="G435" s="223"/>
      <c r="H435" s="223"/>
      <c r="I435" s="224"/>
      <c r="J435" s="21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</row>
    <row r="436" spans="1:29" ht="13.2" x14ac:dyDescent="0.25">
      <c r="A436" s="199"/>
      <c r="B436" s="220"/>
      <c r="C436" s="221"/>
      <c r="D436" s="222"/>
      <c r="E436" s="223"/>
      <c r="F436" s="209"/>
      <c r="G436" s="223"/>
      <c r="H436" s="223"/>
      <c r="I436" s="224"/>
      <c r="J436" s="21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</row>
    <row r="437" spans="1:29" ht="13.2" x14ac:dyDescent="0.25">
      <c r="A437" s="199"/>
      <c r="B437" s="220"/>
      <c r="C437" s="221"/>
      <c r="D437" s="222"/>
      <c r="E437" s="223"/>
      <c r="F437" s="209"/>
      <c r="G437" s="223"/>
      <c r="H437" s="223"/>
      <c r="I437" s="224"/>
      <c r="J437" s="21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</row>
    <row r="438" spans="1:29" ht="13.2" x14ac:dyDescent="0.25">
      <c r="A438" s="199"/>
      <c r="B438" s="220"/>
      <c r="C438" s="221"/>
      <c r="D438" s="222"/>
      <c r="E438" s="223"/>
      <c r="F438" s="209"/>
      <c r="G438" s="223"/>
      <c r="H438" s="223"/>
      <c r="I438" s="224"/>
      <c r="J438" s="21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</row>
    <row r="439" spans="1:29" ht="13.2" x14ac:dyDescent="0.25">
      <c r="A439" s="199"/>
      <c r="B439" s="220"/>
      <c r="C439" s="221"/>
      <c r="D439" s="222"/>
      <c r="E439" s="223"/>
      <c r="F439" s="209"/>
      <c r="G439" s="223"/>
      <c r="H439" s="223"/>
      <c r="I439" s="224"/>
      <c r="J439" s="21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</row>
    <row r="440" spans="1:29" ht="13.2" x14ac:dyDescent="0.25">
      <c r="A440" s="199"/>
      <c r="B440" s="220"/>
      <c r="C440" s="221"/>
      <c r="D440" s="222"/>
      <c r="E440" s="223"/>
      <c r="F440" s="209"/>
      <c r="G440" s="223"/>
      <c r="H440" s="223"/>
      <c r="I440" s="224"/>
      <c r="J440" s="21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</row>
    <row r="441" spans="1:29" ht="13.2" x14ac:dyDescent="0.25">
      <c r="A441" s="199"/>
      <c r="B441" s="220"/>
      <c r="C441" s="221"/>
      <c r="D441" s="222"/>
      <c r="E441" s="223"/>
      <c r="F441" s="209"/>
      <c r="G441" s="223"/>
      <c r="H441" s="223"/>
      <c r="I441" s="224"/>
      <c r="J441" s="21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</row>
    <row r="442" spans="1:29" ht="13.2" x14ac:dyDescent="0.25">
      <c r="A442" s="199"/>
      <c r="B442" s="220"/>
      <c r="C442" s="221"/>
      <c r="D442" s="222"/>
      <c r="E442" s="223"/>
      <c r="F442" s="209"/>
      <c r="G442" s="223"/>
      <c r="H442" s="223"/>
      <c r="I442" s="224"/>
      <c r="J442" s="21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</row>
    <row r="443" spans="1:29" ht="13.2" x14ac:dyDescent="0.25">
      <c r="A443" s="199"/>
      <c r="B443" s="220"/>
      <c r="C443" s="221"/>
      <c r="D443" s="222"/>
      <c r="E443" s="223"/>
      <c r="F443" s="209"/>
      <c r="G443" s="223"/>
      <c r="H443" s="223"/>
      <c r="I443" s="224"/>
      <c r="J443" s="21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</row>
    <row r="444" spans="1:29" ht="13.2" x14ac:dyDescent="0.25">
      <c r="A444" s="199"/>
      <c r="B444" s="220"/>
      <c r="C444" s="221"/>
      <c r="D444" s="222"/>
      <c r="E444" s="223"/>
      <c r="F444" s="209"/>
      <c r="G444" s="223"/>
      <c r="H444" s="223"/>
      <c r="I444" s="224"/>
      <c r="J444" s="21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</row>
    <row r="445" spans="1:29" ht="13.2" x14ac:dyDescent="0.25">
      <c r="A445" s="199"/>
      <c r="B445" s="220"/>
      <c r="C445" s="221"/>
      <c r="D445" s="222"/>
      <c r="E445" s="223"/>
      <c r="F445" s="209"/>
      <c r="G445" s="223"/>
      <c r="H445" s="223"/>
      <c r="I445" s="224"/>
      <c r="J445" s="21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</row>
    <row r="446" spans="1:29" ht="13.2" x14ac:dyDescent="0.25">
      <c r="A446" s="199"/>
      <c r="B446" s="220"/>
      <c r="C446" s="221"/>
      <c r="D446" s="222"/>
      <c r="E446" s="223"/>
      <c r="F446" s="209"/>
      <c r="G446" s="223"/>
      <c r="H446" s="223"/>
      <c r="I446" s="224"/>
      <c r="J446" s="21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</row>
    <row r="447" spans="1:29" ht="13.2" x14ac:dyDescent="0.25">
      <c r="A447" s="199"/>
      <c r="B447" s="220"/>
      <c r="C447" s="221"/>
      <c r="D447" s="222"/>
      <c r="E447" s="223"/>
      <c r="F447" s="209"/>
      <c r="G447" s="223"/>
      <c r="H447" s="223"/>
      <c r="I447" s="224"/>
      <c r="J447" s="21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</row>
    <row r="448" spans="1:29" ht="13.2" x14ac:dyDescent="0.25">
      <c r="A448" s="199"/>
      <c r="B448" s="220"/>
      <c r="C448" s="221"/>
      <c r="D448" s="222"/>
      <c r="E448" s="223"/>
      <c r="F448" s="209"/>
      <c r="G448" s="223"/>
      <c r="H448" s="223"/>
      <c r="I448" s="224"/>
      <c r="J448" s="21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</row>
    <row r="449" spans="1:29" ht="13.2" x14ac:dyDescent="0.25">
      <c r="A449" s="199"/>
      <c r="B449" s="220"/>
      <c r="C449" s="221"/>
      <c r="D449" s="222"/>
      <c r="E449" s="223"/>
      <c r="F449" s="209"/>
      <c r="G449" s="223"/>
      <c r="H449" s="223"/>
      <c r="I449" s="224"/>
      <c r="J449" s="21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</row>
    <row r="450" spans="1:29" ht="13.2" x14ac:dyDescent="0.25">
      <c r="A450" s="199"/>
      <c r="B450" s="220"/>
      <c r="C450" s="221"/>
      <c r="D450" s="222"/>
      <c r="E450" s="223"/>
      <c r="F450" s="209"/>
      <c r="G450" s="223"/>
      <c r="H450" s="223"/>
      <c r="I450" s="224"/>
      <c r="J450" s="21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</row>
    <row r="451" spans="1:29" ht="13.2" x14ac:dyDescent="0.25">
      <c r="A451" s="199"/>
      <c r="B451" s="220"/>
      <c r="C451" s="221"/>
      <c r="D451" s="222"/>
      <c r="E451" s="223"/>
      <c r="F451" s="209"/>
      <c r="G451" s="223"/>
      <c r="H451" s="223"/>
      <c r="I451" s="224"/>
      <c r="J451" s="21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</row>
    <row r="452" spans="1:29" ht="13.2" x14ac:dyDescent="0.25">
      <c r="A452" s="199"/>
      <c r="B452" s="220"/>
      <c r="C452" s="221"/>
      <c r="D452" s="222"/>
      <c r="E452" s="223"/>
      <c r="F452" s="209"/>
      <c r="G452" s="223"/>
      <c r="H452" s="223"/>
      <c r="I452" s="224"/>
      <c r="J452" s="21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</row>
    <row r="453" spans="1:29" ht="13.2" x14ac:dyDescent="0.25">
      <c r="A453" s="199"/>
      <c r="B453" s="220"/>
      <c r="C453" s="221"/>
      <c r="D453" s="222"/>
      <c r="E453" s="223"/>
      <c r="F453" s="209"/>
      <c r="G453" s="223"/>
      <c r="H453" s="223"/>
      <c r="I453" s="224"/>
      <c r="J453" s="21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</row>
    <row r="454" spans="1:29" ht="13.2" x14ac:dyDescent="0.25">
      <c r="A454" s="199"/>
      <c r="B454" s="220"/>
      <c r="C454" s="221"/>
      <c r="D454" s="222"/>
      <c r="E454" s="223"/>
      <c r="F454" s="209"/>
      <c r="G454" s="223"/>
      <c r="H454" s="223"/>
      <c r="I454" s="224"/>
      <c r="J454" s="21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</row>
    <row r="455" spans="1:29" ht="13.2" x14ac:dyDescent="0.25">
      <c r="A455" s="199"/>
      <c r="B455" s="220"/>
      <c r="C455" s="221"/>
      <c r="D455" s="222"/>
      <c r="E455" s="223"/>
      <c r="F455" s="209"/>
      <c r="G455" s="223"/>
      <c r="H455" s="223"/>
      <c r="I455" s="224"/>
      <c r="J455" s="21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</row>
    <row r="456" spans="1:29" ht="13.2" x14ac:dyDescent="0.25">
      <c r="A456" s="199"/>
      <c r="B456" s="220"/>
      <c r="C456" s="221"/>
      <c r="D456" s="222"/>
      <c r="E456" s="223"/>
      <c r="F456" s="209"/>
      <c r="G456" s="223"/>
      <c r="H456" s="223"/>
      <c r="I456" s="224"/>
      <c r="J456" s="21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</row>
    <row r="457" spans="1:29" ht="13.2" x14ac:dyDescent="0.25">
      <c r="A457" s="199"/>
      <c r="B457" s="220"/>
      <c r="C457" s="221"/>
      <c r="D457" s="222"/>
      <c r="E457" s="223"/>
      <c r="F457" s="209"/>
      <c r="G457" s="223"/>
      <c r="H457" s="223"/>
      <c r="I457" s="224"/>
      <c r="J457" s="21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</row>
    <row r="458" spans="1:29" ht="13.2" x14ac:dyDescent="0.25">
      <c r="A458" s="199"/>
      <c r="B458" s="220"/>
      <c r="C458" s="221"/>
      <c r="D458" s="222"/>
      <c r="E458" s="223"/>
      <c r="F458" s="209"/>
      <c r="G458" s="223"/>
      <c r="H458" s="223"/>
      <c r="I458" s="224"/>
      <c r="J458" s="21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</row>
    <row r="459" spans="1:29" ht="13.2" x14ac:dyDescent="0.25">
      <c r="A459" s="199"/>
      <c r="B459" s="220"/>
      <c r="C459" s="221"/>
      <c r="D459" s="222"/>
      <c r="E459" s="223"/>
      <c r="F459" s="209"/>
      <c r="G459" s="223"/>
      <c r="H459" s="223"/>
      <c r="I459" s="224"/>
      <c r="J459" s="21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</row>
    <row r="460" spans="1:29" ht="13.2" x14ac:dyDescent="0.25">
      <c r="A460" s="199"/>
      <c r="B460" s="220"/>
      <c r="C460" s="221"/>
      <c r="D460" s="222"/>
      <c r="E460" s="223"/>
      <c r="F460" s="209"/>
      <c r="G460" s="223"/>
      <c r="H460" s="223"/>
      <c r="I460" s="224"/>
      <c r="J460" s="21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</row>
    <row r="461" spans="1:29" ht="13.2" x14ac:dyDescent="0.25">
      <c r="A461" s="199"/>
      <c r="B461" s="220"/>
      <c r="C461" s="221"/>
      <c r="D461" s="222"/>
      <c r="E461" s="223"/>
      <c r="F461" s="209"/>
      <c r="G461" s="223"/>
      <c r="H461" s="223"/>
      <c r="I461" s="224"/>
      <c r="J461" s="21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</row>
    <row r="462" spans="1:29" ht="13.2" x14ac:dyDescent="0.25">
      <c r="A462" s="199"/>
      <c r="B462" s="220"/>
      <c r="C462" s="221"/>
      <c r="D462" s="222"/>
      <c r="E462" s="223"/>
      <c r="F462" s="209"/>
      <c r="G462" s="223"/>
      <c r="H462" s="223"/>
      <c r="I462" s="224"/>
      <c r="J462" s="21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</row>
    <row r="463" spans="1:29" ht="13.2" x14ac:dyDescent="0.25">
      <c r="A463" s="199"/>
      <c r="B463" s="220"/>
      <c r="C463" s="221"/>
      <c r="D463" s="222"/>
      <c r="E463" s="223"/>
      <c r="F463" s="209"/>
      <c r="G463" s="223"/>
      <c r="H463" s="223"/>
      <c r="I463" s="224"/>
      <c r="J463" s="21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</row>
    <row r="464" spans="1:29" ht="13.2" x14ac:dyDescent="0.25">
      <c r="A464" s="199"/>
      <c r="B464" s="220"/>
      <c r="C464" s="221"/>
      <c r="D464" s="222"/>
      <c r="E464" s="223"/>
      <c r="F464" s="209"/>
      <c r="G464" s="223"/>
      <c r="H464" s="223"/>
      <c r="I464" s="224"/>
      <c r="J464" s="21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</row>
    <row r="465" spans="1:29" ht="13.2" x14ac:dyDescent="0.25">
      <c r="A465" s="199"/>
      <c r="B465" s="220"/>
      <c r="C465" s="221"/>
      <c r="D465" s="222"/>
      <c r="E465" s="223"/>
      <c r="F465" s="209"/>
      <c r="G465" s="223"/>
      <c r="H465" s="223"/>
      <c r="I465" s="224"/>
      <c r="J465" s="21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</row>
    <row r="466" spans="1:29" ht="13.2" x14ac:dyDescent="0.25">
      <c r="A466" s="199"/>
      <c r="B466" s="220"/>
      <c r="C466" s="221"/>
      <c r="D466" s="222"/>
      <c r="E466" s="223"/>
      <c r="F466" s="209"/>
      <c r="G466" s="223"/>
      <c r="H466" s="223"/>
      <c r="I466" s="224"/>
      <c r="J466" s="21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</row>
    <row r="467" spans="1:29" ht="13.2" x14ac:dyDescent="0.25">
      <c r="A467" s="199"/>
      <c r="B467" s="220"/>
      <c r="C467" s="221"/>
      <c r="D467" s="222"/>
      <c r="E467" s="223"/>
      <c r="F467" s="209"/>
      <c r="G467" s="223"/>
      <c r="H467" s="223"/>
      <c r="I467" s="224"/>
      <c r="J467" s="21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</row>
    <row r="468" spans="1:29" ht="13.2" x14ac:dyDescent="0.25">
      <c r="A468" s="199"/>
      <c r="B468" s="220"/>
      <c r="C468" s="221"/>
      <c r="D468" s="222"/>
      <c r="E468" s="223"/>
      <c r="F468" s="209"/>
      <c r="G468" s="223"/>
      <c r="H468" s="223"/>
      <c r="I468" s="224"/>
      <c r="J468" s="21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</row>
    <row r="469" spans="1:29" ht="13.2" x14ac:dyDescent="0.25">
      <c r="A469" s="199"/>
      <c r="B469" s="220"/>
      <c r="C469" s="221"/>
      <c r="D469" s="222"/>
      <c r="E469" s="223"/>
      <c r="F469" s="209"/>
      <c r="G469" s="223"/>
      <c r="H469" s="223"/>
      <c r="I469" s="224"/>
      <c r="J469" s="21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</row>
    <row r="470" spans="1:29" ht="13.2" x14ac:dyDescent="0.25">
      <c r="A470" s="199"/>
      <c r="B470" s="220"/>
      <c r="C470" s="221"/>
      <c r="D470" s="222"/>
      <c r="E470" s="223"/>
      <c r="F470" s="209"/>
      <c r="G470" s="223"/>
      <c r="H470" s="223"/>
      <c r="I470" s="224"/>
      <c r="J470" s="21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</row>
    <row r="471" spans="1:29" ht="13.2" x14ac:dyDescent="0.25">
      <c r="A471" s="199"/>
      <c r="B471" s="220"/>
      <c r="C471" s="221"/>
      <c r="D471" s="222"/>
      <c r="E471" s="223"/>
      <c r="F471" s="209"/>
      <c r="G471" s="223"/>
      <c r="H471" s="223"/>
      <c r="I471" s="224"/>
      <c r="J471" s="21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</row>
    <row r="472" spans="1:29" ht="13.2" x14ac:dyDescent="0.25">
      <c r="A472" s="199"/>
      <c r="B472" s="220"/>
      <c r="C472" s="221"/>
      <c r="D472" s="222"/>
      <c r="E472" s="223"/>
      <c r="F472" s="209"/>
      <c r="G472" s="223"/>
      <c r="H472" s="223"/>
      <c r="I472" s="224"/>
      <c r="J472" s="21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</row>
    <row r="473" spans="1:29" ht="13.2" x14ac:dyDescent="0.25">
      <c r="A473" s="199"/>
      <c r="B473" s="220"/>
      <c r="C473" s="221"/>
      <c r="D473" s="222"/>
      <c r="E473" s="223"/>
      <c r="F473" s="209"/>
      <c r="G473" s="223"/>
      <c r="H473" s="223"/>
      <c r="I473" s="224"/>
      <c r="J473" s="21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</row>
    <row r="474" spans="1:29" ht="13.2" x14ac:dyDescent="0.25">
      <c r="A474" s="199"/>
      <c r="B474" s="220"/>
      <c r="C474" s="221"/>
      <c r="D474" s="222"/>
      <c r="E474" s="223"/>
      <c r="F474" s="209"/>
      <c r="G474" s="223"/>
      <c r="H474" s="223"/>
      <c r="I474" s="224"/>
      <c r="J474" s="21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</row>
    <row r="475" spans="1:29" ht="13.2" x14ac:dyDescent="0.25">
      <c r="A475" s="199"/>
      <c r="B475" s="220"/>
      <c r="C475" s="221"/>
      <c r="D475" s="222"/>
      <c r="E475" s="223"/>
      <c r="F475" s="209"/>
      <c r="G475" s="223"/>
      <c r="H475" s="223"/>
      <c r="I475" s="224"/>
      <c r="J475" s="21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</row>
    <row r="476" spans="1:29" ht="13.2" x14ac:dyDescent="0.25">
      <c r="A476" s="199"/>
      <c r="B476" s="220"/>
      <c r="C476" s="221"/>
      <c r="D476" s="222"/>
      <c r="E476" s="223"/>
      <c r="F476" s="209"/>
      <c r="G476" s="223"/>
      <c r="H476" s="223"/>
      <c r="I476" s="224"/>
      <c r="J476" s="21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</row>
    <row r="477" spans="1:29" ht="13.2" x14ac:dyDescent="0.25">
      <c r="A477" s="199"/>
      <c r="B477" s="220"/>
      <c r="C477" s="221"/>
      <c r="D477" s="222"/>
      <c r="E477" s="223"/>
      <c r="F477" s="209"/>
      <c r="G477" s="223"/>
      <c r="H477" s="223"/>
      <c r="I477" s="224"/>
      <c r="J477" s="21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</row>
    <row r="478" spans="1:29" ht="13.2" x14ac:dyDescent="0.25">
      <c r="A478" s="199"/>
      <c r="B478" s="220"/>
      <c r="C478" s="221"/>
      <c r="D478" s="222"/>
      <c r="E478" s="223"/>
      <c r="F478" s="209"/>
      <c r="G478" s="223"/>
      <c r="H478" s="223"/>
      <c r="I478" s="224"/>
      <c r="J478" s="21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</row>
    <row r="479" spans="1:29" ht="13.2" x14ac:dyDescent="0.25">
      <c r="A479" s="199"/>
      <c r="B479" s="220"/>
      <c r="C479" s="221"/>
      <c r="D479" s="222"/>
      <c r="E479" s="223"/>
      <c r="F479" s="209"/>
      <c r="G479" s="223"/>
      <c r="H479" s="223"/>
      <c r="I479" s="224"/>
      <c r="J479" s="21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</row>
    <row r="480" spans="1:29" ht="13.2" x14ac:dyDescent="0.25">
      <c r="A480" s="199"/>
      <c r="B480" s="220"/>
      <c r="C480" s="221"/>
      <c r="D480" s="222"/>
      <c r="E480" s="223"/>
      <c r="F480" s="209"/>
      <c r="G480" s="223"/>
      <c r="H480" s="223"/>
      <c r="I480" s="224"/>
      <c r="J480" s="21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</row>
    <row r="481" spans="1:29" ht="13.2" x14ac:dyDescent="0.25">
      <c r="A481" s="199"/>
      <c r="B481" s="220"/>
      <c r="C481" s="221"/>
      <c r="D481" s="222"/>
      <c r="E481" s="223"/>
      <c r="F481" s="209"/>
      <c r="G481" s="223"/>
      <c r="H481" s="223"/>
      <c r="I481" s="224"/>
      <c r="J481" s="21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</row>
    <row r="482" spans="1:29" ht="13.2" x14ac:dyDescent="0.25">
      <c r="A482" s="199"/>
      <c r="B482" s="220"/>
      <c r="C482" s="221"/>
      <c r="D482" s="222"/>
      <c r="E482" s="223"/>
      <c r="F482" s="209"/>
      <c r="G482" s="223"/>
      <c r="H482" s="223"/>
      <c r="I482" s="224"/>
      <c r="J482" s="21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</row>
    <row r="483" spans="1:29" ht="13.2" x14ac:dyDescent="0.25">
      <c r="A483" s="199"/>
      <c r="B483" s="220"/>
      <c r="C483" s="221"/>
      <c r="D483" s="222"/>
      <c r="E483" s="223"/>
      <c r="F483" s="209"/>
      <c r="G483" s="223"/>
      <c r="H483" s="223"/>
      <c r="I483" s="224"/>
      <c r="J483" s="21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</row>
    <row r="484" spans="1:29" ht="13.2" x14ac:dyDescent="0.25">
      <c r="A484" s="199"/>
      <c r="B484" s="220"/>
      <c r="C484" s="221"/>
      <c r="D484" s="222"/>
      <c r="E484" s="223"/>
      <c r="F484" s="209"/>
      <c r="G484" s="223"/>
      <c r="H484" s="223"/>
      <c r="I484" s="224"/>
      <c r="J484" s="21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</row>
    <row r="485" spans="1:29" ht="13.2" x14ac:dyDescent="0.25">
      <c r="A485" s="199"/>
      <c r="B485" s="220"/>
      <c r="C485" s="221"/>
      <c r="D485" s="222"/>
      <c r="E485" s="223"/>
      <c r="F485" s="209"/>
      <c r="G485" s="223"/>
      <c r="H485" s="223"/>
      <c r="I485" s="224"/>
      <c r="J485" s="21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</row>
    <row r="486" spans="1:29" ht="13.2" x14ac:dyDescent="0.25">
      <c r="A486" s="199"/>
      <c r="B486" s="220"/>
      <c r="C486" s="221"/>
      <c r="D486" s="222"/>
      <c r="E486" s="223"/>
      <c r="F486" s="209"/>
      <c r="G486" s="223"/>
      <c r="H486" s="223"/>
      <c r="I486" s="224"/>
      <c r="J486" s="21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</row>
    <row r="487" spans="1:29" ht="13.2" x14ac:dyDescent="0.25">
      <c r="A487" s="199"/>
      <c r="B487" s="220"/>
      <c r="C487" s="221"/>
      <c r="D487" s="222"/>
      <c r="E487" s="223"/>
      <c r="F487" s="209"/>
      <c r="G487" s="223"/>
      <c r="H487" s="223"/>
      <c r="I487" s="224"/>
      <c r="J487" s="21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</row>
    <row r="488" spans="1:29" ht="13.2" x14ac:dyDescent="0.25">
      <c r="A488" s="199"/>
      <c r="B488" s="220"/>
      <c r="C488" s="221"/>
      <c r="D488" s="222"/>
      <c r="E488" s="223"/>
      <c r="F488" s="209"/>
      <c r="G488" s="223"/>
      <c r="H488" s="223"/>
      <c r="I488" s="224"/>
      <c r="J488" s="21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</row>
    <row r="489" spans="1:29" ht="13.2" x14ac:dyDescent="0.25">
      <c r="A489" s="199"/>
      <c r="B489" s="220"/>
      <c r="C489" s="221"/>
      <c r="D489" s="222"/>
      <c r="E489" s="223"/>
      <c r="F489" s="209"/>
      <c r="G489" s="223"/>
      <c r="H489" s="223"/>
      <c r="I489" s="224"/>
      <c r="J489" s="21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</row>
    <row r="490" spans="1:29" ht="13.2" x14ac:dyDescent="0.25">
      <c r="A490" s="199"/>
      <c r="B490" s="220"/>
      <c r="C490" s="221"/>
      <c r="D490" s="222"/>
      <c r="E490" s="223"/>
      <c r="F490" s="209"/>
      <c r="G490" s="223"/>
      <c r="H490" s="223"/>
      <c r="I490" s="224"/>
      <c r="J490" s="21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</row>
    <row r="491" spans="1:29" ht="13.2" x14ac:dyDescent="0.25">
      <c r="A491" s="199"/>
      <c r="B491" s="220"/>
      <c r="C491" s="221"/>
      <c r="D491" s="222"/>
      <c r="E491" s="223"/>
      <c r="F491" s="209"/>
      <c r="G491" s="223"/>
      <c r="H491" s="223"/>
      <c r="I491" s="224"/>
      <c r="J491" s="21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</row>
    <row r="492" spans="1:29" ht="13.2" x14ac:dyDescent="0.25">
      <c r="A492" s="199"/>
      <c r="B492" s="220"/>
      <c r="C492" s="221"/>
      <c r="D492" s="222"/>
      <c r="E492" s="223"/>
      <c r="F492" s="209"/>
      <c r="G492" s="223"/>
      <c r="H492" s="223"/>
      <c r="I492" s="224"/>
      <c r="J492" s="21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</row>
    <row r="493" spans="1:29" ht="13.2" x14ac:dyDescent="0.25">
      <c r="A493" s="199"/>
      <c r="B493" s="220"/>
      <c r="C493" s="221"/>
      <c r="D493" s="222"/>
      <c r="E493" s="223"/>
      <c r="F493" s="209"/>
      <c r="G493" s="223"/>
      <c r="H493" s="223"/>
      <c r="I493" s="224"/>
      <c r="J493" s="21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</row>
    <row r="494" spans="1:29" ht="13.2" x14ac:dyDescent="0.25">
      <c r="A494" s="199"/>
      <c r="B494" s="220"/>
      <c r="C494" s="221"/>
      <c r="D494" s="222"/>
      <c r="E494" s="223"/>
      <c r="F494" s="209"/>
      <c r="G494" s="223"/>
      <c r="H494" s="223"/>
      <c r="I494" s="224"/>
      <c r="J494" s="21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</row>
    <row r="495" spans="1:29" ht="13.2" x14ac:dyDescent="0.25">
      <c r="A495" s="199"/>
      <c r="B495" s="220"/>
      <c r="C495" s="221"/>
      <c r="D495" s="222"/>
      <c r="E495" s="223"/>
      <c r="F495" s="209"/>
      <c r="G495" s="223"/>
      <c r="H495" s="223"/>
      <c r="I495" s="224"/>
      <c r="J495" s="21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</row>
    <row r="496" spans="1:29" ht="13.2" x14ac:dyDescent="0.25">
      <c r="A496" s="199"/>
      <c r="B496" s="220"/>
      <c r="C496" s="221"/>
      <c r="D496" s="222"/>
      <c r="E496" s="223"/>
      <c r="F496" s="209"/>
      <c r="G496" s="223"/>
      <c r="H496" s="223"/>
      <c r="I496" s="224"/>
      <c r="J496" s="21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</row>
    <row r="497" spans="1:29" ht="13.2" x14ac:dyDescent="0.25">
      <c r="A497" s="199"/>
      <c r="B497" s="220"/>
      <c r="C497" s="221"/>
      <c r="D497" s="222"/>
      <c r="E497" s="223"/>
      <c r="F497" s="209"/>
      <c r="G497" s="223"/>
      <c r="H497" s="223"/>
      <c r="I497" s="224"/>
      <c r="J497" s="21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</row>
    <row r="498" spans="1:29" ht="13.2" x14ac:dyDescent="0.25">
      <c r="A498" s="199"/>
      <c r="B498" s="220"/>
      <c r="C498" s="221"/>
      <c r="D498" s="222"/>
      <c r="E498" s="223"/>
      <c r="F498" s="209"/>
      <c r="G498" s="223"/>
      <c r="H498" s="223"/>
      <c r="I498" s="224"/>
      <c r="J498" s="21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</row>
    <row r="499" spans="1:29" ht="13.2" x14ac:dyDescent="0.25">
      <c r="A499" s="199"/>
      <c r="B499" s="220"/>
      <c r="C499" s="221"/>
      <c r="D499" s="222"/>
      <c r="E499" s="223"/>
      <c r="F499" s="209"/>
      <c r="G499" s="223"/>
      <c r="H499" s="223"/>
      <c r="I499" s="224"/>
      <c r="J499" s="21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</row>
    <row r="500" spans="1:29" ht="13.2" x14ac:dyDescent="0.25">
      <c r="A500" s="199"/>
      <c r="B500" s="220"/>
      <c r="C500" s="221"/>
      <c r="D500" s="222"/>
      <c r="E500" s="223"/>
      <c r="F500" s="209"/>
      <c r="G500" s="223"/>
      <c r="H500" s="223"/>
      <c r="I500" s="224"/>
      <c r="J500" s="21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</row>
    <row r="501" spans="1:29" ht="13.2" x14ac:dyDescent="0.25">
      <c r="A501" s="199"/>
      <c r="B501" s="220"/>
      <c r="C501" s="221"/>
      <c r="D501" s="222"/>
      <c r="E501" s="223"/>
      <c r="F501" s="209"/>
      <c r="G501" s="223"/>
      <c r="H501" s="223"/>
      <c r="I501" s="224"/>
      <c r="J501" s="21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</row>
    <row r="502" spans="1:29" ht="13.2" x14ac:dyDescent="0.25">
      <c r="A502" s="199"/>
      <c r="B502" s="220"/>
      <c r="C502" s="221"/>
      <c r="D502" s="222"/>
      <c r="E502" s="223"/>
      <c r="F502" s="209"/>
      <c r="G502" s="223"/>
      <c r="H502" s="223"/>
      <c r="I502" s="224"/>
      <c r="J502" s="21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</row>
    <row r="503" spans="1:29" ht="13.2" x14ac:dyDescent="0.25">
      <c r="A503" s="199"/>
      <c r="B503" s="220"/>
      <c r="C503" s="221"/>
      <c r="D503" s="222"/>
      <c r="E503" s="223"/>
      <c r="F503" s="209"/>
      <c r="G503" s="223"/>
      <c r="H503" s="223"/>
      <c r="I503" s="224"/>
      <c r="J503" s="21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</row>
    <row r="504" spans="1:29" ht="13.2" x14ac:dyDescent="0.25">
      <c r="A504" s="199"/>
      <c r="B504" s="220"/>
      <c r="C504" s="221"/>
      <c r="D504" s="222"/>
      <c r="E504" s="223"/>
      <c r="F504" s="209"/>
      <c r="G504" s="223"/>
      <c r="H504" s="223"/>
      <c r="I504" s="224"/>
      <c r="J504" s="21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</row>
    <row r="505" spans="1:29" ht="13.2" x14ac:dyDescent="0.25">
      <c r="A505" s="199"/>
      <c r="B505" s="220"/>
      <c r="C505" s="221"/>
      <c r="D505" s="222"/>
      <c r="E505" s="223"/>
      <c r="F505" s="209"/>
      <c r="G505" s="223"/>
      <c r="H505" s="223"/>
      <c r="I505" s="224"/>
      <c r="J505" s="21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</row>
    <row r="506" spans="1:29" ht="13.2" x14ac:dyDescent="0.25">
      <c r="A506" s="199"/>
      <c r="B506" s="220"/>
      <c r="C506" s="221"/>
      <c r="D506" s="222"/>
      <c r="E506" s="223"/>
      <c r="F506" s="209"/>
      <c r="G506" s="223"/>
      <c r="H506" s="223"/>
      <c r="I506" s="224"/>
      <c r="J506" s="21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</row>
    <row r="507" spans="1:29" ht="13.2" x14ac:dyDescent="0.25">
      <c r="A507" s="199"/>
      <c r="B507" s="220"/>
      <c r="C507" s="221"/>
      <c r="D507" s="222"/>
      <c r="E507" s="223"/>
      <c r="F507" s="209"/>
      <c r="G507" s="223"/>
      <c r="H507" s="223"/>
      <c r="I507" s="224"/>
      <c r="J507" s="21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</row>
    <row r="508" spans="1:29" ht="13.2" x14ac:dyDescent="0.25">
      <c r="A508" s="199"/>
      <c r="B508" s="220"/>
      <c r="C508" s="221"/>
      <c r="D508" s="222"/>
      <c r="E508" s="223"/>
      <c r="F508" s="209"/>
      <c r="G508" s="223"/>
      <c r="H508" s="223"/>
      <c r="I508" s="224"/>
      <c r="J508" s="21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</row>
    <row r="509" spans="1:29" ht="13.2" x14ac:dyDescent="0.25">
      <c r="A509" s="199"/>
      <c r="B509" s="220"/>
      <c r="C509" s="221"/>
      <c r="D509" s="222"/>
      <c r="E509" s="223"/>
      <c r="F509" s="209"/>
      <c r="G509" s="223"/>
      <c r="H509" s="223"/>
      <c r="I509" s="224"/>
      <c r="J509" s="21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</row>
    <row r="510" spans="1:29" ht="13.2" x14ac:dyDescent="0.25">
      <c r="A510" s="199"/>
      <c r="B510" s="220"/>
      <c r="C510" s="221"/>
      <c r="D510" s="222"/>
      <c r="E510" s="223"/>
      <c r="F510" s="209"/>
      <c r="G510" s="223"/>
      <c r="H510" s="223"/>
      <c r="I510" s="224"/>
      <c r="J510" s="21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</row>
    <row r="511" spans="1:29" ht="13.2" x14ac:dyDescent="0.25">
      <c r="A511" s="199"/>
      <c r="B511" s="220"/>
      <c r="C511" s="221"/>
      <c r="D511" s="222"/>
      <c r="E511" s="223"/>
      <c r="F511" s="209"/>
      <c r="G511" s="223"/>
      <c r="H511" s="223"/>
      <c r="I511" s="224"/>
      <c r="J511" s="21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</row>
    <row r="512" spans="1:29" ht="13.2" x14ac:dyDescent="0.25">
      <c r="A512" s="199"/>
      <c r="B512" s="220"/>
      <c r="C512" s="221"/>
      <c r="D512" s="222"/>
      <c r="E512" s="223"/>
      <c r="F512" s="209"/>
      <c r="G512" s="223"/>
      <c r="H512" s="223"/>
      <c r="I512" s="224"/>
      <c r="J512" s="21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</row>
    <row r="513" spans="1:29" ht="13.2" x14ac:dyDescent="0.25">
      <c r="A513" s="199"/>
      <c r="B513" s="220"/>
      <c r="C513" s="221"/>
      <c r="D513" s="222"/>
      <c r="E513" s="223"/>
      <c r="F513" s="209"/>
      <c r="G513" s="223"/>
      <c r="H513" s="223"/>
      <c r="I513" s="224"/>
      <c r="J513" s="21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</row>
    <row r="514" spans="1:29" ht="13.2" x14ac:dyDescent="0.25">
      <c r="A514" s="199"/>
      <c r="B514" s="220"/>
      <c r="C514" s="221"/>
      <c r="D514" s="222"/>
      <c r="E514" s="223"/>
      <c r="F514" s="209"/>
      <c r="G514" s="223"/>
      <c r="H514" s="223"/>
      <c r="I514" s="224"/>
      <c r="J514" s="21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</row>
    <row r="515" spans="1:29" ht="13.2" x14ac:dyDescent="0.25">
      <c r="A515" s="199"/>
      <c r="B515" s="220"/>
      <c r="C515" s="221"/>
      <c r="D515" s="222"/>
      <c r="E515" s="223"/>
      <c r="F515" s="209"/>
      <c r="G515" s="223"/>
      <c r="H515" s="223"/>
      <c r="I515" s="224"/>
      <c r="J515" s="21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</row>
    <row r="516" spans="1:29" ht="13.2" x14ac:dyDescent="0.25">
      <c r="A516" s="199"/>
      <c r="B516" s="220"/>
      <c r="C516" s="221"/>
      <c r="D516" s="222"/>
      <c r="E516" s="223"/>
      <c r="F516" s="209"/>
      <c r="G516" s="223"/>
      <c r="H516" s="223"/>
      <c r="I516" s="224"/>
      <c r="J516" s="21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</row>
    <row r="517" spans="1:29" ht="13.2" x14ac:dyDescent="0.25">
      <c r="A517" s="199"/>
      <c r="B517" s="220"/>
      <c r="C517" s="221"/>
      <c r="D517" s="222"/>
      <c r="E517" s="223"/>
      <c r="F517" s="209"/>
      <c r="G517" s="223"/>
      <c r="H517" s="223"/>
      <c r="I517" s="224"/>
      <c r="J517" s="21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</row>
    <row r="518" spans="1:29" ht="13.2" x14ac:dyDescent="0.25">
      <c r="A518" s="199"/>
      <c r="B518" s="220"/>
      <c r="C518" s="221"/>
      <c r="D518" s="222"/>
      <c r="E518" s="223"/>
      <c r="F518" s="209"/>
      <c r="G518" s="223"/>
      <c r="H518" s="223"/>
      <c r="I518" s="224"/>
      <c r="J518" s="21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</row>
    <row r="519" spans="1:29" ht="13.2" x14ac:dyDescent="0.25">
      <c r="A519" s="199"/>
      <c r="B519" s="220"/>
      <c r="C519" s="221"/>
      <c r="D519" s="222"/>
      <c r="E519" s="223"/>
      <c r="F519" s="209"/>
      <c r="G519" s="223"/>
      <c r="H519" s="223"/>
      <c r="I519" s="224"/>
      <c r="J519" s="21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</row>
    <row r="520" spans="1:29" ht="13.2" x14ac:dyDescent="0.25">
      <c r="A520" s="199"/>
      <c r="B520" s="220"/>
      <c r="C520" s="221"/>
      <c r="D520" s="222"/>
      <c r="E520" s="223"/>
      <c r="F520" s="209"/>
      <c r="G520" s="223"/>
      <c r="H520" s="223"/>
      <c r="I520" s="224"/>
      <c r="J520" s="21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</row>
    <row r="521" spans="1:29" ht="13.2" x14ac:dyDescent="0.25">
      <c r="A521" s="199"/>
      <c r="B521" s="220"/>
      <c r="C521" s="221"/>
      <c r="D521" s="222"/>
      <c r="E521" s="223"/>
      <c r="F521" s="209"/>
      <c r="G521" s="223"/>
      <c r="H521" s="223"/>
      <c r="I521" s="224"/>
      <c r="J521" s="21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</row>
    <row r="522" spans="1:29" ht="13.2" x14ac:dyDescent="0.25">
      <c r="A522" s="199"/>
      <c r="B522" s="220"/>
      <c r="C522" s="221"/>
      <c r="D522" s="222"/>
      <c r="E522" s="223"/>
      <c r="F522" s="209"/>
      <c r="G522" s="223"/>
      <c r="H522" s="223"/>
      <c r="I522" s="224"/>
      <c r="J522" s="21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</row>
    <row r="523" spans="1:29" ht="13.2" x14ac:dyDescent="0.25">
      <c r="A523" s="199"/>
      <c r="B523" s="220"/>
      <c r="C523" s="221"/>
      <c r="D523" s="222"/>
      <c r="E523" s="223"/>
      <c r="F523" s="209"/>
      <c r="G523" s="223"/>
      <c r="H523" s="223"/>
      <c r="I523" s="224"/>
      <c r="J523" s="21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</row>
    <row r="524" spans="1:29" ht="13.2" x14ac:dyDescent="0.25">
      <c r="A524" s="199"/>
      <c r="B524" s="220"/>
      <c r="C524" s="221"/>
      <c r="D524" s="222"/>
      <c r="E524" s="223"/>
      <c r="F524" s="209"/>
      <c r="G524" s="223"/>
      <c r="H524" s="223"/>
      <c r="I524" s="224"/>
      <c r="J524" s="21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</row>
    <row r="525" spans="1:29" ht="13.2" x14ac:dyDescent="0.25">
      <c r="A525" s="199"/>
      <c r="B525" s="220"/>
      <c r="C525" s="221"/>
      <c r="D525" s="222"/>
      <c r="E525" s="223"/>
      <c r="F525" s="209"/>
      <c r="G525" s="223"/>
      <c r="H525" s="223"/>
      <c r="I525" s="224"/>
      <c r="J525" s="21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</row>
    <row r="526" spans="1:29" ht="13.2" x14ac:dyDescent="0.25">
      <c r="A526" s="199"/>
      <c r="B526" s="220"/>
      <c r="C526" s="221"/>
      <c r="D526" s="222"/>
      <c r="E526" s="223"/>
      <c r="F526" s="209"/>
      <c r="G526" s="223"/>
      <c r="H526" s="223"/>
      <c r="I526" s="224"/>
      <c r="J526" s="21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</row>
    <row r="527" spans="1:29" ht="13.2" x14ac:dyDescent="0.25">
      <c r="A527" s="199"/>
      <c r="B527" s="220"/>
      <c r="C527" s="221"/>
      <c r="D527" s="222"/>
      <c r="E527" s="223"/>
      <c r="F527" s="209"/>
      <c r="G527" s="223"/>
      <c r="H527" s="223"/>
      <c r="I527" s="224"/>
      <c r="J527" s="21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</row>
    <row r="528" spans="1:29" ht="13.2" x14ac:dyDescent="0.25">
      <c r="A528" s="199"/>
      <c r="B528" s="220"/>
      <c r="C528" s="221"/>
      <c r="D528" s="222"/>
      <c r="E528" s="223"/>
      <c r="F528" s="209"/>
      <c r="G528" s="223"/>
      <c r="H528" s="223"/>
      <c r="I528" s="224"/>
      <c r="J528" s="21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</row>
    <row r="529" spans="1:29" ht="13.2" x14ac:dyDescent="0.25">
      <c r="A529" s="199"/>
      <c r="B529" s="220"/>
      <c r="C529" s="221"/>
      <c r="D529" s="222"/>
      <c r="E529" s="223"/>
      <c r="F529" s="209"/>
      <c r="G529" s="223"/>
      <c r="H529" s="223"/>
      <c r="I529" s="224"/>
      <c r="J529" s="21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</row>
    <row r="530" spans="1:29" ht="13.2" x14ac:dyDescent="0.25">
      <c r="A530" s="199"/>
      <c r="B530" s="220"/>
      <c r="C530" s="221"/>
      <c r="D530" s="222"/>
      <c r="E530" s="223"/>
      <c r="F530" s="209"/>
      <c r="G530" s="223"/>
      <c r="H530" s="223"/>
      <c r="I530" s="224"/>
      <c r="J530" s="21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</row>
    <row r="531" spans="1:29" ht="13.2" x14ac:dyDescent="0.25">
      <c r="A531" s="199"/>
      <c r="B531" s="220"/>
      <c r="C531" s="221"/>
      <c r="D531" s="222"/>
      <c r="E531" s="223"/>
      <c r="F531" s="209"/>
      <c r="G531" s="223"/>
      <c r="H531" s="223"/>
      <c r="I531" s="224"/>
      <c r="J531" s="21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</row>
    <row r="532" spans="1:29" ht="13.2" x14ac:dyDescent="0.25">
      <c r="A532" s="199"/>
      <c r="B532" s="220"/>
      <c r="C532" s="221"/>
      <c r="D532" s="222"/>
      <c r="E532" s="223"/>
      <c r="F532" s="209"/>
      <c r="G532" s="223"/>
      <c r="H532" s="223"/>
      <c r="I532" s="224"/>
      <c r="J532" s="21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</row>
    <row r="533" spans="1:29" ht="13.2" x14ac:dyDescent="0.25">
      <c r="A533" s="199"/>
      <c r="B533" s="220"/>
      <c r="C533" s="221"/>
      <c r="D533" s="222"/>
      <c r="E533" s="223"/>
      <c r="F533" s="209"/>
      <c r="G533" s="223"/>
      <c r="H533" s="223"/>
      <c r="I533" s="224"/>
      <c r="J533" s="21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</row>
    <row r="534" spans="1:29" ht="13.2" x14ac:dyDescent="0.25">
      <c r="A534" s="199"/>
      <c r="B534" s="220"/>
      <c r="C534" s="221"/>
      <c r="D534" s="222"/>
      <c r="E534" s="223"/>
      <c r="F534" s="209"/>
      <c r="G534" s="223"/>
      <c r="H534" s="223"/>
      <c r="I534" s="224"/>
      <c r="J534" s="21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</row>
    <row r="535" spans="1:29" ht="13.2" x14ac:dyDescent="0.25">
      <c r="A535" s="199"/>
      <c r="B535" s="220"/>
      <c r="C535" s="221"/>
      <c r="D535" s="222"/>
      <c r="E535" s="223"/>
      <c r="F535" s="209"/>
      <c r="G535" s="223"/>
      <c r="H535" s="223"/>
      <c r="I535" s="224"/>
      <c r="J535" s="21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</row>
    <row r="536" spans="1:29" ht="13.2" x14ac:dyDescent="0.25">
      <c r="A536" s="199"/>
      <c r="B536" s="220"/>
      <c r="C536" s="221"/>
      <c r="D536" s="222"/>
      <c r="E536" s="223"/>
      <c r="F536" s="209"/>
      <c r="G536" s="223"/>
      <c r="H536" s="223"/>
      <c r="I536" s="224"/>
      <c r="J536" s="21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</row>
    <row r="537" spans="1:29" ht="13.2" x14ac:dyDescent="0.25">
      <c r="A537" s="199"/>
      <c r="B537" s="220"/>
      <c r="C537" s="221"/>
      <c r="D537" s="222"/>
      <c r="E537" s="223"/>
      <c r="F537" s="209"/>
      <c r="G537" s="223"/>
      <c r="H537" s="223"/>
      <c r="I537" s="224"/>
      <c r="J537" s="21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</row>
    <row r="538" spans="1:29" ht="13.2" x14ac:dyDescent="0.25">
      <c r="A538" s="199"/>
      <c r="B538" s="220"/>
      <c r="C538" s="221"/>
      <c r="D538" s="222"/>
      <c r="E538" s="223"/>
      <c r="F538" s="209"/>
      <c r="G538" s="223"/>
      <c r="H538" s="223"/>
      <c r="I538" s="224"/>
      <c r="J538" s="21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</row>
    <row r="539" spans="1:29" ht="13.2" x14ac:dyDescent="0.25">
      <c r="A539" s="199"/>
      <c r="B539" s="220"/>
      <c r="C539" s="221"/>
      <c r="D539" s="222"/>
      <c r="E539" s="223"/>
      <c r="F539" s="209"/>
      <c r="G539" s="223"/>
      <c r="H539" s="223"/>
      <c r="I539" s="224"/>
      <c r="J539" s="21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</row>
    <row r="540" spans="1:29" ht="13.2" x14ac:dyDescent="0.25">
      <c r="A540" s="199"/>
      <c r="B540" s="220"/>
      <c r="C540" s="221"/>
      <c r="D540" s="222"/>
      <c r="E540" s="223"/>
      <c r="F540" s="209"/>
      <c r="G540" s="223"/>
      <c r="H540" s="223"/>
      <c r="I540" s="224"/>
      <c r="J540" s="21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</row>
    <row r="541" spans="1:29" ht="13.2" x14ac:dyDescent="0.25">
      <c r="A541" s="199"/>
      <c r="B541" s="220"/>
      <c r="C541" s="221"/>
      <c r="D541" s="222"/>
      <c r="E541" s="223"/>
      <c r="F541" s="209"/>
      <c r="G541" s="223"/>
      <c r="H541" s="223"/>
      <c r="I541" s="224"/>
      <c r="J541" s="21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</row>
    <row r="542" spans="1:29" ht="13.2" x14ac:dyDescent="0.25">
      <c r="A542" s="199"/>
      <c r="B542" s="220"/>
      <c r="C542" s="221"/>
      <c r="D542" s="222"/>
      <c r="E542" s="223"/>
      <c r="F542" s="209"/>
      <c r="G542" s="223"/>
      <c r="H542" s="223"/>
      <c r="I542" s="224"/>
      <c r="J542" s="21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</row>
    <row r="543" spans="1:29" ht="13.2" x14ac:dyDescent="0.25">
      <c r="A543" s="199"/>
      <c r="B543" s="220"/>
      <c r="C543" s="221"/>
      <c r="D543" s="222"/>
      <c r="E543" s="223"/>
      <c r="F543" s="209"/>
      <c r="G543" s="223"/>
      <c r="H543" s="223"/>
      <c r="I543" s="224"/>
      <c r="J543" s="21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</row>
    <row r="544" spans="1:29" ht="13.2" x14ac:dyDescent="0.25">
      <c r="A544" s="199"/>
      <c r="B544" s="220"/>
      <c r="C544" s="221"/>
      <c r="D544" s="222"/>
      <c r="E544" s="223"/>
      <c r="F544" s="209"/>
      <c r="G544" s="223"/>
      <c r="H544" s="223"/>
      <c r="I544" s="224"/>
      <c r="J544" s="21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</row>
    <row r="545" spans="1:29" ht="13.2" x14ac:dyDescent="0.25">
      <c r="A545" s="199"/>
      <c r="B545" s="220"/>
      <c r="C545" s="221"/>
      <c r="D545" s="222"/>
      <c r="E545" s="223"/>
      <c r="F545" s="209"/>
      <c r="G545" s="223"/>
      <c r="H545" s="223"/>
      <c r="I545" s="224"/>
      <c r="J545" s="21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</row>
    <row r="546" spans="1:29" ht="13.2" x14ac:dyDescent="0.25">
      <c r="A546" s="199"/>
      <c r="B546" s="220"/>
      <c r="C546" s="221"/>
      <c r="D546" s="222"/>
      <c r="E546" s="223"/>
      <c r="F546" s="209"/>
      <c r="G546" s="223"/>
      <c r="H546" s="223"/>
      <c r="I546" s="224"/>
      <c r="J546" s="21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</row>
    <row r="547" spans="1:29" ht="13.2" x14ac:dyDescent="0.25">
      <c r="A547" s="199"/>
      <c r="B547" s="220"/>
      <c r="C547" s="221"/>
      <c r="D547" s="222"/>
      <c r="E547" s="223"/>
      <c r="F547" s="209"/>
      <c r="G547" s="223"/>
      <c r="H547" s="223"/>
      <c r="I547" s="224"/>
      <c r="J547" s="21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</row>
    <row r="548" spans="1:29" ht="13.2" x14ac:dyDescent="0.25">
      <c r="A548" s="199"/>
      <c r="B548" s="220"/>
      <c r="C548" s="221"/>
      <c r="D548" s="222"/>
      <c r="E548" s="223"/>
      <c r="F548" s="209"/>
      <c r="G548" s="223"/>
      <c r="H548" s="223"/>
      <c r="I548" s="224"/>
      <c r="J548" s="21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</row>
    <row r="549" spans="1:29" ht="13.2" x14ac:dyDescent="0.25">
      <c r="A549" s="199"/>
      <c r="B549" s="220"/>
      <c r="C549" s="221"/>
      <c r="D549" s="222"/>
      <c r="E549" s="223"/>
      <c r="F549" s="209"/>
      <c r="G549" s="223"/>
      <c r="H549" s="223"/>
      <c r="I549" s="224"/>
      <c r="J549" s="21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</row>
    <row r="550" spans="1:29" ht="13.2" x14ac:dyDescent="0.25">
      <c r="A550" s="199"/>
      <c r="B550" s="220"/>
      <c r="C550" s="221"/>
      <c r="D550" s="222"/>
      <c r="E550" s="223"/>
      <c r="F550" s="209"/>
      <c r="G550" s="223"/>
      <c r="H550" s="223"/>
      <c r="I550" s="224"/>
      <c r="J550" s="21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</row>
    <row r="551" spans="1:29" ht="13.2" x14ac:dyDescent="0.25">
      <c r="A551" s="199"/>
      <c r="B551" s="220"/>
      <c r="C551" s="221"/>
      <c r="D551" s="222"/>
      <c r="E551" s="223"/>
      <c r="F551" s="209"/>
      <c r="G551" s="223"/>
      <c r="H551" s="223"/>
      <c r="I551" s="224"/>
      <c r="J551" s="21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</row>
    <row r="552" spans="1:29" ht="13.2" x14ac:dyDescent="0.25">
      <c r="A552" s="199"/>
      <c r="B552" s="220"/>
      <c r="C552" s="221"/>
      <c r="D552" s="222"/>
      <c r="E552" s="223"/>
      <c r="F552" s="209"/>
      <c r="G552" s="223"/>
      <c r="H552" s="223"/>
      <c r="I552" s="224"/>
      <c r="J552" s="21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</row>
    <row r="553" spans="1:29" ht="13.2" x14ac:dyDescent="0.25">
      <c r="A553" s="199"/>
      <c r="B553" s="220"/>
      <c r="C553" s="221"/>
      <c r="D553" s="222"/>
      <c r="E553" s="223"/>
      <c r="F553" s="209"/>
      <c r="G553" s="223"/>
      <c r="H553" s="223"/>
      <c r="I553" s="224"/>
      <c r="J553" s="21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</row>
    <row r="554" spans="1:29" ht="13.2" x14ac:dyDescent="0.25">
      <c r="A554" s="199"/>
      <c r="B554" s="220"/>
      <c r="C554" s="221"/>
      <c r="D554" s="222"/>
      <c r="E554" s="223"/>
      <c r="F554" s="209"/>
      <c r="G554" s="223"/>
      <c r="H554" s="223"/>
      <c r="I554" s="224"/>
      <c r="J554" s="21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</row>
    <row r="555" spans="1:29" ht="13.2" x14ac:dyDescent="0.25">
      <c r="A555" s="199"/>
      <c r="B555" s="220"/>
      <c r="C555" s="221"/>
      <c r="D555" s="222"/>
      <c r="E555" s="223"/>
      <c r="F555" s="209"/>
      <c r="G555" s="223"/>
      <c r="H555" s="223"/>
      <c r="I555" s="224"/>
      <c r="J555" s="21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</row>
    <row r="556" spans="1:29" ht="13.2" x14ac:dyDescent="0.25">
      <c r="A556" s="199"/>
      <c r="B556" s="220"/>
      <c r="C556" s="221"/>
      <c r="D556" s="222"/>
      <c r="E556" s="223"/>
      <c r="F556" s="209"/>
      <c r="G556" s="223"/>
      <c r="H556" s="223"/>
      <c r="I556" s="224"/>
      <c r="J556" s="21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</row>
    <row r="557" spans="1:29" ht="13.2" x14ac:dyDescent="0.25">
      <c r="A557" s="199"/>
      <c r="B557" s="220"/>
      <c r="C557" s="221"/>
      <c r="D557" s="222"/>
      <c r="E557" s="223"/>
      <c r="F557" s="209"/>
      <c r="G557" s="223"/>
      <c r="H557" s="223"/>
      <c r="I557" s="224"/>
      <c r="J557" s="21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</row>
    <row r="558" spans="1:29" ht="13.2" x14ac:dyDescent="0.25">
      <c r="A558" s="199"/>
      <c r="B558" s="220"/>
      <c r="C558" s="221"/>
      <c r="D558" s="222"/>
      <c r="E558" s="223"/>
      <c r="F558" s="209"/>
      <c r="G558" s="223"/>
      <c r="H558" s="223"/>
      <c r="I558" s="224"/>
      <c r="J558" s="21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</row>
    <row r="559" spans="1:29" ht="13.2" x14ac:dyDescent="0.25">
      <c r="A559" s="199"/>
      <c r="B559" s="220"/>
      <c r="C559" s="221"/>
      <c r="D559" s="222"/>
      <c r="E559" s="223"/>
      <c r="F559" s="209"/>
      <c r="G559" s="223"/>
      <c r="H559" s="223"/>
      <c r="I559" s="224"/>
      <c r="J559" s="21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</row>
    <row r="560" spans="1:29" ht="13.2" x14ac:dyDescent="0.25">
      <c r="A560" s="199"/>
      <c r="B560" s="220"/>
      <c r="C560" s="221"/>
      <c r="D560" s="222"/>
      <c r="E560" s="223"/>
      <c r="F560" s="209"/>
      <c r="G560" s="223"/>
      <c r="H560" s="223"/>
      <c r="I560" s="224"/>
      <c r="J560" s="21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</row>
    <row r="561" spans="1:29" ht="13.2" x14ac:dyDescent="0.25">
      <c r="A561" s="199"/>
      <c r="B561" s="220"/>
      <c r="C561" s="221"/>
      <c r="D561" s="222"/>
      <c r="E561" s="223"/>
      <c r="F561" s="209"/>
      <c r="G561" s="223"/>
      <c r="H561" s="223"/>
      <c r="I561" s="224"/>
      <c r="J561" s="21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</row>
    <row r="562" spans="1:29" ht="13.2" x14ac:dyDescent="0.25">
      <c r="A562" s="199"/>
      <c r="B562" s="220"/>
      <c r="C562" s="221"/>
      <c r="D562" s="222"/>
      <c r="E562" s="223"/>
      <c r="F562" s="209"/>
      <c r="G562" s="223"/>
      <c r="H562" s="223"/>
      <c r="I562" s="224"/>
      <c r="J562" s="21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</row>
    <row r="563" spans="1:29" ht="13.2" x14ac:dyDescent="0.25">
      <c r="A563" s="199"/>
      <c r="B563" s="220"/>
      <c r="C563" s="221"/>
      <c r="D563" s="222"/>
      <c r="E563" s="223"/>
      <c r="F563" s="209"/>
      <c r="G563" s="223"/>
      <c r="H563" s="223"/>
      <c r="I563" s="224"/>
      <c r="J563" s="21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</row>
    <row r="564" spans="1:29" ht="13.2" x14ac:dyDescent="0.25">
      <c r="A564" s="199"/>
      <c r="B564" s="220"/>
      <c r="C564" s="221"/>
      <c r="D564" s="222"/>
      <c r="E564" s="223"/>
      <c r="F564" s="209"/>
      <c r="G564" s="223"/>
      <c r="H564" s="223"/>
      <c r="I564" s="224"/>
      <c r="J564" s="21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</row>
    <row r="565" spans="1:29" ht="13.2" x14ac:dyDescent="0.25">
      <c r="A565" s="199"/>
      <c r="B565" s="220"/>
      <c r="C565" s="221"/>
      <c r="D565" s="222"/>
      <c r="E565" s="223"/>
      <c r="F565" s="209"/>
      <c r="G565" s="223"/>
      <c r="H565" s="223"/>
      <c r="I565" s="224"/>
      <c r="J565" s="21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</row>
    <row r="566" spans="1:29" ht="13.2" x14ac:dyDescent="0.25">
      <c r="A566" s="199"/>
      <c r="B566" s="220"/>
      <c r="C566" s="221"/>
      <c r="D566" s="222"/>
      <c r="E566" s="223"/>
      <c r="F566" s="209"/>
      <c r="G566" s="223"/>
      <c r="H566" s="223"/>
      <c r="I566" s="224"/>
      <c r="J566" s="21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</row>
    <row r="567" spans="1:29" ht="13.2" x14ac:dyDescent="0.25">
      <c r="A567" s="199"/>
      <c r="B567" s="220"/>
      <c r="C567" s="221"/>
      <c r="D567" s="222"/>
      <c r="E567" s="223"/>
      <c r="F567" s="209"/>
      <c r="G567" s="223"/>
      <c r="H567" s="223"/>
      <c r="I567" s="224"/>
      <c r="J567" s="21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</row>
    <row r="568" spans="1:29" ht="13.2" x14ac:dyDescent="0.25">
      <c r="A568" s="199"/>
      <c r="B568" s="220"/>
      <c r="C568" s="221"/>
      <c r="D568" s="222"/>
      <c r="E568" s="223"/>
      <c r="F568" s="209"/>
      <c r="G568" s="223"/>
      <c r="H568" s="223"/>
      <c r="I568" s="224"/>
      <c r="J568" s="21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</row>
    <row r="569" spans="1:29" ht="13.2" x14ac:dyDescent="0.25">
      <c r="A569" s="199"/>
      <c r="B569" s="220"/>
      <c r="C569" s="221"/>
      <c r="D569" s="222"/>
      <c r="E569" s="223"/>
      <c r="F569" s="209"/>
      <c r="G569" s="223"/>
      <c r="H569" s="223"/>
      <c r="I569" s="224"/>
      <c r="J569" s="21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</row>
    <row r="570" spans="1:29" ht="13.2" x14ac:dyDescent="0.25">
      <c r="A570" s="199"/>
      <c r="B570" s="220"/>
      <c r="C570" s="221"/>
      <c r="D570" s="222"/>
      <c r="E570" s="223"/>
      <c r="F570" s="209"/>
      <c r="G570" s="223"/>
      <c r="H570" s="223"/>
      <c r="I570" s="224"/>
      <c r="J570" s="21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</row>
    <row r="571" spans="1:29" ht="13.2" x14ac:dyDescent="0.25">
      <c r="A571" s="199"/>
      <c r="B571" s="220"/>
      <c r="C571" s="221"/>
      <c r="D571" s="222"/>
      <c r="E571" s="223"/>
      <c r="F571" s="209"/>
      <c r="G571" s="223"/>
      <c r="H571" s="223"/>
      <c r="I571" s="224"/>
      <c r="J571" s="21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</row>
    <row r="572" spans="1:29" ht="13.2" x14ac:dyDescent="0.25">
      <c r="A572" s="199"/>
      <c r="B572" s="220"/>
      <c r="C572" s="221"/>
      <c r="D572" s="222"/>
      <c r="E572" s="223"/>
      <c r="F572" s="209"/>
      <c r="G572" s="223"/>
      <c r="H572" s="223"/>
      <c r="I572" s="224"/>
      <c r="J572" s="21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</row>
    <row r="573" spans="1:29" ht="13.2" x14ac:dyDescent="0.25">
      <c r="A573" s="199"/>
      <c r="B573" s="220"/>
      <c r="C573" s="221"/>
      <c r="D573" s="222"/>
      <c r="E573" s="223"/>
      <c r="F573" s="209"/>
      <c r="G573" s="223"/>
      <c r="H573" s="223"/>
      <c r="I573" s="224"/>
      <c r="J573" s="21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</row>
    <row r="574" spans="1:29" ht="13.2" x14ac:dyDescent="0.25">
      <c r="A574" s="199"/>
      <c r="B574" s="220"/>
      <c r="C574" s="221"/>
      <c r="D574" s="222"/>
      <c r="E574" s="223"/>
      <c r="F574" s="209"/>
      <c r="G574" s="223"/>
      <c r="H574" s="223"/>
      <c r="I574" s="224"/>
      <c r="J574" s="21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</row>
    <row r="575" spans="1:29" ht="13.2" x14ac:dyDescent="0.25">
      <c r="A575" s="199"/>
      <c r="B575" s="220"/>
      <c r="C575" s="221"/>
      <c r="D575" s="222"/>
      <c r="E575" s="223"/>
      <c r="F575" s="209"/>
      <c r="G575" s="223"/>
      <c r="H575" s="223"/>
      <c r="I575" s="224"/>
      <c r="J575" s="21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</row>
    <row r="576" spans="1:29" ht="13.2" x14ac:dyDescent="0.25">
      <c r="A576" s="199"/>
      <c r="B576" s="220"/>
      <c r="C576" s="221"/>
      <c r="D576" s="222"/>
      <c r="E576" s="223"/>
      <c r="F576" s="209"/>
      <c r="G576" s="223"/>
      <c r="H576" s="223"/>
      <c r="I576" s="224"/>
      <c r="J576" s="21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</row>
    <row r="577" spans="1:29" ht="13.2" x14ac:dyDescent="0.25">
      <c r="A577" s="199"/>
      <c r="B577" s="220"/>
      <c r="C577" s="221"/>
      <c r="D577" s="222"/>
      <c r="E577" s="223"/>
      <c r="F577" s="209"/>
      <c r="G577" s="223"/>
      <c r="H577" s="223"/>
      <c r="I577" s="224"/>
      <c r="J577" s="21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</row>
    <row r="578" spans="1:29" ht="13.2" x14ac:dyDescent="0.25">
      <c r="A578" s="199"/>
      <c r="B578" s="220"/>
      <c r="C578" s="221"/>
      <c r="D578" s="222"/>
      <c r="E578" s="223"/>
      <c r="F578" s="209"/>
      <c r="G578" s="223"/>
      <c r="H578" s="223"/>
      <c r="I578" s="224"/>
      <c r="J578" s="21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</row>
    <row r="579" spans="1:29" ht="13.2" x14ac:dyDescent="0.25">
      <c r="A579" s="199"/>
      <c r="B579" s="220"/>
      <c r="C579" s="221"/>
      <c r="D579" s="222"/>
      <c r="E579" s="223"/>
      <c r="F579" s="209"/>
      <c r="G579" s="223"/>
      <c r="H579" s="223"/>
      <c r="I579" s="224"/>
      <c r="J579" s="21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</row>
    <row r="580" spans="1:29" ht="13.2" x14ac:dyDescent="0.25">
      <c r="A580" s="199"/>
      <c r="B580" s="220"/>
      <c r="C580" s="221"/>
      <c r="D580" s="222"/>
      <c r="E580" s="223"/>
      <c r="F580" s="209"/>
      <c r="G580" s="223"/>
      <c r="H580" s="223"/>
      <c r="I580" s="224"/>
      <c r="J580" s="21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</row>
    <row r="581" spans="1:29" ht="13.2" x14ac:dyDescent="0.25">
      <c r="A581" s="199"/>
      <c r="B581" s="220"/>
      <c r="C581" s="221"/>
      <c r="D581" s="222"/>
      <c r="E581" s="223"/>
      <c r="F581" s="209"/>
      <c r="G581" s="223"/>
      <c r="H581" s="223"/>
      <c r="I581" s="224"/>
      <c r="J581" s="21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</row>
    <row r="582" spans="1:29" ht="13.2" x14ac:dyDescent="0.25">
      <c r="A582" s="199"/>
      <c r="B582" s="220"/>
      <c r="C582" s="221"/>
      <c r="D582" s="222"/>
      <c r="E582" s="223"/>
      <c r="F582" s="209"/>
      <c r="G582" s="223"/>
      <c r="H582" s="223"/>
      <c r="I582" s="224"/>
      <c r="J582" s="21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</row>
    <row r="583" spans="1:29" ht="13.2" x14ac:dyDescent="0.25">
      <c r="A583" s="199"/>
      <c r="B583" s="220"/>
      <c r="C583" s="221"/>
      <c r="D583" s="222"/>
      <c r="E583" s="223"/>
      <c r="F583" s="209"/>
      <c r="G583" s="223"/>
      <c r="H583" s="223"/>
      <c r="I583" s="224"/>
      <c r="J583" s="21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</row>
    <row r="584" spans="1:29" ht="13.2" x14ac:dyDescent="0.25">
      <c r="A584" s="199"/>
      <c r="B584" s="220"/>
      <c r="C584" s="221"/>
      <c r="D584" s="222"/>
      <c r="E584" s="223"/>
      <c r="F584" s="209"/>
      <c r="G584" s="223"/>
      <c r="H584" s="223"/>
      <c r="I584" s="224"/>
      <c r="J584" s="21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</row>
    <row r="585" spans="1:29" ht="13.2" x14ac:dyDescent="0.25">
      <c r="A585" s="199"/>
      <c r="B585" s="220"/>
      <c r="C585" s="221"/>
      <c r="D585" s="222"/>
      <c r="E585" s="223"/>
      <c r="F585" s="209"/>
      <c r="G585" s="223"/>
      <c r="H585" s="223"/>
      <c r="I585" s="224"/>
      <c r="J585" s="21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</row>
    <row r="586" spans="1:29" ht="13.2" x14ac:dyDescent="0.25">
      <c r="A586" s="199"/>
      <c r="B586" s="220"/>
      <c r="C586" s="221"/>
      <c r="D586" s="222"/>
      <c r="E586" s="223"/>
      <c r="F586" s="209"/>
      <c r="G586" s="223"/>
      <c r="H586" s="223"/>
      <c r="I586" s="224"/>
      <c r="J586" s="21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</row>
    <row r="587" spans="1:29" ht="13.2" x14ac:dyDescent="0.25">
      <c r="A587" s="199"/>
      <c r="B587" s="220"/>
      <c r="C587" s="221"/>
      <c r="D587" s="222"/>
      <c r="E587" s="223"/>
      <c r="F587" s="209"/>
      <c r="G587" s="223"/>
      <c r="H587" s="223"/>
      <c r="I587" s="224"/>
      <c r="J587" s="21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</row>
    <row r="588" spans="1:29" ht="13.2" x14ac:dyDescent="0.25">
      <c r="A588" s="199"/>
      <c r="B588" s="220"/>
      <c r="C588" s="221"/>
      <c r="D588" s="222"/>
      <c r="E588" s="223"/>
      <c r="F588" s="209"/>
      <c r="G588" s="223"/>
      <c r="H588" s="223"/>
      <c r="I588" s="224"/>
      <c r="J588" s="21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</row>
    <row r="589" spans="1:29" ht="13.2" x14ac:dyDescent="0.25">
      <c r="A589" s="199"/>
      <c r="B589" s="220"/>
      <c r="C589" s="221"/>
      <c r="D589" s="222"/>
      <c r="E589" s="223"/>
      <c r="F589" s="209"/>
      <c r="G589" s="223"/>
      <c r="H589" s="223"/>
      <c r="I589" s="224"/>
      <c r="J589" s="21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</row>
    <row r="590" spans="1:29" ht="13.2" x14ac:dyDescent="0.25">
      <c r="A590" s="199"/>
      <c r="B590" s="220"/>
      <c r="C590" s="221"/>
      <c r="D590" s="222"/>
      <c r="E590" s="223"/>
      <c r="F590" s="209"/>
      <c r="G590" s="223"/>
      <c r="H590" s="223"/>
      <c r="I590" s="224"/>
      <c r="J590" s="21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</row>
    <row r="591" spans="1:29" ht="13.2" x14ac:dyDescent="0.25">
      <c r="A591" s="199"/>
      <c r="B591" s="220"/>
      <c r="C591" s="221"/>
      <c r="D591" s="222"/>
      <c r="E591" s="223"/>
      <c r="F591" s="209"/>
      <c r="G591" s="223"/>
      <c r="H591" s="223"/>
      <c r="I591" s="224"/>
      <c r="J591" s="21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</row>
    <row r="592" spans="1:29" ht="13.2" x14ac:dyDescent="0.25">
      <c r="A592" s="199"/>
      <c r="B592" s="220"/>
      <c r="C592" s="221"/>
      <c r="D592" s="222"/>
      <c r="E592" s="223"/>
      <c r="F592" s="209"/>
      <c r="G592" s="223"/>
      <c r="H592" s="223"/>
      <c r="I592" s="224"/>
      <c r="J592" s="21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</row>
    <row r="593" spans="1:29" ht="13.2" x14ac:dyDescent="0.25">
      <c r="A593" s="199"/>
      <c r="B593" s="220"/>
      <c r="C593" s="221"/>
      <c r="D593" s="222"/>
      <c r="E593" s="223"/>
      <c r="F593" s="209"/>
      <c r="G593" s="223"/>
      <c r="H593" s="223"/>
      <c r="I593" s="224"/>
      <c r="J593" s="21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</row>
    <row r="594" spans="1:29" ht="13.2" x14ac:dyDescent="0.25">
      <c r="A594" s="199"/>
      <c r="B594" s="220"/>
      <c r="C594" s="221"/>
      <c r="D594" s="222"/>
      <c r="E594" s="223"/>
      <c r="F594" s="209"/>
      <c r="G594" s="223"/>
      <c r="H594" s="223"/>
      <c r="I594" s="224"/>
      <c r="J594" s="21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</row>
    <row r="595" spans="1:29" ht="13.2" x14ac:dyDescent="0.25">
      <c r="A595" s="199"/>
      <c r="B595" s="220"/>
      <c r="C595" s="221"/>
      <c r="D595" s="222"/>
      <c r="E595" s="223"/>
      <c r="F595" s="209"/>
      <c r="G595" s="223"/>
      <c r="H595" s="223"/>
      <c r="I595" s="224"/>
      <c r="J595" s="21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</row>
    <row r="596" spans="1:29" ht="13.2" x14ac:dyDescent="0.25">
      <c r="A596" s="199"/>
      <c r="B596" s="220"/>
      <c r="C596" s="221"/>
      <c r="D596" s="222"/>
      <c r="E596" s="223"/>
      <c r="F596" s="209"/>
      <c r="G596" s="223"/>
      <c r="H596" s="223"/>
      <c r="I596" s="224"/>
      <c r="J596" s="21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</row>
    <row r="597" spans="1:29" ht="13.2" x14ac:dyDescent="0.25">
      <c r="A597" s="199"/>
      <c r="B597" s="220"/>
      <c r="C597" s="221"/>
      <c r="D597" s="222"/>
      <c r="E597" s="223"/>
      <c r="F597" s="209"/>
      <c r="G597" s="223"/>
      <c r="H597" s="223"/>
      <c r="I597" s="224"/>
      <c r="J597" s="21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</row>
    <row r="598" spans="1:29" ht="13.2" x14ac:dyDescent="0.25">
      <c r="A598" s="199"/>
      <c r="B598" s="220"/>
      <c r="C598" s="221"/>
      <c r="D598" s="222"/>
      <c r="E598" s="223"/>
      <c r="F598" s="209"/>
      <c r="G598" s="223"/>
      <c r="H598" s="223"/>
      <c r="I598" s="224"/>
      <c r="J598" s="21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</row>
    <row r="599" spans="1:29" ht="13.2" x14ac:dyDescent="0.25">
      <c r="A599" s="199"/>
      <c r="B599" s="220"/>
      <c r="C599" s="221"/>
      <c r="D599" s="222"/>
      <c r="E599" s="223"/>
      <c r="F599" s="209"/>
      <c r="G599" s="223"/>
      <c r="H599" s="223"/>
      <c r="I599" s="224"/>
      <c r="J599" s="21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</row>
    <row r="600" spans="1:29" ht="13.2" x14ac:dyDescent="0.25">
      <c r="A600" s="199"/>
      <c r="B600" s="220"/>
      <c r="C600" s="221"/>
      <c r="D600" s="222"/>
      <c r="E600" s="223"/>
      <c r="F600" s="209"/>
      <c r="G600" s="223"/>
      <c r="H600" s="223"/>
      <c r="I600" s="224"/>
      <c r="J600" s="21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</row>
    <row r="601" spans="1:29" ht="13.2" x14ac:dyDescent="0.25">
      <c r="A601" s="199"/>
      <c r="B601" s="220"/>
      <c r="C601" s="221"/>
      <c r="D601" s="222"/>
      <c r="E601" s="223"/>
      <c r="F601" s="209"/>
      <c r="G601" s="223"/>
      <c r="H601" s="223"/>
      <c r="I601" s="224"/>
      <c r="J601" s="21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</row>
    <row r="602" spans="1:29" ht="13.2" x14ac:dyDescent="0.25">
      <c r="A602" s="199"/>
      <c r="B602" s="220"/>
      <c r="C602" s="221"/>
      <c r="D602" s="222"/>
      <c r="E602" s="223"/>
      <c r="F602" s="209"/>
      <c r="G602" s="223"/>
      <c r="H602" s="223"/>
      <c r="I602" s="224"/>
      <c r="J602" s="21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</row>
    <row r="603" spans="1:29" ht="13.2" x14ac:dyDescent="0.25">
      <c r="A603" s="199"/>
      <c r="B603" s="220"/>
      <c r="C603" s="221"/>
      <c r="D603" s="222"/>
      <c r="E603" s="223"/>
      <c r="F603" s="209"/>
      <c r="G603" s="223"/>
      <c r="H603" s="223"/>
      <c r="I603" s="224"/>
      <c r="J603" s="21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</row>
    <row r="604" spans="1:29" ht="13.2" x14ac:dyDescent="0.25">
      <c r="A604" s="199"/>
      <c r="B604" s="220"/>
      <c r="C604" s="221"/>
      <c r="D604" s="222"/>
      <c r="E604" s="223"/>
      <c r="F604" s="209"/>
      <c r="G604" s="223"/>
      <c r="H604" s="223"/>
      <c r="I604" s="224"/>
      <c r="J604" s="21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</row>
    <row r="605" spans="1:29" ht="13.2" x14ac:dyDescent="0.25">
      <c r="A605" s="199"/>
      <c r="B605" s="220"/>
      <c r="C605" s="221"/>
      <c r="D605" s="222"/>
      <c r="E605" s="223"/>
      <c r="F605" s="209"/>
      <c r="G605" s="223"/>
      <c r="H605" s="223"/>
      <c r="I605" s="224"/>
      <c r="J605" s="21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</row>
    <row r="606" spans="1:29" ht="13.2" x14ac:dyDescent="0.25">
      <c r="A606" s="199"/>
      <c r="B606" s="220"/>
      <c r="C606" s="221"/>
      <c r="D606" s="222"/>
      <c r="E606" s="223"/>
      <c r="F606" s="209"/>
      <c r="G606" s="223"/>
      <c r="H606" s="223"/>
      <c r="I606" s="224"/>
      <c r="J606" s="21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</row>
    <row r="607" spans="1:29" ht="13.2" x14ac:dyDescent="0.25">
      <c r="A607" s="199"/>
      <c r="B607" s="220"/>
      <c r="C607" s="221"/>
      <c r="D607" s="222"/>
      <c r="E607" s="223"/>
      <c r="F607" s="209"/>
      <c r="G607" s="223"/>
      <c r="H607" s="223"/>
      <c r="I607" s="224"/>
      <c r="J607" s="21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</row>
    <row r="608" spans="1:29" ht="13.2" x14ac:dyDescent="0.25">
      <c r="A608" s="199"/>
      <c r="B608" s="220"/>
      <c r="C608" s="221"/>
      <c r="D608" s="222"/>
      <c r="E608" s="223"/>
      <c r="F608" s="209"/>
      <c r="G608" s="223"/>
      <c r="H608" s="223"/>
      <c r="I608" s="224"/>
      <c r="J608" s="21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</row>
    <row r="609" spans="1:29" ht="13.2" x14ac:dyDescent="0.25">
      <c r="A609" s="199"/>
      <c r="B609" s="220"/>
      <c r="C609" s="221"/>
      <c r="D609" s="222"/>
      <c r="E609" s="223"/>
      <c r="F609" s="209"/>
      <c r="G609" s="223"/>
      <c r="H609" s="223"/>
      <c r="I609" s="224"/>
      <c r="J609" s="21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</row>
    <row r="610" spans="1:29" ht="13.2" x14ac:dyDescent="0.25">
      <c r="A610" s="199"/>
      <c r="B610" s="220"/>
      <c r="C610" s="221"/>
      <c r="D610" s="222"/>
      <c r="E610" s="223"/>
      <c r="F610" s="209"/>
      <c r="G610" s="223"/>
      <c r="H610" s="223"/>
      <c r="I610" s="224"/>
      <c r="J610" s="21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</row>
    <row r="611" spans="1:29" ht="13.2" x14ac:dyDescent="0.25">
      <c r="A611" s="199"/>
      <c r="B611" s="220"/>
      <c r="C611" s="221"/>
      <c r="D611" s="222"/>
      <c r="E611" s="223"/>
      <c r="F611" s="209"/>
      <c r="G611" s="223"/>
      <c r="H611" s="223"/>
      <c r="I611" s="224"/>
      <c r="J611" s="21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</row>
    <row r="612" spans="1:29" ht="13.2" x14ac:dyDescent="0.25">
      <c r="A612" s="199"/>
      <c r="B612" s="220"/>
      <c r="C612" s="221"/>
      <c r="D612" s="222"/>
      <c r="E612" s="223"/>
      <c r="F612" s="209"/>
      <c r="G612" s="223"/>
      <c r="H612" s="223"/>
      <c r="I612" s="224"/>
      <c r="J612" s="21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</row>
    <row r="613" spans="1:29" ht="13.2" x14ac:dyDescent="0.25">
      <c r="A613" s="199"/>
      <c r="B613" s="220"/>
      <c r="C613" s="221"/>
      <c r="D613" s="222"/>
      <c r="E613" s="223"/>
      <c r="F613" s="209"/>
      <c r="G613" s="223"/>
      <c r="H613" s="223"/>
      <c r="I613" s="224"/>
      <c r="J613" s="21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</row>
    <row r="614" spans="1:29" ht="13.2" x14ac:dyDescent="0.25">
      <c r="A614" s="199"/>
      <c r="B614" s="220"/>
      <c r="C614" s="221"/>
      <c r="D614" s="222"/>
      <c r="E614" s="223"/>
      <c r="F614" s="209"/>
      <c r="G614" s="223"/>
      <c r="H614" s="223"/>
      <c r="I614" s="224"/>
      <c r="J614" s="21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</row>
    <row r="615" spans="1:29" ht="13.2" x14ac:dyDescent="0.25">
      <c r="A615" s="199"/>
      <c r="B615" s="220"/>
      <c r="C615" s="221"/>
      <c r="D615" s="222"/>
      <c r="E615" s="223"/>
      <c r="F615" s="209"/>
      <c r="G615" s="223"/>
      <c r="H615" s="223"/>
      <c r="I615" s="224"/>
      <c r="J615" s="21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</row>
    <row r="616" spans="1:29" ht="13.2" x14ac:dyDescent="0.25">
      <c r="A616" s="199"/>
      <c r="B616" s="220"/>
      <c r="C616" s="221"/>
      <c r="D616" s="222"/>
      <c r="E616" s="223"/>
      <c r="F616" s="209"/>
      <c r="G616" s="223"/>
      <c r="H616" s="223"/>
      <c r="I616" s="224"/>
      <c r="J616" s="21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</row>
    <row r="617" spans="1:29" ht="13.2" x14ac:dyDescent="0.25">
      <c r="A617" s="199"/>
      <c r="B617" s="220"/>
      <c r="C617" s="221"/>
      <c r="D617" s="222"/>
      <c r="E617" s="223"/>
      <c r="F617" s="209"/>
      <c r="G617" s="223"/>
      <c r="H617" s="223"/>
      <c r="I617" s="224"/>
      <c r="J617" s="21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</row>
    <row r="618" spans="1:29" ht="13.2" x14ac:dyDescent="0.25">
      <c r="A618" s="199"/>
      <c r="B618" s="220"/>
      <c r="C618" s="221"/>
      <c r="D618" s="222"/>
      <c r="E618" s="223"/>
      <c r="F618" s="209"/>
      <c r="G618" s="223"/>
      <c r="H618" s="223"/>
      <c r="I618" s="224"/>
      <c r="J618" s="21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</row>
    <row r="619" spans="1:29" ht="13.2" x14ac:dyDescent="0.25">
      <c r="A619" s="199"/>
      <c r="B619" s="220"/>
      <c r="C619" s="221"/>
      <c r="D619" s="222"/>
      <c r="E619" s="223"/>
      <c r="F619" s="209"/>
      <c r="G619" s="223"/>
      <c r="H619" s="223"/>
      <c r="I619" s="224"/>
      <c r="J619" s="21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</row>
    <row r="620" spans="1:29" ht="13.2" x14ac:dyDescent="0.25">
      <c r="A620" s="199"/>
      <c r="B620" s="220"/>
      <c r="C620" s="221"/>
      <c r="D620" s="222"/>
      <c r="E620" s="223"/>
      <c r="F620" s="209"/>
      <c r="G620" s="223"/>
      <c r="H620" s="223"/>
      <c r="I620" s="224"/>
      <c r="J620" s="21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</row>
    <row r="621" spans="1:29" ht="13.2" x14ac:dyDescent="0.25">
      <c r="A621" s="199"/>
      <c r="B621" s="220"/>
      <c r="C621" s="221"/>
      <c r="D621" s="222"/>
      <c r="E621" s="223"/>
      <c r="F621" s="209"/>
      <c r="G621" s="223"/>
      <c r="H621" s="223"/>
      <c r="I621" s="224"/>
      <c r="J621" s="21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</row>
    <row r="622" spans="1:29" ht="13.2" x14ac:dyDescent="0.25">
      <c r="A622" s="199"/>
      <c r="B622" s="220"/>
      <c r="C622" s="221"/>
      <c r="D622" s="222"/>
      <c r="E622" s="223"/>
      <c r="F622" s="209"/>
      <c r="G622" s="223"/>
      <c r="H622" s="223"/>
      <c r="I622" s="224"/>
      <c r="J622" s="21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</row>
    <row r="623" spans="1:29" ht="13.2" x14ac:dyDescent="0.25">
      <c r="A623" s="199"/>
      <c r="B623" s="220"/>
      <c r="C623" s="221"/>
      <c r="D623" s="222"/>
      <c r="E623" s="223"/>
      <c r="F623" s="209"/>
      <c r="G623" s="223"/>
      <c r="H623" s="223"/>
      <c r="I623" s="224"/>
      <c r="J623" s="21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</row>
    <row r="624" spans="1:29" ht="13.2" x14ac:dyDescent="0.25">
      <c r="A624" s="199"/>
      <c r="B624" s="220"/>
      <c r="C624" s="221"/>
      <c r="D624" s="222"/>
      <c r="E624" s="223"/>
      <c r="F624" s="209"/>
      <c r="G624" s="223"/>
      <c r="H624" s="223"/>
      <c r="I624" s="224"/>
      <c r="J624" s="21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</row>
    <row r="625" spans="1:29" ht="13.2" x14ac:dyDescent="0.25">
      <c r="A625" s="199"/>
      <c r="B625" s="220"/>
      <c r="C625" s="221"/>
      <c r="D625" s="222"/>
      <c r="E625" s="223"/>
      <c r="F625" s="209"/>
      <c r="G625" s="223"/>
      <c r="H625" s="223"/>
      <c r="I625" s="224"/>
      <c r="J625" s="21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</row>
    <row r="626" spans="1:29" ht="13.2" x14ac:dyDescent="0.25">
      <c r="A626" s="199"/>
      <c r="B626" s="220"/>
      <c r="C626" s="221"/>
      <c r="D626" s="222"/>
      <c r="E626" s="223"/>
      <c r="F626" s="209"/>
      <c r="G626" s="223"/>
      <c r="H626" s="223"/>
      <c r="I626" s="224"/>
      <c r="J626" s="21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</row>
    <row r="627" spans="1:29" ht="13.2" x14ac:dyDescent="0.25">
      <c r="A627" s="199"/>
      <c r="B627" s="220"/>
      <c r="C627" s="221"/>
      <c r="D627" s="222"/>
      <c r="E627" s="223"/>
      <c r="F627" s="209"/>
      <c r="G627" s="223"/>
      <c r="H627" s="223"/>
      <c r="I627" s="224"/>
      <c r="J627" s="21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</row>
    <row r="628" spans="1:29" ht="13.2" x14ac:dyDescent="0.25">
      <c r="A628" s="199"/>
      <c r="B628" s="220"/>
      <c r="C628" s="221"/>
      <c r="D628" s="222"/>
      <c r="E628" s="223"/>
      <c r="F628" s="209"/>
      <c r="G628" s="223"/>
      <c r="H628" s="223"/>
      <c r="I628" s="224"/>
      <c r="J628" s="21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</row>
    <row r="629" spans="1:29" ht="13.2" x14ac:dyDescent="0.25">
      <c r="A629" s="199"/>
      <c r="B629" s="220"/>
      <c r="C629" s="221"/>
      <c r="D629" s="222"/>
      <c r="E629" s="223"/>
      <c r="F629" s="209"/>
      <c r="G629" s="223"/>
      <c r="H629" s="223"/>
      <c r="I629" s="224"/>
      <c r="J629" s="21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</row>
    <row r="630" spans="1:29" ht="13.2" x14ac:dyDescent="0.25">
      <c r="A630" s="199"/>
      <c r="B630" s="220"/>
      <c r="C630" s="221"/>
      <c r="D630" s="222"/>
      <c r="E630" s="223"/>
      <c r="F630" s="209"/>
      <c r="G630" s="223"/>
      <c r="H630" s="223"/>
      <c r="I630" s="224"/>
      <c r="J630" s="21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</row>
    <row r="631" spans="1:29" ht="13.2" x14ac:dyDescent="0.25">
      <c r="A631" s="199"/>
      <c r="B631" s="220"/>
      <c r="C631" s="221"/>
      <c r="D631" s="222"/>
      <c r="E631" s="223"/>
      <c r="F631" s="209"/>
      <c r="G631" s="223"/>
      <c r="H631" s="223"/>
      <c r="I631" s="224"/>
      <c r="J631" s="21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</row>
    <row r="632" spans="1:29" ht="13.2" x14ac:dyDescent="0.25">
      <c r="A632" s="199"/>
      <c r="B632" s="220"/>
      <c r="C632" s="221"/>
      <c r="D632" s="222"/>
      <c r="E632" s="223"/>
      <c r="F632" s="209"/>
      <c r="G632" s="223"/>
      <c r="H632" s="223"/>
      <c r="I632" s="224"/>
      <c r="J632" s="21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</row>
    <row r="633" spans="1:29" ht="13.2" x14ac:dyDescent="0.25">
      <c r="A633" s="199"/>
      <c r="B633" s="220"/>
      <c r="C633" s="221"/>
      <c r="D633" s="222"/>
      <c r="E633" s="223"/>
      <c r="F633" s="209"/>
      <c r="G633" s="223"/>
      <c r="H633" s="223"/>
      <c r="I633" s="224"/>
      <c r="J633" s="21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</row>
    <row r="634" spans="1:29" ht="13.2" x14ac:dyDescent="0.25">
      <c r="A634" s="199"/>
      <c r="B634" s="220"/>
      <c r="C634" s="221"/>
      <c r="D634" s="222"/>
      <c r="E634" s="223"/>
      <c r="F634" s="209"/>
      <c r="G634" s="223"/>
      <c r="H634" s="223"/>
      <c r="I634" s="224"/>
      <c r="J634" s="21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</row>
    <row r="635" spans="1:29" ht="13.2" x14ac:dyDescent="0.25">
      <c r="A635" s="199"/>
      <c r="B635" s="220"/>
      <c r="C635" s="221"/>
      <c r="D635" s="222"/>
      <c r="E635" s="223"/>
      <c r="F635" s="209"/>
      <c r="G635" s="223"/>
      <c r="H635" s="223"/>
      <c r="I635" s="224"/>
      <c r="J635" s="21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</row>
    <row r="636" spans="1:29" ht="13.2" x14ac:dyDescent="0.25">
      <c r="A636" s="199"/>
      <c r="B636" s="220"/>
      <c r="C636" s="221"/>
      <c r="D636" s="222"/>
      <c r="E636" s="223"/>
      <c r="F636" s="209"/>
      <c r="G636" s="223"/>
      <c r="H636" s="223"/>
      <c r="I636" s="224"/>
      <c r="J636" s="21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</row>
    <row r="637" spans="1:29" ht="13.2" x14ac:dyDescent="0.25">
      <c r="A637" s="199"/>
      <c r="B637" s="220"/>
      <c r="C637" s="221"/>
      <c r="D637" s="222"/>
      <c r="E637" s="223"/>
      <c r="F637" s="209"/>
      <c r="G637" s="223"/>
      <c r="H637" s="223"/>
      <c r="I637" s="224"/>
      <c r="J637" s="21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</row>
    <row r="638" spans="1:29" ht="13.2" x14ac:dyDescent="0.25">
      <c r="A638" s="199"/>
      <c r="B638" s="220"/>
      <c r="C638" s="221"/>
      <c r="D638" s="222"/>
      <c r="E638" s="223"/>
      <c r="F638" s="209"/>
      <c r="G638" s="223"/>
      <c r="H638" s="223"/>
      <c r="I638" s="224"/>
      <c r="J638" s="21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</row>
    <row r="639" spans="1:29" ht="13.2" x14ac:dyDescent="0.25">
      <c r="A639" s="199"/>
      <c r="B639" s="220"/>
      <c r="C639" s="221"/>
      <c r="D639" s="222"/>
      <c r="E639" s="223"/>
      <c r="F639" s="209"/>
      <c r="G639" s="223"/>
      <c r="H639" s="223"/>
      <c r="I639" s="224"/>
      <c r="J639" s="21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</row>
    <row r="640" spans="1:29" ht="13.2" x14ac:dyDescent="0.25">
      <c r="A640" s="199"/>
      <c r="B640" s="220"/>
      <c r="C640" s="221"/>
      <c r="D640" s="222"/>
      <c r="E640" s="223"/>
      <c r="F640" s="209"/>
      <c r="G640" s="223"/>
      <c r="H640" s="223"/>
      <c r="I640" s="224"/>
      <c r="J640" s="21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</row>
    <row r="641" spans="1:29" ht="13.2" x14ac:dyDescent="0.25">
      <c r="A641" s="199"/>
      <c r="B641" s="220"/>
      <c r="C641" s="221"/>
      <c r="D641" s="222"/>
      <c r="E641" s="223"/>
      <c r="F641" s="209"/>
      <c r="G641" s="223"/>
      <c r="H641" s="223"/>
      <c r="I641" s="224"/>
      <c r="J641" s="21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</row>
    <row r="642" spans="1:29" ht="13.2" x14ac:dyDescent="0.25">
      <c r="A642" s="199"/>
      <c r="B642" s="220"/>
      <c r="C642" s="221"/>
      <c r="D642" s="222"/>
      <c r="E642" s="223"/>
      <c r="F642" s="209"/>
      <c r="G642" s="223"/>
      <c r="H642" s="223"/>
      <c r="I642" s="224"/>
      <c r="J642" s="21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</row>
    <row r="643" spans="1:29" ht="13.2" x14ac:dyDescent="0.25">
      <c r="A643" s="199"/>
      <c r="B643" s="220"/>
      <c r="C643" s="221"/>
      <c r="D643" s="222"/>
      <c r="E643" s="223"/>
      <c r="F643" s="209"/>
      <c r="G643" s="223"/>
      <c r="H643" s="223"/>
      <c r="I643" s="224"/>
      <c r="J643" s="21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</row>
    <row r="644" spans="1:29" ht="13.2" x14ac:dyDescent="0.25">
      <c r="A644" s="199"/>
      <c r="B644" s="220"/>
      <c r="C644" s="221"/>
      <c r="D644" s="222"/>
      <c r="E644" s="223"/>
      <c r="F644" s="209"/>
      <c r="G644" s="223"/>
      <c r="H644" s="223"/>
      <c r="I644" s="224"/>
      <c r="J644" s="21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</row>
    <row r="645" spans="1:29" ht="13.2" x14ac:dyDescent="0.25">
      <c r="A645" s="199"/>
      <c r="B645" s="220"/>
      <c r="C645" s="221"/>
      <c r="D645" s="222"/>
      <c r="E645" s="223"/>
      <c r="F645" s="209"/>
      <c r="G645" s="223"/>
      <c r="H645" s="223"/>
      <c r="I645" s="224"/>
      <c r="J645" s="21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</row>
    <row r="646" spans="1:29" ht="13.2" x14ac:dyDescent="0.25">
      <c r="A646" s="199"/>
      <c r="B646" s="220"/>
      <c r="C646" s="221"/>
      <c r="D646" s="222"/>
      <c r="E646" s="223"/>
      <c r="F646" s="209"/>
      <c r="G646" s="223"/>
      <c r="H646" s="223"/>
      <c r="I646" s="224"/>
      <c r="J646" s="21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</row>
    <row r="647" spans="1:29" ht="13.2" x14ac:dyDescent="0.25">
      <c r="A647" s="199"/>
      <c r="B647" s="220"/>
      <c r="C647" s="221"/>
      <c r="D647" s="222"/>
      <c r="E647" s="223"/>
      <c r="F647" s="209"/>
      <c r="G647" s="223"/>
      <c r="H647" s="223"/>
      <c r="I647" s="224"/>
      <c r="J647" s="21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</row>
    <row r="648" spans="1:29" ht="13.2" x14ac:dyDescent="0.25">
      <c r="A648" s="199"/>
      <c r="B648" s="220"/>
      <c r="C648" s="221"/>
      <c r="D648" s="222"/>
      <c r="E648" s="223"/>
      <c r="F648" s="209"/>
      <c r="G648" s="223"/>
      <c r="H648" s="223"/>
      <c r="I648" s="224"/>
      <c r="J648" s="21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</row>
    <row r="649" spans="1:29" ht="13.2" x14ac:dyDescent="0.25">
      <c r="A649" s="199"/>
      <c r="B649" s="220"/>
      <c r="C649" s="221"/>
      <c r="D649" s="222"/>
      <c r="E649" s="223"/>
      <c r="F649" s="209"/>
      <c r="G649" s="223"/>
      <c r="H649" s="223"/>
      <c r="I649" s="224"/>
      <c r="J649" s="21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</row>
    <row r="650" spans="1:29" ht="13.2" x14ac:dyDescent="0.25">
      <c r="A650" s="199"/>
      <c r="B650" s="220"/>
      <c r="C650" s="221"/>
      <c r="D650" s="222"/>
      <c r="E650" s="223"/>
      <c r="F650" s="209"/>
      <c r="G650" s="223"/>
      <c r="H650" s="223"/>
      <c r="I650" s="224"/>
      <c r="J650" s="21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</row>
    <row r="651" spans="1:29" ht="13.2" x14ac:dyDescent="0.25">
      <c r="A651" s="199"/>
      <c r="B651" s="220"/>
      <c r="C651" s="221"/>
      <c r="D651" s="222"/>
      <c r="E651" s="223"/>
      <c r="F651" s="209"/>
      <c r="G651" s="223"/>
      <c r="H651" s="223"/>
      <c r="I651" s="224"/>
      <c r="J651" s="21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</row>
    <row r="652" spans="1:29" ht="13.2" x14ac:dyDescent="0.25">
      <c r="A652" s="199"/>
      <c r="B652" s="220"/>
      <c r="C652" s="221"/>
      <c r="D652" s="222"/>
      <c r="E652" s="223"/>
      <c r="F652" s="209"/>
      <c r="G652" s="223"/>
      <c r="H652" s="223"/>
      <c r="I652" s="224"/>
      <c r="J652" s="21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</row>
    <row r="653" spans="1:29" ht="13.2" x14ac:dyDescent="0.25">
      <c r="A653" s="199"/>
      <c r="B653" s="220"/>
      <c r="C653" s="221"/>
      <c r="D653" s="222"/>
      <c r="E653" s="223"/>
      <c r="F653" s="209"/>
      <c r="G653" s="223"/>
      <c r="H653" s="223"/>
      <c r="I653" s="224"/>
      <c r="J653" s="21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</row>
    <row r="654" spans="1:29" ht="13.2" x14ac:dyDescent="0.25">
      <c r="A654" s="199"/>
      <c r="B654" s="220"/>
      <c r="C654" s="221"/>
      <c r="D654" s="222"/>
      <c r="E654" s="223"/>
      <c r="F654" s="209"/>
      <c r="G654" s="223"/>
      <c r="H654" s="223"/>
      <c r="I654" s="224"/>
      <c r="J654" s="21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</row>
    <row r="655" spans="1:29" ht="13.2" x14ac:dyDescent="0.25">
      <c r="A655" s="199"/>
      <c r="B655" s="220"/>
      <c r="C655" s="221"/>
      <c r="D655" s="222"/>
      <c r="E655" s="223"/>
      <c r="F655" s="209"/>
      <c r="G655" s="223"/>
      <c r="H655" s="223"/>
      <c r="I655" s="224"/>
      <c r="J655" s="21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</row>
    <row r="656" spans="1:29" ht="13.2" x14ac:dyDescent="0.25">
      <c r="A656" s="199"/>
      <c r="B656" s="220"/>
      <c r="C656" s="221"/>
      <c r="D656" s="222"/>
      <c r="E656" s="223"/>
      <c r="F656" s="209"/>
      <c r="G656" s="223"/>
      <c r="H656" s="223"/>
      <c r="I656" s="224"/>
      <c r="J656" s="21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</row>
    <row r="657" spans="1:29" ht="13.2" x14ac:dyDescent="0.25">
      <c r="A657" s="199"/>
      <c r="B657" s="220"/>
      <c r="C657" s="221"/>
      <c r="D657" s="222"/>
      <c r="E657" s="223"/>
      <c r="F657" s="209"/>
      <c r="G657" s="223"/>
      <c r="H657" s="223"/>
      <c r="I657" s="224"/>
      <c r="J657" s="21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</row>
    <row r="658" spans="1:29" ht="13.2" x14ac:dyDescent="0.25">
      <c r="A658" s="199"/>
      <c r="B658" s="220"/>
      <c r="C658" s="221"/>
      <c r="D658" s="222"/>
      <c r="E658" s="223"/>
      <c r="F658" s="209"/>
      <c r="G658" s="223"/>
      <c r="H658" s="223"/>
      <c r="I658" s="224"/>
      <c r="J658" s="21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</row>
    <row r="659" spans="1:29" ht="13.2" x14ac:dyDescent="0.25">
      <c r="A659" s="199"/>
      <c r="B659" s="220"/>
      <c r="C659" s="221"/>
      <c r="D659" s="222"/>
      <c r="E659" s="223"/>
      <c r="F659" s="209"/>
      <c r="G659" s="223"/>
      <c r="H659" s="223"/>
      <c r="I659" s="224"/>
      <c r="J659" s="21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</row>
    <row r="660" spans="1:29" ht="13.2" x14ac:dyDescent="0.25">
      <c r="A660" s="199"/>
      <c r="B660" s="220"/>
      <c r="C660" s="221"/>
      <c r="D660" s="222"/>
      <c r="E660" s="223"/>
      <c r="F660" s="209"/>
      <c r="G660" s="223"/>
      <c r="H660" s="223"/>
      <c r="I660" s="224"/>
      <c r="J660" s="21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</row>
    <row r="661" spans="1:29" ht="13.2" x14ac:dyDescent="0.25">
      <c r="A661" s="199"/>
      <c r="B661" s="220"/>
      <c r="C661" s="221"/>
      <c r="D661" s="222"/>
      <c r="E661" s="223"/>
      <c r="F661" s="209"/>
      <c r="G661" s="223"/>
      <c r="H661" s="223"/>
      <c r="I661" s="224"/>
      <c r="J661" s="21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</row>
    <row r="662" spans="1:29" ht="13.2" x14ac:dyDescent="0.25">
      <c r="A662" s="199"/>
      <c r="B662" s="220"/>
      <c r="C662" s="221"/>
      <c r="D662" s="222"/>
      <c r="E662" s="223"/>
      <c r="F662" s="209"/>
      <c r="G662" s="223"/>
      <c r="H662" s="223"/>
      <c r="I662" s="224"/>
      <c r="J662" s="21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</row>
    <row r="663" spans="1:29" ht="13.2" x14ac:dyDescent="0.25">
      <c r="A663" s="199"/>
      <c r="B663" s="220"/>
      <c r="C663" s="221"/>
      <c r="D663" s="222"/>
      <c r="E663" s="223"/>
      <c r="F663" s="209"/>
      <c r="G663" s="223"/>
      <c r="H663" s="223"/>
      <c r="I663" s="224"/>
      <c r="J663" s="21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</row>
    <row r="664" spans="1:29" ht="13.2" x14ac:dyDescent="0.25">
      <c r="A664" s="199"/>
      <c r="B664" s="220"/>
      <c r="C664" s="221"/>
      <c r="D664" s="222"/>
      <c r="E664" s="223"/>
      <c r="F664" s="209"/>
      <c r="G664" s="223"/>
      <c r="H664" s="223"/>
      <c r="I664" s="224"/>
      <c r="J664" s="21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</row>
    <row r="665" spans="1:29" ht="13.2" x14ac:dyDescent="0.25">
      <c r="A665" s="199"/>
      <c r="B665" s="220"/>
      <c r="C665" s="221"/>
      <c r="D665" s="222"/>
      <c r="E665" s="223"/>
      <c r="F665" s="209"/>
      <c r="G665" s="223"/>
      <c r="H665" s="223"/>
      <c r="I665" s="224"/>
      <c r="J665" s="21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</row>
    <row r="666" spans="1:29" ht="13.2" x14ac:dyDescent="0.25">
      <c r="A666" s="199"/>
      <c r="B666" s="220"/>
      <c r="C666" s="221"/>
      <c r="D666" s="222"/>
      <c r="E666" s="223"/>
      <c r="F666" s="209"/>
      <c r="G666" s="223"/>
      <c r="H666" s="223"/>
      <c r="I666" s="224"/>
      <c r="J666" s="21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</row>
    <row r="667" spans="1:29" ht="13.2" x14ac:dyDescent="0.25">
      <c r="A667" s="199"/>
      <c r="B667" s="220"/>
      <c r="C667" s="221"/>
      <c r="D667" s="222"/>
      <c r="E667" s="223"/>
      <c r="F667" s="209"/>
      <c r="G667" s="223"/>
      <c r="H667" s="223"/>
      <c r="I667" s="224"/>
      <c r="J667" s="21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</row>
    <row r="668" spans="1:29" ht="13.2" x14ac:dyDescent="0.25">
      <c r="A668" s="199"/>
      <c r="B668" s="220"/>
      <c r="C668" s="221"/>
      <c r="D668" s="222"/>
      <c r="E668" s="223"/>
      <c r="F668" s="209"/>
      <c r="G668" s="223"/>
      <c r="H668" s="223"/>
      <c r="I668" s="224"/>
      <c r="J668" s="21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</row>
    <row r="669" spans="1:29" ht="13.2" x14ac:dyDescent="0.25">
      <c r="A669" s="199"/>
      <c r="B669" s="220"/>
      <c r="C669" s="221"/>
      <c r="D669" s="222"/>
      <c r="E669" s="223"/>
      <c r="F669" s="209"/>
      <c r="G669" s="223"/>
      <c r="H669" s="223"/>
      <c r="I669" s="224"/>
      <c r="J669" s="21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</row>
    <row r="670" spans="1:29" ht="13.2" x14ac:dyDescent="0.25">
      <c r="A670" s="199"/>
      <c r="B670" s="220"/>
      <c r="C670" s="221"/>
      <c r="D670" s="222"/>
      <c r="E670" s="223"/>
      <c r="F670" s="209"/>
      <c r="G670" s="223"/>
      <c r="H670" s="223"/>
      <c r="I670" s="224"/>
      <c r="J670" s="21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</row>
    <row r="671" spans="1:29" ht="13.2" x14ac:dyDescent="0.25">
      <c r="A671" s="199"/>
      <c r="B671" s="220"/>
      <c r="C671" s="221"/>
      <c r="D671" s="222"/>
      <c r="E671" s="223"/>
      <c r="F671" s="209"/>
      <c r="G671" s="223"/>
      <c r="H671" s="223"/>
      <c r="I671" s="224"/>
      <c r="J671" s="21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</row>
    <row r="672" spans="1:29" ht="13.2" x14ac:dyDescent="0.25">
      <c r="A672" s="199"/>
      <c r="B672" s="220"/>
      <c r="C672" s="221"/>
      <c r="D672" s="222"/>
      <c r="E672" s="223"/>
      <c r="F672" s="209"/>
      <c r="G672" s="223"/>
      <c r="H672" s="223"/>
      <c r="I672" s="224"/>
      <c r="J672" s="21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</row>
    <row r="673" spans="1:29" ht="13.2" x14ac:dyDescent="0.25">
      <c r="A673" s="199"/>
      <c r="B673" s="220"/>
      <c r="C673" s="221"/>
      <c r="D673" s="222"/>
      <c r="E673" s="223"/>
      <c r="F673" s="209"/>
      <c r="G673" s="223"/>
      <c r="H673" s="223"/>
      <c r="I673" s="224"/>
      <c r="J673" s="21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</row>
    <row r="674" spans="1:29" ht="13.2" x14ac:dyDescent="0.25">
      <c r="A674" s="199"/>
      <c r="B674" s="220"/>
      <c r="C674" s="221"/>
      <c r="D674" s="222"/>
      <c r="E674" s="223"/>
      <c r="F674" s="209"/>
      <c r="G674" s="223"/>
      <c r="H674" s="223"/>
      <c r="I674" s="224"/>
      <c r="J674" s="21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</row>
    <row r="675" spans="1:29" ht="13.2" x14ac:dyDescent="0.25">
      <c r="A675" s="199"/>
      <c r="B675" s="220"/>
      <c r="C675" s="221"/>
      <c r="D675" s="222"/>
      <c r="E675" s="223"/>
      <c r="F675" s="209"/>
      <c r="G675" s="223"/>
      <c r="H675" s="223"/>
      <c r="I675" s="224"/>
      <c r="J675" s="21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</row>
    <row r="676" spans="1:29" ht="13.2" x14ac:dyDescent="0.25">
      <c r="A676" s="199"/>
      <c r="B676" s="220"/>
      <c r="C676" s="221"/>
      <c r="D676" s="222"/>
      <c r="E676" s="223"/>
      <c r="F676" s="209"/>
      <c r="G676" s="223"/>
      <c r="H676" s="223"/>
      <c r="I676" s="224"/>
      <c r="J676" s="21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</row>
    <row r="677" spans="1:29" ht="13.2" x14ac:dyDescent="0.25">
      <c r="A677" s="199"/>
      <c r="B677" s="220"/>
      <c r="C677" s="221"/>
      <c r="D677" s="222"/>
      <c r="E677" s="223"/>
      <c r="F677" s="209"/>
      <c r="G677" s="223"/>
      <c r="H677" s="223"/>
      <c r="I677" s="224"/>
      <c r="J677" s="21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</row>
    <row r="678" spans="1:29" ht="13.2" x14ac:dyDescent="0.25">
      <c r="A678" s="199"/>
      <c r="B678" s="220"/>
      <c r="C678" s="221"/>
      <c r="D678" s="222"/>
      <c r="E678" s="223"/>
      <c r="F678" s="209"/>
      <c r="G678" s="223"/>
      <c r="H678" s="223"/>
      <c r="I678" s="224"/>
      <c r="J678" s="21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</row>
    <row r="679" spans="1:29" ht="13.2" x14ac:dyDescent="0.25">
      <c r="A679" s="199"/>
      <c r="B679" s="220"/>
      <c r="C679" s="221"/>
      <c r="D679" s="222"/>
      <c r="E679" s="223"/>
      <c r="F679" s="209"/>
      <c r="G679" s="223"/>
      <c r="H679" s="223"/>
      <c r="I679" s="224"/>
      <c r="J679" s="21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</row>
    <row r="680" spans="1:29" ht="13.2" x14ac:dyDescent="0.25">
      <c r="A680" s="199"/>
      <c r="B680" s="220"/>
      <c r="C680" s="221"/>
      <c r="D680" s="222"/>
      <c r="E680" s="223"/>
      <c r="F680" s="209"/>
      <c r="G680" s="223"/>
      <c r="H680" s="223"/>
      <c r="I680" s="224"/>
      <c r="J680" s="21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</row>
    <row r="681" spans="1:29" ht="13.2" x14ac:dyDescent="0.25">
      <c r="A681" s="199"/>
      <c r="B681" s="220"/>
      <c r="C681" s="221"/>
      <c r="D681" s="222"/>
      <c r="E681" s="223"/>
      <c r="F681" s="209"/>
      <c r="G681" s="223"/>
      <c r="H681" s="223"/>
      <c r="I681" s="224"/>
      <c r="J681" s="21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</row>
    <row r="682" spans="1:29" ht="13.2" x14ac:dyDescent="0.25">
      <c r="A682" s="199"/>
      <c r="B682" s="220"/>
      <c r="C682" s="221"/>
      <c r="D682" s="222"/>
      <c r="E682" s="223"/>
      <c r="F682" s="209"/>
      <c r="G682" s="223"/>
      <c r="H682" s="223"/>
      <c r="I682" s="224"/>
      <c r="J682" s="21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</row>
    <row r="683" spans="1:29" ht="13.2" x14ac:dyDescent="0.25">
      <c r="A683" s="199"/>
      <c r="B683" s="220"/>
      <c r="C683" s="221"/>
      <c r="D683" s="222"/>
      <c r="E683" s="223"/>
      <c r="F683" s="209"/>
      <c r="G683" s="223"/>
      <c r="H683" s="223"/>
      <c r="I683" s="224"/>
      <c r="J683" s="21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</row>
    <row r="684" spans="1:29" ht="13.2" x14ac:dyDescent="0.25">
      <c r="A684" s="199"/>
      <c r="B684" s="220"/>
      <c r="C684" s="221"/>
      <c r="D684" s="222"/>
      <c r="E684" s="223"/>
      <c r="F684" s="209"/>
      <c r="G684" s="223"/>
      <c r="H684" s="223"/>
      <c r="I684" s="224"/>
      <c r="J684" s="21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</row>
    <row r="685" spans="1:29" ht="13.2" x14ac:dyDescent="0.25">
      <c r="A685" s="199"/>
      <c r="B685" s="220"/>
      <c r="C685" s="221"/>
      <c r="D685" s="222"/>
      <c r="E685" s="223"/>
      <c r="F685" s="209"/>
      <c r="G685" s="223"/>
      <c r="H685" s="223"/>
      <c r="I685" s="224"/>
      <c r="J685" s="21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</row>
    <row r="686" spans="1:29" ht="13.2" x14ac:dyDescent="0.25">
      <c r="A686" s="199"/>
      <c r="B686" s="220"/>
      <c r="C686" s="221"/>
      <c r="D686" s="222"/>
      <c r="E686" s="223"/>
      <c r="F686" s="209"/>
      <c r="G686" s="223"/>
      <c r="H686" s="223"/>
      <c r="I686" s="224"/>
      <c r="J686" s="21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</row>
    <row r="687" spans="1:29" ht="13.2" x14ac:dyDescent="0.25">
      <c r="A687" s="199"/>
      <c r="B687" s="220"/>
      <c r="C687" s="221"/>
      <c r="D687" s="222"/>
      <c r="E687" s="223"/>
      <c r="F687" s="209"/>
      <c r="G687" s="223"/>
      <c r="H687" s="223"/>
      <c r="I687" s="224"/>
      <c r="J687" s="21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</row>
    <row r="688" spans="1:29" ht="13.2" x14ac:dyDescent="0.25">
      <c r="A688" s="199"/>
      <c r="B688" s="220"/>
      <c r="C688" s="221"/>
      <c r="D688" s="222"/>
      <c r="E688" s="223"/>
      <c r="F688" s="209"/>
      <c r="G688" s="223"/>
      <c r="H688" s="223"/>
      <c r="I688" s="224"/>
      <c r="J688" s="21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</row>
    <row r="689" spans="1:29" ht="13.2" x14ac:dyDescent="0.25">
      <c r="A689" s="199"/>
      <c r="B689" s="220"/>
      <c r="C689" s="221"/>
      <c r="D689" s="222"/>
      <c r="E689" s="223"/>
      <c r="F689" s="209"/>
      <c r="G689" s="223"/>
      <c r="H689" s="223"/>
      <c r="I689" s="224"/>
      <c r="J689" s="21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</row>
    <row r="690" spans="1:29" ht="13.2" x14ac:dyDescent="0.25">
      <c r="A690" s="199"/>
      <c r="B690" s="220"/>
      <c r="C690" s="221"/>
      <c r="D690" s="222"/>
      <c r="E690" s="223"/>
      <c r="F690" s="209"/>
      <c r="G690" s="223"/>
      <c r="H690" s="223"/>
      <c r="I690" s="224"/>
      <c r="J690" s="21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</row>
    <row r="691" spans="1:29" ht="13.2" x14ac:dyDescent="0.25">
      <c r="A691" s="199"/>
      <c r="B691" s="220"/>
      <c r="C691" s="221"/>
      <c r="D691" s="222"/>
      <c r="E691" s="223"/>
      <c r="F691" s="209"/>
      <c r="G691" s="223"/>
      <c r="H691" s="223"/>
      <c r="I691" s="224"/>
      <c r="J691" s="21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</row>
    <row r="692" spans="1:29" ht="13.2" x14ac:dyDescent="0.25">
      <c r="A692" s="199"/>
      <c r="B692" s="220"/>
      <c r="C692" s="221"/>
      <c r="D692" s="222"/>
      <c r="E692" s="223"/>
      <c r="F692" s="209"/>
      <c r="G692" s="223"/>
      <c r="H692" s="223"/>
      <c r="I692" s="224"/>
      <c r="J692" s="21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</row>
    <row r="693" spans="1:29" ht="13.2" x14ac:dyDescent="0.25">
      <c r="A693" s="199"/>
      <c r="B693" s="220"/>
      <c r="C693" s="221"/>
      <c r="D693" s="222"/>
      <c r="E693" s="223"/>
      <c r="F693" s="209"/>
      <c r="G693" s="223"/>
      <c r="H693" s="223"/>
      <c r="I693" s="224"/>
      <c r="J693" s="21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</row>
    <row r="694" spans="1:29" ht="13.2" x14ac:dyDescent="0.25">
      <c r="A694" s="199"/>
      <c r="B694" s="220"/>
      <c r="C694" s="221"/>
      <c r="D694" s="222"/>
      <c r="E694" s="223"/>
      <c r="F694" s="209"/>
      <c r="G694" s="223"/>
      <c r="H694" s="223"/>
      <c r="I694" s="224"/>
      <c r="J694" s="21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</row>
    <row r="695" spans="1:29" ht="13.2" x14ac:dyDescent="0.25">
      <c r="A695" s="199"/>
      <c r="B695" s="220"/>
      <c r="C695" s="221"/>
      <c r="D695" s="222"/>
      <c r="E695" s="223"/>
      <c r="F695" s="209"/>
      <c r="G695" s="223"/>
      <c r="H695" s="223"/>
      <c r="I695" s="224"/>
      <c r="J695" s="21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</row>
    <row r="696" spans="1:29" ht="13.2" x14ac:dyDescent="0.25">
      <c r="A696" s="199"/>
      <c r="B696" s="220"/>
      <c r="C696" s="221"/>
      <c r="D696" s="222"/>
      <c r="E696" s="223"/>
      <c r="F696" s="209"/>
      <c r="G696" s="223"/>
      <c r="H696" s="223"/>
      <c r="I696" s="224"/>
      <c r="J696" s="21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</row>
    <row r="697" spans="1:29" ht="13.2" x14ac:dyDescent="0.25">
      <c r="A697" s="199"/>
      <c r="B697" s="220"/>
      <c r="C697" s="221"/>
      <c r="D697" s="222"/>
      <c r="E697" s="223"/>
      <c r="F697" s="209"/>
      <c r="G697" s="223"/>
      <c r="H697" s="223"/>
      <c r="I697" s="224"/>
      <c r="J697" s="21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</row>
    <row r="698" spans="1:29" ht="13.2" x14ac:dyDescent="0.25">
      <c r="A698" s="199"/>
      <c r="B698" s="220"/>
      <c r="C698" s="221"/>
      <c r="D698" s="222"/>
      <c r="E698" s="223"/>
      <c r="F698" s="209"/>
      <c r="G698" s="223"/>
      <c r="H698" s="223"/>
      <c r="I698" s="224"/>
      <c r="J698" s="21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</row>
    <row r="699" spans="1:29" ht="13.2" x14ac:dyDescent="0.25">
      <c r="A699" s="199"/>
      <c r="B699" s="220"/>
      <c r="C699" s="221"/>
      <c r="D699" s="222"/>
      <c r="E699" s="223"/>
      <c r="F699" s="209"/>
      <c r="G699" s="223"/>
      <c r="H699" s="223"/>
      <c r="I699" s="224"/>
      <c r="J699" s="21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</row>
    <row r="700" spans="1:29" ht="13.2" x14ac:dyDescent="0.25">
      <c r="A700" s="199"/>
      <c r="B700" s="220"/>
      <c r="C700" s="221"/>
      <c r="D700" s="222"/>
      <c r="E700" s="223"/>
      <c r="F700" s="209"/>
      <c r="G700" s="223"/>
      <c r="H700" s="223"/>
      <c r="I700" s="224"/>
      <c r="J700" s="21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</row>
    <row r="701" spans="1:29" ht="13.2" x14ac:dyDescent="0.25">
      <c r="A701" s="199"/>
      <c r="B701" s="220"/>
      <c r="C701" s="221"/>
      <c r="D701" s="222"/>
      <c r="E701" s="223"/>
      <c r="F701" s="209"/>
      <c r="G701" s="223"/>
      <c r="H701" s="223"/>
      <c r="I701" s="224"/>
      <c r="J701" s="21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</row>
    <row r="702" spans="1:29" ht="13.2" x14ac:dyDescent="0.25">
      <c r="A702" s="199"/>
      <c r="B702" s="220"/>
      <c r="C702" s="221"/>
      <c r="D702" s="222"/>
      <c r="E702" s="223"/>
      <c r="F702" s="209"/>
      <c r="G702" s="223"/>
      <c r="H702" s="223"/>
      <c r="I702" s="224"/>
      <c r="J702" s="21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</row>
    <row r="703" spans="1:29" ht="13.2" x14ac:dyDescent="0.25">
      <c r="A703" s="199"/>
      <c r="B703" s="220"/>
      <c r="C703" s="221"/>
      <c r="D703" s="222"/>
      <c r="E703" s="223"/>
      <c r="F703" s="209"/>
      <c r="G703" s="223"/>
      <c r="H703" s="223"/>
      <c r="I703" s="224"/>
      <c r="J703" s="21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</row>
    <row r="704" spans="1:29" ht="13.2" x14ac:dyDescent="0.25">
      <c r="A704" s="199"/>
      <c r="B704" s="220"/>
      <c r="C704" s="221"/>
      <c r="D704" s="222"/>
      <c r="E704" s="223"/>
      <c r="F704" s="209"/>
      <c r="G704" s="223"/>
      <c r="H704" s="223"/>
      <c r="I704" s="224"/>
      <c r="J704" s="21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</row>
    <row r="705" spans="1:29" ht="13.2" x14ac:dyDescent="0.25">
      <c r="A705" s="199"/>
      <c r="B705" s="220"/>
      <c r="C705" s="221"/>
      <c r="D705" s="222"/>
      <c r="E705" s="223"/>
      <c r="F705" s="209"/>
      <c r="G705" s="223"/>
      <c r="H705" s="223"/>
      <c r="I705" s="224"/>
      <c r="J705" s="21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</row>
    <row r="706" spans="1:29" ht="13.2" x14ac:dyDescent="0.25">
      <c r="A706" s="199"/>
      <c r="B706" s="220"/>
      <c r="C706" s="221"/>
      <c r="D706" s="222"/>
      <c r="E706" s="223"/>
      <c r="F706" s="209"/>
      <c r="G706" s="223"/>
      <c r="H706" s="223"/>
      <c r="I706" s="224"/>
      <c r="J706" s="21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</row>
    <row r="707" spans="1:29" ht="13.2" x14ac:dyDescent="0.25">
      <c r="A707" s="199"/>
      <c r="B707" s="220"/>
      <c r="C707" s="221"/>
      <c r="D707" s="222"/>
      <c r="E707" s="223"/>
      <c r="F707" s="209"/>
      <c r="G707" s="223"/>
      <c r="H707" s="223"/>
      <c r="I707" s="224"/>
      <c r="J707" s="21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</row>
    <row r="708" spans="1:29" ht="13.2" x14ac:dyDescent="0.25">
      <c r="A708" s="199"/>
      <c r="B708" s="220"/>
      <c r="C708" s="221"/>
      <c r="D708" s="222"/>
      <c r="E708" s="223"/>
      <c r="F708" s="209"/>
      <c r="G708" s="223"/>
      <c r="H708" s="223"/>
      <c r="I708" s="224"/>
      <c r="J708" s="21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</row>
    <row r="709" spans="1:29" ht="13.2" x14ac:dyDescent="0.25">
      <c r="A709" s="199"/>
      <c r="B709" s="220"/>
      <c r="C709" s="221"/>
      <c r="D709" s="222"/>
      <c r="E709" s="223"/>
      <c r="F709" s="209"/>
      <c r="G709" s="223"/>
      <c r="H709" s="223"/>
      <c r="I709" s="224"/>
      <c r="J709" s="21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</row>
    <row r="710" spans="1:29" ht="13.2" x14ac:dyDescent="0.25">
      <c r="A710" s="199"/>
      <c r="B710" s="220"/>
      <c r="C710" s="221"/>
      <c r="D710" s="222"/>
      <c r="E710" s="223"/>
      <c r="F710" s="209"/>
      <c r="G710" s="223"/>
      <c r="H710" s="223"/>
      <c r="I710" s="224"/>
      <c r="J710" s="21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</row>
    <row r="711" spans="1:29" ht="13.2" x14ac:dyDescent="0.25">
      <c r="A711" s="199"/>
      <c r="B711" s="220"/>
      <c r="C711" s="221"/>
      <c r="D711" s="222"/>
      <c r="E711" s="223"/>
      <c r="F711" s="209"/>
      <c r="G711" s="223"/>
      <c r="H711" s="223"/>
      <c r="I711" s="224"/>
      <c r="J711" s="21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</row>
    <row r="712" spans="1:29" ht="13.2" x14ac:dyDescent="0.25">
      <c r="A712" s="199"/>
      <c r="B712" s="220"/>
      <c r="C712" s="221"/>
      <c r="D712" s="222"/>
      <c r="E712" s="223"/>
      <c r="F712" s="209"/>
      <c r="G712" s="223"/>
      <c r="H712" s="223"/>
      <c r="I712" s="224"/>
      <c r="J712" s="21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</row>
    <row r="713" spans="1:29" ht="13.2" x14ac:dyDescent="0.25">
      <c r="A713" s="199"/>
      <c r="B713" s="220"/>
      <c r="C713" s="221"/>
      <c r="D713" s="222"/>
      <c r="E713" s="223"/>
      <c r="F713" s="209"/>
      <c r="G713" s="223"/>
      <c r="H713" s="223"/>
      <c r="I713" s="224"/>
      <c r="J713" s="21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</row>
    <row r="714" spans="1:29" ht="13.2" x14ac:dyDescent="0.25">
      <c r="A714" s="199"/>
      <c r="B714" s="220"/>
      <c r="C714" s="221"/>
      <c r="D714" s="222"/>
      <c r="E714" s="223"/>
      <c r="F714" s="209"/>
      <c r="G714" s="223"/>
      <c r="H714" s="223"/>
      <c r="I714" s="224"/>
      <c r="J714" s="21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</row>
    <row r="715" spans="1:29" ht="13.2" x14ac:dyDescent="0.25">
      <c r="A715" s="199"/>
      <c r="B715" s="220"/>
      <c r="C715" s="221"/>
      <c r="D715" s="222"/>
      <c r="E715" s="223"/>
      <c r="F715" s="209"/>
      <c r="G715" s="223"/>
      <c r="H715" s="223"/>
      <c r="I715" s="224"/>
      <c r="J715" s="21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</row>
    <row r="716" spans="1:29" ht="13.2" x14ac:dyDescent="0.25">
      <c r="A716" s="199"/>
      <c r="B716" s="220"/>
      <c r="C716" s="221"/>
      <c r="D716" s="222"/>
      <c r="E716" s="223"/>
      <c r="F716" s="209"/>
      <c r="G716" s="223"/>
      <c r="H716" s="223"/>
      <c r="I716" s="224"/>
      <c r="J716" s="21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</row>
    <row r="717" spans="1:29" ht="13.2" x14ac:dyDescent="0.25">
      <c r="A717" s="199"/>
      <c r="B717" s="220"/>
      <c r="C717" s="221"/>
      <c r="D717" s="222"/>
      <c r="E717" s="223"/>
      <c r="F717" s="209"/>
      <c r="G717" s="223"/>
      <c r="H717" s="223"/>
      <c r="I717" s="224"/>
      <c r="J717" s="21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</row>
    <row r="718" spans="1:29" ht="13.2" x14ac:dyDescent="0.25">
      <c r="A718" s="199"/>
      <c r="B718" s="220"/>
      <c r="C718" s="221"/>
      <c r="D718" s="222"/>
      <c r="E718" s="223"/>
      <c r="F718" s="209"/>
      <c r="G718" s="223"/>
      <c r="H718" s="223"/>
      <c r="I718" s="224"/>
      <c r="J718" s="21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</row>
    <row r="719" spans="1:29" ht="13.2" x14ac:dyDescent="0.25">
      <c r="A719" s="199"/>
      <c r="B719" s="220"/>
      <c r="C719" s="221"/>
      <c r="D719" s="222"/>
      <c r="E719" s="223"/>
      <c r="F719" s="209"/>
      <c r="G719" s="223"/>
      <c r="H719" s="223"/>
      <c r="I719" s="224"/>
      <c r="J719" s="21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</row>
    <row r="720" spans="1:29" ht="13.2" x14ac:dyDescent="0.25">
      <c r="A720" s="199"/>
      <c r="B720" s="220"/>
      <c r="C720" s="221"/>
      <c r="D720" s="222"/>
      <c r="E720" s="223"/>
      <c r="F720" s="209"/>
      <c r="G720" s="223"/>
      <c r="H720" s="223"/>
      <c r="I720" s="224"/>
      <c r="J720" s="21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</row>
    <row r="721" spans="1:29" ht="13.2" x14ac:dyDescent="0.25">
      <c r="A721" s="199"/>
      <c r="B721" s="220"/>
      <c r="C721" s="221"/>
      <c r="D721" s="222"/>
      <c r="E721" s="223"/>
      <c r="F721" s="209"/>
      <c r="G721" s="223"/>
      <c r="H721" s="223"/>
      <c r="I721" s="224"/>
      <c r="J721" s="21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</row>
    <row r="722" spans="1:29" ht="13.2" x14ac:dyDescent="0.25">
      <c r="A722" s="199"/>
      <c r="B722" s="220"/>
      <c r="C722" s="221"/>
      <c r="D722" s="222"/>
      <c r="E722" s="223"/>
      <c r="F722" s="209"/>
      <c r="G722" s="223"/>
      <c r="H722" s="223"/>
      <c r="I722" s="224"/>
      <c r="J722" s="21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</row>
    <row r="723" spans="1:29" ht="13.2" x14ac:dyDescent="0.25">
      <c r="A723" s="199"/>
      <c r="B723" s="220"/>
      <c r="C723" s="221"/>
      <c r="D723" s="222"/>
      <c r="E723" s="223"/>
      <c r="F723" s="209"/>
      <c r="G723" s="223"/>
      <c r="H723" s="223"/>
      <c r="I723" s="224"/>
      <c r="J723" s="21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</row>
    <row r="724" spans="1:29" ht="13.2" x14ac:dyDescent="0.25">
      <c r="A724" s="199"/>
      <c r="B724" s="220"/>
      <c r="C724" s="221"/>
      <c r="D724" s="222"/>
      <c r="E724" s="223"/>
      <c r="F724" s="209"/>
      <c r="G724" s="223"/>
      <c r="H724" s="223"/>
      <c r="I724" s="224"/>
      <c r="J724" s="21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</row>
    <row r="725" spans="1:29" ht="13.2" x14ac:dyDescent="0.25">
      <c r="A725" s="199"/>
      <c r="B725" s="220"/>
      <c r="C725" s="221"/>
      <c r="D725" s="222"/>
      <c r="E725" s="223"/>
      <c r="F725" s="209"/>
      <c r="G725" s="223"/>
      <c r="H725" s="223"/>
      <c r="I725" s="224"/>
      <c r="J725" s="21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</row>
    <row r="726" spans="1:29" ht="13.2" x14ac:dyDescent="0.25">
      <c r="A726" s="199"/>
      <c r="B726" s="220"/>
      <c r="C726" s="221"/>
      <c r="D726" s="222"/>
      <c r="E726" s="223"/>
      <c r="F726" s="209"/>
      <c r="G726" s="223"/>
      <c r="H726" s="223"/>
      <c r="I726" s="224"/>
      <c r="J726" s="21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</row>
    <row r="727" spans="1:29" ht="13.2" x14ac:dyDescent="0.25">
      <c r="A727" s="199"/>
      <c r="B727" s="220"/>
      <c r="C727" s="221"/>
      <c r="D727" s="222"/>
      <c r="E727" s="223"/>
      <c r="F727" s="209"/>
      <c r="G727" s="223"/>
      <c r="H727" s="223"/>
      <c r="I727" s="224"/>
      <c r="J727" s="21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</row>
    <row r="728" spans="1:29" ht="13.2" x14ac:dyDescent="0.25">
      <c r="A728" s="199"/>
      <c r="B728" s="220"/>
      <c r="C728" s="221"/>
      <c r="D728" s="222"/>
      <c r="E728" s="223"/>
      <c r="F728" s="209"/>
      <c r="G728" s="223"/>
      <c r="H728" s="223"/>
      <c r="I728" s="224"/>
      <c r="J728" s="21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</row>
    <row r="729" spans="1:29" ht="13.2" x14ac:dyDescent="0.25">
      <c r="A729" s="199"/>
      <c r="B729" s="220"/>
      <c r="C729" s="221"/>
      <c r="D729" s="222"/>
      <c r="E729" s="223"/>
      <c r="F729" s="209"/>
      <c r="G729" s="223"/>
      <c r="H729" s="223"/>
      <c r="I729" s="224"/>
      <c r="J729" s="21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</row>
    <row r="730" spans="1:29" ht="13.2" x14ac:dyDescent="0.25">
      <c r="A730" s="199"/>
      <c r="B730" s="220"/>
      <c r="C730" s="221"/>
      <c r="D730" s="222"/>
      <c r="E730" s="223"/>
      <c r="F730" s="209"/>
      <c r="G730" s="223"/>
      <c r="H730" s="223"/>
      <c r="I730" s="224"/>
      <c r="J730" s="21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</row>
    <row r="731" spans="1:29" ht="13.2" x14ac:dyDescent="0.25">
      <c r="A731" s="199"/>
      <c r="B731" s="220"/>
      <c r="C731" s="221"/>
      <c r="D731" s="222"/>
      <c r="E731" s="223"/>
      <c r="F731" s="209"/>
      <c r="G731" s="223"/>
      <c r="H731" s="223"/>
      <c r="I731" s="224"/>
      <c r="J731" s="21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</row>
    <row r="732" spans="1:29" ht="13.2" x14ac:dyDescent="0.25">
      <c r="A732" s="199"/>
      <c r="B732" s="220"/>
      <c r="C732" s="221"/>
      <c r="D732" s="222"/>
      <c r="E732" s="223"/>
      <c r="F732" s="209"/>
      <c r="G732" s="223"/>
      <c r="H732" s="223"/>
      <c r="I732" s="224"/>
      <c r="J732" s="21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</row>
    <row r="733" spans="1:29" ht="13.2" x14ac:dyDescent="0.25">
      <c r="A733" s="199"/>
      <c r="B733" s="220"/>
      <c r="C733" s="221"/>
      <c r="D733" s="222"/>
      <c r="E733" s="223"/>
      <c r="F733" s="209"/>
      <c r="G733" s="223"/>
      <c r="H733" s="223"/>
      <c r="I733" s="224"/>
      <c r="J733" s="21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</row>
    <row r="734" spans="1:29" ht="13.2" x14ac:dyDescent="0.25">
      <c r="A734" s="199"/>
      <c r="B734" s="220"/>
      <c r="C734" s="221"/>
      <c r="D734" s="222"/>
      <c r="E734" s="223"/>
      <c r="F734" s="209"/>
      <c r="G734" s="223"/>
      <c r="H734" s="223"/>
      <c r="I734" s="224"/>
      <c r="J734" s="21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</row>
    <row r="735" spans="1:29" ht="13.2" x14ac:dyDescent="0.25">
      <c r="A735" s="199"/>
      <c r="B735" s="220"/>
      <c r="C735" s="221"/>
      <c r="D735" s="222"/>
      <c r="E735" s="223"/>
      <c r="F735" s="209"/>
      <c r="G735" s="223"/>
      <c r="H735" s="223"/>
      <c r="I735" s="224"/>
      <c r="J735" s="21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</row>
    <row r="736" spans="1:29" ht="13.2" x14ac:dyDescent="0.25">
      <c r="A736" s="199"/>
      <c r="B736" s="220"/>
      <c r="C736" s="221"/>
      <c r="D736" s="222"/>
      <c r="E736" s="223"/>
      <c r="F736" s="209"/>
      <c r="G736" s="223"/>
      <c r="H736" s="223"/>
      <c r="I736" s="224"/>
      <c r="J736" s="21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</row>
    <row r="737" spans="1:29" ht="13.2" x14ac:dyDescent="0.25">
      <c r="A737" s="199"/>
      <c r="B737" s="220"/>
      <c r="C737" s="221"/>
      <c r="D737" s="222"/>
      <c r="E737" s="223"/>
      <c r="F737" s="209"/>
      <c r="G737" s="223"/>
      <c r="H737" s="223"/>
      <c r="I737" s="224"/>
      <c r="J737" s="21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</row>
    <row r="738" spans="1:29" ht="13.2" x14ac:dyDescent="0.25">
      <c r="A738" s="199"/>
      <c r="B738" s="220"/>
      <c r="C738" s="221"/>
      <c r="D738" s="222"/>
      <c r="E738" s="223"/>
      <c r="F738" s="209"/>
      <c r="G738" s="223"/>
      <c r="H738" s="223"/>
      <c r="I738" s="224"/>
      <c r="J738" s="21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</row>
    <row r="739" spans="1:29" ht="13.2" x14ac:dyDescent="0.25">
      <c r="A739" s="199"/>
      <c r="B739" s="220"/>
      <c r="C739" s="221"/>
      <c r="D739" s="222"/>
      <c r="E739" s="223"/>
      <c r="F739" s="209"/>
      <c r="G739" s="223"/>
      <c r="H739" s="223"/>
      <c r="I739" s="224"/>
      <c r="J739" s="21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</row>
    <row r="740" spans="1:29" ht="13.2" x14ac:dyDescent="0.25">
      <c r="A740" s="199"/>
      <c r="B740" s="220"/>
      <c r="C740" s="221"/>
      <c r="D740" s="222"/>
      <c r="E740" s="223"/>
      <c r="F740" s="209"/>
      <c r="G740" s="223"/>
      <c r="H740" s="223"/>
      <c r="I740" s="224"/>
      <c r="J740" s="21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</row>
    <row r="741" spans="1:29" ht="13.2" x14ac:dyDescent="0.25">
      <c r="A741" s="199"/>
      <c r="B741" s="220"/>
      <c r="C741" s="221"/>
      <c r="D741" s="222"/>
      <c r="E741" s="223"/>
      <c r="F741" s="209"/>
      <c r="G741" s="223"/>
      <c r="H741" s="223"/>
      <c r="I741" s="224"/>
      <c r="J741" s="21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</row>
    <row r="742" spans="1:29" ht="13.2" x14ac:dyDescent="0.25">
      <c r="A742" s="199"/>
      <c r="B742" s="220"/>
      <c r="C742" s="221"/>
      <c r="D742" s="222"/>
      <c r="E742" s="223"/>
      <c r="F742" s="209"/>
      <c r="G742" s="223"/>
      <c r="H742" s="223"/>
      <c r="I742" s="224"/>
      <c r="J742" s="21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</row>
    <row r="743" spans="1:29" ht="13.2" x14ac:dyDescent="0.25">
      <c r="A743" s="199"/>
      <c r="B743" s="220"/>
      <c r="C743" s="221"/>
      <c r="D743" s="222"/>
      <c r="E743" s="223"/>
      <c r="F743" s="209"/>
      <c r="G743" s="223"/>
      <c r="H743" s="223"/>
      <c r="I743" s="224"/>
      <c r="J743" s="21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</row>
    <row r="744" spans="1:29" ht="13.2" x14ac:dyDescent="0.25">
      <c r="A744" s="199"/>
      <c r="B744" s="220"/>
      <c r="C744" s="221"/>
      <c r="D744" s="222"/>
      <c r="E744" s="223"/>
      <c r="F744" s="209"/>
      <c r="G744" s="223"/>
      <c r="H744" s="223"/>
      <c r="I744" s="224"/>
      <c r="J744" s="21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</row>
    <row r="745" spans="1:29" ht="13.2" x14ac:dyDescent="0.25">
      <c r="A745" s="199"/>
      <c r="B745" s="220"/>
      <c r="C745" s="221"/>
      <c r="D745" s="222"/>
      <c r="E745" s="223"/>
      <c r="F745" s="209"/>
      <c r="G745" s="223"/>
      <c r="H745" s="223"/>
      <c r="I745" s="224"/>
      <c r="J745" s="21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</row>
    <row r="746" spans="1:29" ht="13.2" x14ac:dyDescent="0.25">
      <c r="A746" s="199"/>
      <c r="B746" s="220"/>
      <c r="C746" s="221"/>
      <c r="D746" s="222"/>
      <c r="E746" s="223"/>
      <c r="F746" s="209"/>
      <c r="G746" s="223"/>
      <c r="H746" s="223"/>
      <c r="I746" s="224"/>
      <c r="J746" s="21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</row>
    <row r="747" spans="1:29" ht="13.2" x14ac:dyDescent="0.25">
      <c r="A747" s="199"/>
      <c r="B747" s="220"/>
      <c r="C747" s="221"/>
      <c r="D747" s="222"/>
      <c r="E747" s="223"/>
      <c r="F747" s="209"/>
      <c r="G747" s="223"/>
      <c r="H747" s="223"/>
      <c r="I747" s="224"/>
      <c r="J747" s="21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</row>
    <row r="748" spans="1:29" ht="13.2" x14ac:dyDescent="0.25">
      <c r="A748" s="199"/>
      <c r="B748" s="220"/>
      <c r="C748" s="221"/>
      <c r="D748" s="222"/>
      <c r="E748" s="223"/>
      <c r="F748" s="209"/>
      <c r="G748" s="223"/>
      <c r="H748" s="223"/>
      <c r="I748" s="224"/>
      <c r="J748" s="21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</row>
    <row r="749" spans="1:29" ht="13.2" x14ac:dyDescent="0.25">
      <c r="A749" s="199"/>
      <c r="B749" s="220"/>
      <c r="C749" s="221"/>
      <c r="D749" s="222"/>
      <c r="E749" s="223"/>
      <c r="F749" s="209"/>
      <c r="G749" s="223"/>
      <c r="H749" s="223"/>
      <c r="I749" s="224"/>
      <c r="J749" s="21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</row>
    <row r="750" spans="1:29" ht="13.2" x14ac:dyDescent="0.25">
      <c r="A750" s="199"/>
      <c r="B750" s="220"/>
      <c r="C750" s="221"/>
      <c r="D750" s="222"/>
      <c r="E750" s="223"/>
      <c r="F750" s="209"/>
      <c r="G750" s="223"/>
      <c r="H750" s="223"/>
      <c r="I750" s="224"/>
      <c r="J750" s="21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</row>
    <row r="751" spans="1:29" ht="13.2" x14ac:dyDescent="0.25">
      <c r="A751" s="199"/>
      <c r="B751" s="220"/>
      <c r="C751" s="221"/>
      <c r="D751" s="222"/>
      <c r="E751" s="223"/>
      <c r="F751" s="209"/>
      <c r="G751" s="223"/>
      <c r="H751" s="223"/>
      <c r="I751" s="224"/>
      <c r="J751" s="21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</row>
    <row r="752" spans="1:29" ht="13.2" x14ac:dyDescent="0.25">
      <c r="A752" s="199"/>
      <c r="B752" s="220"/>
      <c r="C752" s="221"/>
      <c r="D752" s="222"/>
      <c r="E752" s="223"/>
      <c r="F752" s="209"/>
      <c r="G752" s="223"/>
      <c r="H752" s="223"/>
      <c r="I752" s="224"/>
      <c r="J752" s="21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</row>
    <row r="753" spans="1:29" ht="13.2" x14ac:dyDescent="0.25">
      <c r="A753" s="199"/>
      <c r="B753" s="220"/>
      <c r="C753" s="221"/>
      <c r="D753" s="222"/>
      <c r="E753" s="223"/>
      <c r="F753" s="209"/>
      <c r="G753" s="223"/>
      <c r="H753" s="223"/>
      <c r="I753" s="224"/>
      <c r="J753" s="21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</row>
    <row r="754" spans="1:29" ht="13.2" x14ac:dyDescent="0.25">
      <c r="A754" s="199"/>
      <c r="B754" s="220"/>
      <c r="C754" s="221"/>
      <c r="D754" s="222"/>
      <c r="E754" s="223"/>
      <c r="F754" s="209"/>
      <c r="G754" s="223"/>
      <c r="H754" s="223"/>
      <c r="I754" s="224"/>
      <c r="J754" s="21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</row>
    <row r="755" spans="1:29" ht="13.2" x14ac:dyDescent="0.25">
      <c r="A755" s="199"/>
      <c r="B755" s="220"/>
      <c r="C755" s="221"/>
      <c r="D755" s="222"/>
      <c r="E755" s="223"/>
      <c r="F755" s="209"/>
      <c r="G755" s="223"/>
      <c r="H755" s="223"/>
      <c r="I755" s="224"/>
      <c r="J755" s="21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</row>
    <row r="756" spans="1:29" ht="13.2" x14ac:dyDescent="0.25">
      <c r="A756" s="199"/>
      <c r="B756" s="220"/>
      <c r="C756" s="221"/>
      <c r="D756" s="222"/>
      <c r="E756" s="223"/>
      <c r="F756" s="209"/>
      <c r="G756" s="223"/>
      <c r="H756" s="223"/>
      <c r="I756" s="224"/>
      <c r="J756" s="21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</row>
    <row r="757" spans="1:29" ht="13.2" x14ac:dyDescent="0.25">
      <c r="A757" s="199"/>
      <c r="B757" s="220"/>
      <c r="C757" s="221"/>
      <c r="D757" s="222"/>
      <c r="E757" s="223"/>
      <c r="F757" s="209"/>
      <c r="G757" s="223"/>
      <c r="H757" s="223"/>
      <c r="I757" s="224"/>
      <c r="J757" s="21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</row>
    <row r="758" spans="1:29" ht="13.2" x14ac:dyDescent="0.25">
      <c r="A758" s="199"/>
      <c r="B758" s="220"/>
      <c r="C758" s="221"/>
      <c r="D758" s="222"/>
      <c r="E758" s="223"/>
      <c r="F758" s="209"/>
      <c r="G758" s="223"/>
      <c r="H758" s="223"/>
      <c r="I758" s="224"/>
      <c r="J758" s="21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</row>
    <row r="759" spans="1:29" ht="13.2" x14ac:dyDescent="0.25">
      <c r="A759" s="199"/>
      <c r="B759" s="220"/>
      <c r="C759" s="221"/>
      <c r="D759" s="222"/>
      <c r="E759" s="223"/>
      <c r="F759" s="209"/>
      <c r="G759" s="223"/>
      <c r="H759" s="223"/>
      <c r="I759" s="224"/>
      <c r="J759" s="21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</row>
    <row r="760" spans="1:29" ht="13.2" x14ac:dyDescent="0.25">
      <c r="A760" s="199"/>
      <c r="B760" s="220"/>
      <c r="C760" s="221"/>
      <c r="D760" s="222"/>
      <c r="E760" s="223"/>
      <c r="F760" s="209"/>
      <c r="G760" s="223"/>
      <c r="H760" s="223"/>
      <c r="I760" s="224"/>
      <c r="J760" s="21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</row>
    <row r="761" spans="1:29" ht="13.2" x14ac:dyDescent="0.25">
      <c r="A761" s="199"/>
      <c r="B761" s="220"/>
      <c r="C761" s="221"/>
      <c r="D761" s="222"/>
      <c r="E761" s="223"/>
      <c r="F761" s="209"/>
      <c r="G761" s="223"/>
      <c r="H761" s="223"/>
      <c r="I761" s="224"/>
      <c r="J761" s="21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</row>
    <row r="762" spans="1:29" ht="13.2" x14ac:dyDescent="0.25">
      <c r="A762" s="199"/>
      <c r="B762" s="220"/>
      <c r="C762" s="221"/>
      <c r="D762" s="222"/>
      <c r="E762" s="223"/>
      <c r="F762" s="209"/>
      <c r="G762" s="223"/>
      <c r="H762" s="223"/>
      <c r="I762" s="224"/>
      <c r="J762" s="21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</row>
    <row r="763" spans="1:29" ht="13.2" x14ac:dyDescent="0.25">
      <c r="A763" s="199"/>
      <c r="B763" s="220"/>
      <c r="C763" s="221"/>
      <c r="D763" s="222"/>
      <c r="E763" s="223"/>
      <c r="F763" s="209"/>
      <c r="G763" s="223"/>
      <c r="H763" s="223"/>
      <c r="I763" s="224"/>
      <c r="J763" s="21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</row>
    <row r="764" spans="1:29" ht="13.2" x14ac:dyDescent="0.25">
      <c r="A764" s="199"/>
      <c r="B764" s="220"/>
      <c r="C764" s="221"/>
      <c r="D764" s="222"/>
      <c r="E764" s="223"/>
      <c r="F764" s="209"/>
      <c r="G764" s="223"/>
      <c r="H764" s="223"/>
      <c r="I764" s="224"/>
      <c r="J764" s="21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</row>
    <row r="765" spans="1:29" ht="13.2" x14ac:dyDescent="0.25">
      <c r="A765" s="199"/>
      <c r="B765" s="220"/>
      <c r="C765" s="221"/>
      <c r="D765" s="222"/>
      <c r="E765" s="223"/>
      <c r="F765" s="209"/>
      <c r="G765" s="223"/>
      <c r="H765" s="223"/>
      <c r="I765" s="224"/>
      <c r="J765" s="21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</row>
    <row r="766" spans="1:29" ht="13.2" x14ac:dyDescent="0.25">
      <c r="A766" s="199"/>
      <c r="B766" s="220"/>
      <c r="C766" s="221"/>
      <c r="D766" s="222"/>
      <c r="E766" s="223"/>
      <c r="F766" s="209"/>
      <c r="G766" s="223"/>
      <c r="H766" s="223"/>
      <c r="I766" s="224"/>
      <c r="J766" s="21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</row>
    <row r="767" spans="1:29" ht="13.2" x14ac:dyDescent="0.25">
      <c r="A767" s="199"/>
      <c r="B767" s="220"/>
      <c r="C767" s="221"/>
      <c r="D767" s="222"/>
      <c r="E767" s="223"/>
      <c r="F767" s="209"/>
      <c r="G767" s="223"/>
      <c r="H767" s="223"/>
      <c r="I767" s="224"/>
      <c r="J767" s="21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</row>
    <row r="768" spans="1:29" ht="13.2" x14ac:dyDescent="0.25">
      <c r="A768" s="199"/>
      <c r="B768" s="220"/>
      <c r="C768" s="221"/>
      <c r="D768" s="222"/>
      <c r="E768" s="223"/>
      <c r="F768" s="209"/>
      <c r="G768" s="223"/>
      <c r="H768" s="223"/>
      <c r="I768" s="224"/>
      <c r="J768" s="21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</row>
    <row r="769" spans="1:29" ht="13.2" x14ac:dyDescent="0.25">
      <c r="A769" s="199"/>
      <c r="B769" s="220"/>
      <c r="C769" s="221"/>
      <c r="D769" s="222"/>
      <c r="E769" s="223"/>
      <c r="F769" s="209"/>
      <c r="G769" s="223"/>
      <c r="H769" s="223"/>
      <c r="I769" s="224"/>
      <c r="J769" s="21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</row>
    <row r="770" spans="1:29" ht="13.2" x14ac:dyDescent="0.25">
      <c r="A770" s="199"/>
      <c r="B770" s="220"/>
      <c r="C770" s="221"/>
      <c r="D770" s="222"/>
      <c r="E770" s="223"/>
      <c r="F770" s="209"/>
      <c r="G770" s="223"/>
      <c r="H770" s="223"/>
      <c r="I770" s="224"/>
      <c r="J770" s="21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</row>
    <row r="771" spans="1:29" ht="13.2" x14ac:dyDescent="0.25">
      <c r="A771" s="199"/>
      <c r="B771" s="220"/>
      <c r="C771" s="221"/>
      <c r="D771" s="222"/>
      <c r="E771" s="223"/>
      <c r="F771" s="209"/>
      <c r="G771" s="223"/>
      <c r="H771" s="223"/>
      <c r="I771" s="224"/>
      <c r="J771" s="21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</row>
    <row r="772" spans="1:29" ht="13.2" x14ac:dyDescent="0.25">
      <c r="A772" s="199"/>
      <c r="B772" s="220"/>
      <c r="C772" s="221"/>
      <c r="D772" s="222"/>
      <c r="E772" s="223"/>
      <c r="F772" s="209"/>
      <c r="G772" s="223"/>
      <c r="H772" s="223"/>
      <c r="I772" s="224"/>
      <c r="J772" s="21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</row>
    <row r="773" spans="1:29" ht="13.2" x14ac:dyDescent="0.25">
      <c r="A773" s="199"/>
      <c r="B773" s="220"/>
      <c r="C773" s="221"/>
      <c r="D773" s="222"/>
      <c r="E773" s="223"/>
      <c r="F773" s="209"/>
      <c r="G773" s="223"/>
      <c r="H773" s="223"/>
      <c r="I773" s="224"/>
      <c r="J773" s="21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</row>
    <row r="774" spans="1:29" ht="13.2" x14ac:dyDescent="0.25">
      <c r="A774" s="199"/>
      <c r="B774" s="220"/>
      <c r="C774" s="221"/>
      <c r="D774" s="222"/>
      <c r="E774" s="223"/>
      <c r="F774" s="209"/>
      <c r="G774" s="223"/>
      <c r="H774" s="223"/>
      <c r="I774" s="224"/>
      <c r="J774" s="21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</row>
    <row r="775" spans="1:29" ht="13.2" x14ac:dyDescent="0.25">
      <c r="A775" s="199"/>
      <c r="B775" s="220"/>
      <c r="C775" s="221"/>
      <c r="D775" s="222"/>
      <c r="E775" s="223"/>
      <c r="F775" s="209"/>
      <c r="G775" s="223"/>
      <c r="H775" s="223"/>
      <c r="I775" s="224"/>
      <c r="J775" s="21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</row>
    <row r="776" spans="1:29" ht="13.2" x14ac:dyDescent="0.25">
      <c r="A776" s="199"/>
      <c r="B776" s="220"/>
      <c r="C776" s="221"/>
      <c r="D776" s="222"/>
      <c r="E776" s="223"/>
      <c r="F776" s="209"/>
      <c r="G776" s="223"/>
      <c r="H776" s="223"/>
      <c r="I776" s="224"/>
      <c r="J776" s="21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</row>
    <row r="777" spans="1:29" ht="13.2" x14ac:dyDescent="0.25">
      <c r="A777" s="199"/>
      <c r="B777" s="220"/>
      <c r="C777" s="221"/>
      <c r="D777" s="222"/>
      <c r="E777" s="223"/>
      <c r="F777" s="209"/>
      <c r="G777" s="223"/>
      <c r="H777" s="223"/>
      <c r="I777" s="224"/>
      <c r="J777" s="21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</row>
    <row r="778" spans="1:29" ht="13.2" x14ac:dyDescent="0.25">
      <c r="A778" s="199"/>
      <c r="B778" s="220"/>
      <c r="C778" s="221"/>
      <c r="D778" s="222"/>
      <c r="E778" s="223"/>
      <c r="F778" s="209"/>
      <c r="G778" s="223"/>
      <c r="H778" s="223"/>
      <c r="I778" s="224"/>
      <c r="J778" s="21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</row>
    <row r="779" spans="1:29" ht="13.2" x14ac:dyDescent="0.25">
      <c r="A779" s="199"/>
      <c r="B779" s="220"/>
      <c r="C779" s="221"/>
      <c r="D779" s="222"/>
      <c r="E779" s="223"/>
      <c r="F779" s="209"/>
      <c r="G779" s="223"/>
      <c r="H779" s="223"/>
      <c r="I779" s="224"/>
      <c r="J779" s="21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</row>
    <row r="780" spans="1:29" ht="13.2" x14ac:dyDescent="0.25">
      <c r="A780" s="199"/>
      <c r="B780" s="220"/>
      <c r="C780" s="221"/>
      <c r="D780" s="222"/>
      <c r="E780" s="223"/>
      <c r="F780" s="209"/>
      <c r="G780" s="223"/>
      <c r="H780" s="223"/>
      <c r="I780" s="224"/>
      <c r="J780" s="21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</row>
    <row r="781" spans="1:29" ht="13.2" x14ac:dyDescent="0.25">
      <c r="A781" s="199"/>
      <c r="B781" s="220"/>
      <c r="C781" s="221"/>
      <c r="D781" s="222"/>
      <c r="E781" s="223"/>
      <c r="F781" s="209"/>
      <c r="G781" s="223"/>
      <c r="H781" s="223"/>
      <c r="I781" s="224"/>
      <c r="J781" s="21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</row>
    <row r="782" spans="1:29" ht="13.2" x14ac:dyDescent="0.25">
      <c r="A782" s="199"/>
      <c r="B782" s="220"/>
      <c r="C782" s="221"/>
      <c r="D782" s="222"/>
      <c r="E782" s="223"/>
      <c r="F782" s="209"/>
      <c r="G782" s="223"/>
      <c r="H782" s="223"/>
      <c r="I782" s="224"/>
      <c r="J782" s="21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</row>
    <row r="783" spans="1:29" ht="13.2" x14ac:dyDescent="0.25">
      <c r="A783" s="199"/>
      <c r="B783" s="220"/>
      <c r="C783" s="221"/>
      <c r="D783" s="222"/>
      <c r="E783" s="223"/>
      <c r="F783" s="209"/>
      <c r="G783" s="223"/>
      <c r="H783" s="223"/>
      <c r="I783" s="224"/>
      <c r="J783" s="21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</row>
    <row r="784" spans="1:29" ht="13.2" x14ac:dyDescent="0.25">
      <c r="A784" s="199"/>
      <c r="B784" s="220"/>
      <c r="C784" s="221"/>
      <c r="D784" s="222"/>
      <c r="E784" s="223"/>
      <c r="F784" s="209"/>
      <c r="G784" s="223"/>
      <c r="H784" s="223"/>
      <c r="I784" s="224"/>
      <c r="J784" s="21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</row>
    <row r="785" spans="1:29" ht="13.2" x14ac:dyDescent="0.25">
      <c r="A785" s="199"/>
      <c r="B785" s="220"/>
      <c r="C785" s="221"/>
      <c r="D785" s="222"/>
      <c r="E785" s="223"/>
      <c r="F785" s="209"/>
      <c r="G785" s="223"/>
      <c r="H785" s="223"/>
      <c r="I785" s="224"/>
      <c r="J785" s="21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</row>
    <row r="786" spans="1:29" ht="13.2" x14ac:dyDescent="0.25">
      <c r="A786" s="199"/>
      <c r="B786" s="220"/>
      <c r="C786" s="221"/>
      <c r="D786" s="222"/>
      <c r="E786" s="223"/>
      <c r="F786" s="209"/>
      <c r="G786" s="223"/>
      <c r="H786" s="223"/>
      <c r="I786" s="224"/>
      <c r="J786" s="21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</row>
    <row r="787" spans="1:29" ht="13.2" x14ac:dyDescent="0.25">
      <c r="A787" s="199"/>
      <c r="B787" s="220"/>
      <c r="C787" s="221"/>
      <c r="D787" s="222"/>
      <c r="E787" s="223"/>
      <c r="F787" s="209"/>
      <c r="G787" s="223"/>
      <c r="H787" s="223"/>
      <c r="I787" s="224"/>
      <c r="J787" s="21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</row>
    <row r="788" spans="1:29" ht="13.2" x14ac:dyDescent="0.25">
      <c r="A788" s="199"/>
      <c r="B788" s="220"/>
      <c r="C788" s="221"/>
      <c r="D788" s="222"/>
      <c r="E788" s="223"/>
      <c r="F788" s="209"/>
      <c r="G788" s="223"/>
      <c r="H788" s="223"/>
      <c r="I788" s="224"/>
      <c r="J788" s="21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</row>
    <row r="789" spans="1:29" ht="13.2" x14ac:dyDescent="0.25">
      <c r="A789" s="199"/>
      <c r="B789" s="220"/>
      <c r="C789" s="221"/>
      <c r="D789" s="222"/>
      <c r="E789" s="223"/>
      <c r="F789" s="209"/>
      <c r="G789" s="223"/>
      <c r="H789" s="223"/>
      <c r="I789" s="224"/>
      <c r="J789" s="21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</row>
    <row r="790" spans="1:29" ht="13.2" x14ac:dyDescent="0.25">
      <c r="A790" s="199"/>
      <c r="B790" s="220"/>
      <c r="C790" s="221"/>
      <c r="D790" s="222"/>
      <c r="E790" s="223"/>
      <c r="F790" s="209"/>
      <c r="G790" s="223"/>
      <c r="H790" s="223"/>
      <c r="I790" s="224"/>
      <c r="J790" s="21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</row>
    <row r="791" spans="1:29" ht="13.2" x14ac:dyDescent="0.25">
      <c r="A791" s="199"/>
      <c r="B791" s="220"/>
      <c r="C791" s="221"/>
      <c r="D791" s="222"/>
      <c r="E791" s="223"/>
      <c r="F791" s="209"/>
      <c r="G791" s="223"/>
      <c r="H791" s="223"/>
      <c r="I791" s="224"/>
      <c r="J791" s="21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</row>
    <row r="792" spans="1:29" ht="13.2" x14ac:dyDescent="0.25">
      <c r="A792" s="199"/>
      <c r="B792" s="220"/>
      <c r="C792" s="221"/>
      <c r="D792" s="222"/>
      <c r="E792" s="223"/>
      <c r="F792" s="209"/>
      <c r="G792" s="223"/>
      <c r="H792" s="223"/>
      <c r="I792" s="224"/>
      <c r="J792" s="21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</row>
    <row r="793" spans="1:29" ht="13.2" x14ac:dyDescent="0.25">
      <c r="A793" s="199"/>
      <c r="B793" s="220"/>
      <c r="C793" s="221"/>
      <c r="D793" s="222"/>
      <c r="E793" s="223"/>
      <c r="F793" s="209"/>
      <c r="G793" s="223"/>
      <c r="H793" s="223"/>
      <c r="I793" s="224"/>
      <c r="J793" s="21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</row>
    <row r="794" spans="1:29" ht="13.2" x14ac:dyDescent="0.25">
      <c r="A794" s="199"/>
      <c r="B794" s="220"/>
      <c r="C794" s="221"/>
      <c r="D794" s="222"/>
      <c r="E794" s="223"/>
      <c r="F794" s="209"/>
      <c r="G794" s="223"/>
      <c r="H794" s="223"/>
      <c r="I794" s="224"/>
      <c r="J794" s="21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</row>
    <row r="795" spans="1:29" ht="13.2" x14ac:dyDescent="0.25">
      <c r="A795" s="199"/>
      <c r="B795" s="220"/>
      <c r="C795" s="221"/>
      <c r="D795" s="222"/>
      <c r="E795" s="223"/>
      <c r="F795" s="209"/>
      <c r="G795" s="223"/>
      <c r="H795" s="223"/>
      <c r="I795" s="224"/>
      <c r="J795" s="21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</row>
    <row r="796" spans="1:29" ht="13.2" x14ac:dyDescent="0.25">
      <c r="A796" s="199"/>
      <c r="B796" s="220"/>
      <c r="C796" s="221"/>
      <c r="D796" s="222"/>
      <c r="E796" s="223"/>
      <c r="F796" s="209"/>
      <c r="G796" s="223"/>
      <c r="H796" s="223"/>
      <c r="I796" s="224"/>
      <c r="J796" s="21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</row>
    <row r="797" spans="1:29" ht="13.2" x14ac:dyDescent="0.25">
      <c r="A797" s="199"/>
      <c r="B797" s="220"/>
      <c r="C797" s="221"/>
      <c r="D797" s="222"/>
      <c r="E797" s="223"/>
      <c r="F797" s="209"/>
      <c r="G797" s="223"/>
      <c r="H797" s="223"/>
      <c r="I797" s="224"/>
      <c r="J797" s="21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</row>
    <row r="798" spans="1:29" ht="13.2" x14ac:dyDescent="0.25">
      <c r="A798" s="199"/>
      <c r="B798" s="220"/>
      <c r="C798" s="221"/>
      <c r="D798" s="222"/>
      <c r="E798" s="223"/>
      <c r="F798" s="209"/>
      <c r="G798" s="223"/>
      <c r="H798" s="223"/>
      <c r="I798" s="224"/>
      <c r="J798" s="21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</row>
    <row r="799" spans="1:29" ht="13.2" x14ac:dyDescent="0.25">
      <c r="A799" s="199"/>
      <c r="B799" s="220"/>
      <c r="C799" s="221"/>
      <c r="D799" s="222"/>
      <c r="E799" s="223"/>
      <c r="F799" s="209"/>
      <c r="G799" s="223"/>
      <c r="H799" s="223"/>
      <c r="I799" s="224"/>
      <c r="J799" s="21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</row>
    <row r="800" spans="1:29" ht="13.2" x14ac:dyDescent="0.25">
      <c r="A800" s="199"/>
      <c r="B800" s="220"/>
      <c r="C800" s="221"/>
      <c r="D800" s="222"/>
      <c r="E800" s="223"/>
      <c r="F800" s="209"/>
      <c r="G800" s="223"/>
      <c r="H800" s="223"/>
      <c r="I800" s="224"/>
      <c r="J800" s="21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</row>
    <row r="801" spans="1:29" ht="13.2" x14ac:dyDescent="0.25">
      <c r="A801" s="199"/>
      <c r="B801" s="220"/>
      <c r="C801" s="221"/>
      <c r="D801" s="222"/>
      <c r="E801" s="223"/>
      <c r="F801" s="209"/>
      <c r="G801" s="223"/>
      <c r="H801" s="223"/>
      <c r="I801" s="224"/>
      <c r="J801" s="21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</row>
    <row r="802" spans="1:29" ht="13.2" x14ac:dyDescent="0.25">
      <c r="A802" s="199"/>
      <c r="B802" s="220"/>
      <c r="C802" s="221"/>
      <c r="D802" s="222"/>
      <c r="E802" s="223"/>
      <c r="F802" s="209"/>
      <c r="G802" s="223"/>
      <c r="H802" s="223"/>
      <c r="I802" s="224"/>
      <c r="J802" s="21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</row>
    <row r="803" spans="1:29" ht="13.2" x14ac:dyDescent="0.25">
      <c r="A803" s="199"/>
      <c r="B803" s="220"/>
      <c r="C803" s="221"/>
      <c r="D803" s="222"/>
      <c r="E803" s="223"/>
      <c r="F803" s="209"/>
      <c r="G803" s="223"/>
      <c r="H803" s="223"/>
      <c r="I803" s="224"/>
      <c r="J803" s="21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</row>
    <row r="804" spans="1:29" ht="13.2" x14ac:dyDescent="0.25">
      <c r="A804" s="199"/>
      <c r="B804" s="220"/>
      <c r="C804" s="221"/>
      <c r="D804" s="222"/>
      <c r="E804" s="223"/>
      <c r="F804" s="209"/>
      <c r="G804" s="223"/>
      <c r="H804" s="223"/>
      <c r="I804" s="224"/>
      <c r="J804" s="21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</row>
    <row r="805" spans="1:29" ht="13.2" x14ac:dyDescent="0.25">
      <c r="A805" s="199"/>
      <c r="B805" s="220"/>
      <c r="C805" s="221"/>
      <c r="D805" s="222"/>
      <c r="E805" s="223"/>
      <c r="F805" s="209"/>
      <c r="G805" s="223"/>
      <c r="H805" s="223"/>
      <c r="I805" s="224"/>
      <c r="J805" s="21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</row>
    <row r="806" spans="1:29" ht="13.2" x14ac:dyDescent="0.25">
      <c r="A806" s="199"/>
      <c r="B806" s="220"/>
      <c r="C806" s="221"/>
      <c r="D806" s="222"/>
      <c r="E806" s="223"/>
      <c r="F806" s="209"/>
      <c r="G806" s="223"/>
      <c r="H806" s="223"/>
      <c r="I806" s="224"/>
      <c r="J806" s="21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</row>
    <row r="807" spans="1:29" ht="13.2" x14ac:dyDescent="0.25">
      <c r="A807" s="199"/>
      <c r="B807" s="220"/>
      <c r="C807" s="221"/>
      <c r="D807" s="222"/>
      <c r="E807" s="223"/>
      <c r="F807" s="209"/>
      <c r="G807" s="223"/>
      <c r="H807" s="223"/>
      <c r="I807" s="224"/>
      <c r="J807" s="21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</row>
    <row r="808" spans="1:29" ht="13.2" x14ac:dyDescent="0.25">
      <c r="A808" s="199"/>
      <c r="B808" s="220"/>
      <c r="C808" s="221"/>
      <c r="D808" s="222"/>
      <c r="E808" s="223"/>
      <c r="F808" s="209"/>
      <c r="G808" s="223"/>
      <c r="H808" s="223"/>
      <c r="I808" s="224"/>
      <c r="J808" s="21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</row>
    <row r="809" spans="1:29" ht="13.2" x14ac:dyDescent="0.25">
      <c r="A809" s="199"/>
      <c r="B809" s="220"/>
      <c r="C809" s="221"/>
      <c r="D809" s="222"/>
      <c r="E809" s="223"/>
      <c r="F809" s="209"/>
      <c r="G809" s="223"/>
      <c r="H809" s="223"/>
      <c r="I809" s="224"/>
      <c r="J809" s="21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</row>
    <row r="810" spans="1:29" ht="13.2" x14ac:dyDescent="0.25">
      <c r="A810" s="199"/>
      <c r="B810" s="220"/>
      <c r="C810" s="221"/>
      <c r="D810" s="222"/>
      <c r="E810" s="223"/>
      <c r="F810" s="209"/>
      <c r="G810" s="223"/>
      <c r="H810" s="223"/>
      <c r="I810" s="224"/>
      <c r="J810" s="21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</row>
    <row r="811" spans="1:29" ht="13.2" x14ac:dyDescent="0.25">
      <c r="A811" s="199"/>
      <c r="B811" s="220"/>
      <c r="C811" s="221"/>
      <c r="D811" s="222"/>
      <c r="E811" s="223"/>
      <c r="F811" s="209"/>
      <c r="G811" s="223"/>
      <c r="H811" s="223"/>
      <c r="I811" s="224"/>
      <c r="J811" s="21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</row>
    <row r="812" spans="1:29" ht="13.2" x14ac:dyDescent="0.25">
      <c r="A812" s="199"/>
      <c r="B812" s="220"/>
      <c r="C812" s="221"/>
      <c r="D812" s="222"/>
      <c r="E812" s="223"/>
      <c r="F812" s="209"/>
      <c r="G812" s="223"/>
      <c r="H812" s="223"/>
      <c r="I812" s="224"/>
      <c r="J812" s="21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</row>
    <row r="813" spans="1:29" ht="13.2" x14ac:dyDescent="0.25">
      <c r="A813" s="199"/>
      <c r="B813" s="220"/>
      <c r="C813" s="221"/>
      <c r="D813" s="222"/>
      <c r="E813" s="223"/>
      <c r="F813" s="209"/>
      <c r="G813" s="223"/>
      <c r="H813" s="223"/>
      <c r="I813" s="224"/>
      <c r="J813" s="21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</row>
    <row r="814" spans="1:29" ht="13.2" x14ac:dyDescent="0.25">
      <c r="A814" s="199"/>
      <c r="B814" s="220"/>
      <c r="C814" s="221"/>
      <c r="D814" s="222"/>
      <c r="E814" s="223"/>
      <c r="F814" s="209"/>
      <c r="G814" s="223"/>
      <c r="H814" s="223"/>
      <c r="I814" s="224"/>
      <c r="J814" s="21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</row>
    <row r="815" spans="1:29" ht="13.2" x14ac:dyDescent="0.25">
      <c r="A815" s="199"/>
      <c r="B815" s="220"/>
      <c r="C815" s="221"/>
      <c r="D815" s="222"/>
      <c r="E815" s="223"/>
      <c r="F815" s="209"/>
      <c r="G815" s="223"/>
      <c r="H815" s="223"/>
      <c r="I815" s="224"/>
      <c r="J815" s="21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</row>
    <row r="816" spans="1:29" ht="13.2" x14ac:dyDescent="0.25">
      <c r="A816" s="199"/>
      <c r="B816" s="220"/>
      <c r="C816" s="221"/>
      <c r="D816" s="222"/>
      <c r="E816" s="223"/>
      <c r="F816" s="209"/>
      <c r="G816" s="223"/>
      <c r="H816" s="223"/>
      <c r="I816" s="224"/>
      <c r="J816" s="21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</row>
    <row r="817" spans="1:29" ht="13.2" x14ac:dyDescent="0.25">
      <c r="A817" s="199"/>
      <c r="B817" s="220"/>
      <c r="C817" s="221"/>
      <c r="D817" s="222"/>
      <c r="E817" s="223"/>
      <c r="F817" s="209"/>
      <c r="G817" s="223"/>
      <c r="H817" s="223"/>
      <c r="I817" s="224"/>
      <c r="J817" s="21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</row>
    <row r="818" spans="1:29" ht="13.2" x14ac:dyDescent="0.25">
      <c r="A818" s="199"/>
      <c r="B818" s="220"/>
      <c r="C818" s="221"/>
      <c r="D818" s="222"/>
      <c r="E818" s="223"/>
      <c r="F818" s="209"/>
      <c r="G818" s="223"/>
      <c r="H818" s="223"/>
      <c r="I818" s="224"/>
      <c r="J818" s="21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</row>
    <row r="819" spans="1:29" ht="13.2" x14ac:dyDescent="0.25">
      <c r="A819" s="199"/>
      <c r="B819" s="220"/>
      <c r="C819" s="221"/>
      <c r="D819" s="222"/>
      <c r="E819" s="223"/>
      <c r="F819" s="209"/>
      <c r="G819" s="223"/>
      <c r="H819" s="223"/>
      <c r="I819" s="224"/>
      <c r="J819" s="21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</row>
    <row r="820" spans="1:29" ht="13.2" x14ac:dyDescent="0.25">
      <c r="A820" s="199"/>
      <c r="B820" s="220"/>
      <c r="C820" s="221"/>
      <c r="D820" s="222"/>
      <c r="E820" s="223"/>
      <c r="F820" s="209"/>
      <c r="G820" s="223"/>
      <c r="H820" s="223"/>
      <c r="I820" s="224"/>
      <c r="J820" s="21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</row>
    <row r="821" spans="1:29" ht="13.2" x14ac:dyDescent="0.25">
      <c r="A821" s="199"/>
      <c r="B821" s="220"/>
      <c r="C821" s="221"/>
      <c r="D821" s="222"/>
      <c r="E821" s="223"/>
      <c r="F821" s="209"/>
      <c r="G821" s="223"/>
      <c r="H821" s="223"/>
      <c r="I821" s="224"/>
      <c r="J821" s="21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</row>
    <row r="822" spans="1:29" ht="13.2" x14ac:dyDescent="0.25">
      <c r="A822" s="199"/>
      <c r="B822" s="220"/>
      <c r="C822" s="221"/>
      <c r="D822" s="222"/>
      <c r="E822" s="223"/>
      <c r="F822" s="209"/>
      <c r="G822" s="223"/>
      <c r="H822" s="223"/>
      <c r="I822" s="224"/>
      <c r="J822" s="21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</row>
    <row r="823" spans="1:29" ht="13.2" x14ac:dyDescent="0.25">
      <c r="A823" s="199"/>
      <c r="B823" s="220"/>
      <c r="C823" s="221"/>
      <c r="D823" s="222"/>
      <c r="E823" s="223"/>
      <c r="F823" s="209"/>
      <c r="G823" s="223"/>
      <c r="H823" s="223"/>
      <c r="I823" s="224"/>
      <c r="J823" s="21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</row>
    <row r="824" spans="1:29" ht="13.2" x14ac:dyDescent="0.25">
      <c r="A824" s="199"/>
      <c r="B824" s="220"/>
      <c r="C824" s="221"/>
      <c r="D824" s="222"/>
      <c r="E824" s="223"/>
      <c r="F824" s="209"/>
      <c r="G824" s="223"/>
      <c r="H824" s="223"/>
      <c r="I824" s="224"/>
      <c r="J824" s="21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</row>
    <row r="825" spans="1:29" ht="13.2" x14ac:dyDescent="0.25">
      <c r="A825" s="199"/>
      <c r="B825" s="220"/>
      <c r="C825" s="221"/>
      <c r="D825" s="222"/>
      <c r="E825" s="223"/>
      <c r="F825" s="209"/>
      <c r="G825" s="223"/>
      <c r="H825" s="223"/>
      <c r="I825" s="224"/>
      <c r="J825" s="21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</row>
    <row r="826" spans="1:29" ht="13.2" x14ac:dyDescent="0.25">
      <c r="A826" s="199"/>
      <c r="B826" s="220"/>
      <c r="C826" s="221"/>
      <c r="D826" s="222"/>
      <c r="E826" s="223"/>
      <c r="F826" s="209"/>
      <c r="G826" s="223"/>
      <c r="H826" s="223"/>
      <c r="I826" s="224"/>
      <c r="J826" s="21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</row>
    <row r="827" spans="1:29" ht="13.2" x14ac:dyDescent="0.25">
      <c r="A827" s="199"/>
      <c r="B827" s="220"/>
      <c r="C827" s="221"/>
      <c r="D827" s="222"/>
      <c r="E827" s="223"/>
      <c r="F827" s="209"/>
      <c r="G827" s="223"/>
      <c r="H827" s="223"/>
      <c r="I827" s="224"/>
      <c r="J827" s="21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</row>
    <row r="828" spans="1:29" ht="13.2" x14ac:dyDescent="0.25">
      <c r="A828" s="199"/>
      <c r="B828" s="220"/>
      <c r="C828" s="221"/>
      <c r="D828" s="222"/>
      <c r="E828" s="223"/>
      <c r="F828" s="209"/>
      <c r="G828" s="223"/>
      <c r="H828" s="223"/>
      <c r="I828" s="224"/>
      <c r="J828" s="21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</row>
    <row r="829" spans="1:29" ht="13.2" x14ac:dyDescent="0.25">
      <c r="A829" s="199"/>
      <c r="B829" s="220"/>
      <c r="C829" s="221"/>
      <c r="D829" s="222"/>
      <c r="E829" s="223"/>
      <c r="F829" s="209"/>
      <c r="G829" s="223"/>
      <c r="H829" s="223"/>
      <c r="I829" s="224"/>
      <c r="J829" s="21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</row>
    <row r="830" spans="1:29" ht="13.2" x14ac:dyDescent="0.25">
      <c r="A830" s="199"/>
      <c r="B830" s="220"/>
      <c r="C830" s="221"/>
      <c r="D830" s="222"/>
      <c r="E830" s="223"/>
      <c r="F830" s="209"/>
      <c r="G830" s="223"/>
      <c r="H830" s="223"/>
      <c r="I830" s="224"/>
      <c r="J830" s="21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</row>
    <row r="831" spans="1:29" ht="13.2" x14ac:dyDescent="0.25">
      <c r="A831" s="199"/>
      <c r="B831" s="220"/>
      <c r="C831" s="221"/>
      <c r="D831" s="222"/>
      <c r="E831" s="223"/>
      <c r="F831" s="209"/>
      <c r="G831" s="223"/>
      <c r="H831" s="223"/>
      <c r="I831" s="224"/>
      <c r="J831" s="21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</row>
    <row r="832" spans="1:29" ht="13.2" x14ac:dyDescent="0.25">
      <c r="A832" s="199"/>
      <c r="B832" s="220"/>
      <c r="C832" s="221"/>
      <c r="D832" s="222"/>
      <c r="E832" s="223"/>
      <c r="F832" s="209"/>
      <c r="G832" s="223"/>
      <c r="H832" s="223"/>
      <c r="I832" s="224"/>
      <c r="J832" s="21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</row>
    <row r="833" spans="1:29" ht="13.2" x14ac:dyDescent="0.25">
      <c r="A833" s="199"/>
      <c r="B833" s="220"/>
      <c r="C833" s="221"/>
      <c r="D833" s="222"/>
      <c r="E833" s="223"/>
      <c r="F833" s="209"/>
      <c r="G833" s="223"/>
      <c r="H833" s="223"/>
      <c r="I833" s="224"/>
      <c r="J833" s="21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</row>
    <row r="834" spans="1:29" ht="13.2" x14ac:dyDescent="0.25">
      <c r="A834" s="199"/>
      <c r="B834" s="220"/>
      <c r="C834" s="221"/>
      <c r="D834" s="222"/>
      <c r="E834" s="223"/>
      <c r="F834" s="209"/>
      <c r="G834" s="223"/>
      <c r="H834" s="223"/>
      <c r="I834" s="224"/>
      <c r="J834" s="21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</row>
    <row r="835" spans="1:29" ht="13.2" x14ac:dyDescent="0.25">
      <c r="A835" s="199"/>
      <c r="B835" s="220"/>
      <c r="C835" s="221"/>
      <c r="D835" s="222"/>
      <c r="E835" s="223"/>
      <c r="F835" s="209"/>
      <c r="G835" s="223"/>
      <c r="H835" s="223"/>
      <c r="I835" s="224"/>
      <c r="J835" s="21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</row>
    <row r="836" spans="1:29" ht="13.2" x14ac:dyDescent="0.25">
      <c r="A836" s="199"/>
      <c r="B836" s="220"/>
      <c r="C836" s="221"/>
      <c r="D836" s="222"/>
      <c r="E836" s="223"/>
      <c r="F836" s="209"/>
      <c r="G836" s="223"/>
      <c r="H836" s="223"/>
      <c r="I836" s="224"/>
      <c r="J836" s="21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</row>
    <row r="837" spans="1:29" ht="13.2" x14ac:dyDescent="0.25">
      <c r="A837" s="199"/>
      <c r="B837" s="220"/>
      <c r="C837" s="221"/>
      <c r="D837" s="222"/>
      <c r="E837" s="223"/>
      <c r="F837" s="209"/>
      <c r="G837" s="223"/>
      <c r="H837" s="223"/>
      <c r="I837" s="224"/>
      <c r="J837" s="21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</row>
    <row r="838" spans="1:29" ht="13.2" x14ac:dyDescent="0.25">
      <c r="A838" s="199"/>
      <c r="B838" s="220"/>
      <c r="C838" s="221"/>
      <c r="D838" s="222"/>
      <c r="E838" s="223"/>
      <c r="F838" s="209"/>
      <c r="G838" s="223"/>
      <c r="H838" s="223"/>
      <c r="I838" s="224"/>
      <c r="J838" s="21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</row>
    <row r="839" spans="1:29" ht="13.2" x14ac:dyDescent="0.25">
      <c r="A839" s="199"/>
      <c r="B839" s="220"/>
      <c r="C839" s="221"/>
      <c r="D839" s="222"/>
      <c r="E839" s="223"/>
      <c r="F839" s="209"/>
      <c r="G839" s="223"/>
      <c r="H839" s="223"/>
      <c r="I839" s="224"/>
      <c r="J839" s="21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</row>
    <row r="840" spans="1:29" ht="13.2" x14ac:dyDescent="0.25">
      <c r="A840" s="199"/>
      <c r="B840" s="220"/>
      <c r="C840" s="221"/>
      <c r="D840" s="222"/>
      <c r="E840" s="223"/>
      <c r="F840" s="209"/>
      <c r="G840" s="223"/>
      <c r="H840" s="223"/>
      <c r="I840" s="224"/>
      <c r="J840" s="21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</row>
    <row r="841" spans="1:29" ht="13.2" x14ac:dyDescent="0.25">
      <c r="A841" s="199"/>
      <c r="B841" s="220"/>
      <c r="C841" s="221"/>
      <c r="D841" s="222"/>
      <c r="E841" s="223"/>
      <c r="F841" s="209"/>
      <c r="G841" s="223"/>
      <c r="H841" s="223"/>
      <c r="I841" s="224"/>
      <c r="J841" s="21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</row>
    <row r="842" spans="1:29" ht="13.2" x14ac:dyDescent="0.25">
      <c r="A842" s="199"/>
      <c r="B842" s="220"/>
      <c r="C842" s="221"/>
      <c r="D842" s="222"/>
      <c r="E842" s="223"/>
      <c r="F842" s="209"/>
      <c r="G842" s="223"/>
      <c r="H842" s="223"/>
      <c r="I842" s="224"/>
      <c r="J842" s="21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</row>
    <row r="843" spans="1:29" ht="13.2" x14ac:dyDescent="0.25">
      <c r="A843" s="199"/>
      <c r="B843" s="220"/>
      <c r="C843" s="221"/>
      <c r="D843" s="222"/>
      <c r="E843" s="223"/>
      <c r="F843" s="209"/>
      <c r="G843" s="223"/>
      <c r="H843" s="223"/>
      <c r="I843" s="224"/>
      <c r="J843" s="21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</row>
    <row r="844" spans="1:29" ht="13.2" x14ac:dyDescent="0.25">
      <c r="A844" s="199"/>
      <c r="B844" s="220"/>
      <c r="C844" s="221"/>
      <c r="D844" s="222"/>
      <c r="E844" s="223"/>
      <c r="F844" s="209"/>
      <c r="G844" s="223"/>
      <c r="H844" s="223"/>
      <c r="I844" s="224"/>
      <c r="J844" s="21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</row>
    <row r="845" spans="1:29" ht="13.2" x14ac:dyDescent="0.25">
      <c r="A845" s="199"/>
      <c r="B845" s="220"/>
      <c r="C845" s="221"/>
      <c r="D845" s="222"/>
      <c r="E845" s="223"/>
      <c r="F845" s="209"/>
      <c r="G845" s="223"/>
      <c r="H845" s="223"/>
      <c r="I845" s="224"/>
      <c r="J845" s="21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</row>
    <row r="846" spans="1:29" ht="13.2" x14ac:dyDescent="0.25">
      <c r="A846" s="199"/>
      <c r="B846" s="220"/>
      <c r="C846" s="221"/>
      <c r="D846" s="222"/>
      <c r="E846" s="223"/>
      <c r="F846" s="209"/>
      <c r="G846" s="223"/>
      <c r="H846" s="223"/>
      <c r="I846" s="224"/>
      <c r="J846" s="21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</row>
    <row r="847" spans="1:29" ht="13.2" x14ac:dyDescent="0.25">
      <c r="A847" s="199"/>
      <c r="B847" s="220"/>
      <c r="C847" s="221"/>
      <c r="D847" s="222"/>
      <c r="E847" s="223"/>
      <c r="F847" s="209"/>
      <c r="G847" s="223"/>
      <c r="H847" s="223"/>
      <c r="I847" s="224"/>
      <c r="J847" s="21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</row>
    <row r="848" spans="1:29" ht="13.2" x14ac:dyDescent="0.25">
      <c r="A848" s="199"/>
      <c r="B848" s="220"/>
      <c r="C848" s="221"/>
      <c r="D848" s="222"/>
      <c r="E848" s="223"/>
      <c r="F848" s="209"/>
      <c r="G848" s="223"/>
      <c r="H848" s="223"/>
      <c r="I848" s="224"/>
      <c r="J848" s="21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</row>
    <row r="849" spans="1:29" ht="13.2" x14ac:dyDescent="0.25">
      <c r="A849" s="199"/>
      <c r="B849" s="220"/>
      <c r="C849" s="221"/>
      <c r="D849" s="222"/>
      <c r="E849" s="223"/>
      <c r="F849" s="209"/>
      <c r="G849" s="223"/>
      <c r="H849" s="223"/>
      <c r="I849" s="224"/>
      <c r="J849" s="21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</row>
    <row r="850" spans="1:29" ht="13.2" x14ac:dyDescent="0.25">
      <c r="A850" s="199"/>
      <c r="B850" s="220"/>
      <c r="C850" s="221"/>
      <c r="D850" s="222"/>
      <c r="E850" s="223"/>
      <c r="F850" s="209"/>
      <c r="G850" s="223"/>
      <c r="H850" s="223"/>
      <c r="I850" s="224"/>
      <c r="J850" s="21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</row>
    <row r="851" spans="1:29" ht="13.2" x14ac:dyDescent="0.25">
      <c r="A851" s="199"/>
      <c r="B851" s="220"/>
      <c r="C851" s="221"/>
      <c r="D851" s="222"/>
      <c r="E851" s="223"/>
      <c r="F851" s="209"/>
      <c r="G851" s="223"/>
      <c r="H851" s="223"/>
      <c r="I851" s="224"/>
      <c r="J851" s="21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</row>
    <row r="852" spans="1:29" ht="13.2" x14ac:dyDescent="0.25">
      <c r="A852" s="199"/>
      <c r="B852" s="220"/>
      <c r="C852" s="221"/>
      <c r="D852" s="222"/>
      <c r="E852" s="223"/>
      <c r="F852" s="209"/>
      <c r="G852" s="223"/>
      <c r="H852" s="223"/>
      <c r="I852" s="224"/>
      <c r="J852" s="21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</row>
    <row r="853" spans="1:29" ht="13.2" x14ac:dyDescent="0.25">
      <c r="A853" s="199"/>
      <c r="B853" s="220"/>
      <c r="C853" s="221"/>
      <c r="D853" s="222"/>
      <c r="E853" s="223"/>
      <c r="F853" s="209"/>
      <c r="G853" s="223"/>
      <c r="H853" s="223"/>
      <c r="I853" s="224"/>
      <c r="J853" s="21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</row>
    <row r="854" spans="1:29" ht="13.2" x14ac:dyDescent="0.25">
      <c r="A854" s="199"/>
      <c r="B854" s="220"/>
      <c r="C854" s="221"/>
      <c r="D854" s="222"/>
      <c r="E854" s="223"/>
      <c r="F854" s="209"/>
      <c r="G854" s="223"/>
      <c r="H854" s="223"/>
      <c r="I854" s="224"/>
      <c r="J854" s="21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</row>
    <row r="855" spans="1:29" ht="13.2" x14ac:dyDescent="0.25">
      <c r="A855" s="199"/>
      <c r="B855" s="220"/>
      <c r="C855" s="221"/>
      <c r="D855" s="222"/>
      <c r="E855" s="223"/>
      <c r="F855" s="209"/>
      <c r="G855" s="223"/>
      <c r="H855" s="223"/>
      <c r="I855" s="224"/>
      <c r="J855" s="21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</row>
    <row r="856" spans="1:29" ht="13.2" x14ac:dyDescent="0.25">
      <c r="A856" s="199"/>
      <c r="B856" s="220"/>
      <c r="C856" s="221"/>
      <c r="D856" s="222"/>
      <c r="E856" s="223"/>
      <c r="F856" s="209"/>
      <c r="G856" s="223"/>
      <c r="H856" s="223"/>
      <c r="I856" s="224"/>
      <c r="J856" s="21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</row>
    <row r="857" spans="1:29" ht="13.2" x14ac:dyDescent="0.25">
      <c r="A857" s="199"/>
      <c r="B857" s="220"/>
      <c r="C857" s="221"/>
      <c r="D857" s="222"/>
      <c r="E857" s="223"/>
      <c r="F857" s="209"/>
      <c r="G857" s="223"/>
      <c r="H857" s="223"/>
      <c r="I857" s="224"/>
      <c r="J857" s="21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</row>
    <row r="858" spans="1:29" ht="13.2" x14ac:dyDescent="0.25">
      <c r="A858" s="199"/>
      <c r="B858" s="220"/>
      <c r="C858" s="221"/>
      <c r="D858" s="222"/>
      <c r="E858" s="223"/>
      <c r="F858" s="209"/>
      <c r="G858" s="223"/>
      <c r="H858" s="223"/>
      <c r="I858" s="224"/>
      <c r="J858" s="21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</row>
    <row r="859" spans="1:29" ht="13.2" x14ac:dyDescent="0.25">
      <c r="A859" s="199"/>
      <c r="B859" s="220"/>
      <c r="C859" s="221"/>
      <c r="D859" s="222"/>
      <c r="E859" s="223"/>
      <c r="F859" s="209"/>
      <c r="G859" s="223"/>
      <c r="H859" s="223"/>
      <c r="I859" s="224"/>
      <c r="J859" s="21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</row>
    <row r="860" spans="1:29" ht="13.2" x14ac:dyDescent="0.25">
      <c r="A860" s="199"/>
      <c r="B860" s="220"/>
      <c r="C860" s="221"/>
      <c r="D860" s="222"/>
      <c r="E860" s="223"/>
      <c r="F860" s="209"/>
      <c r="G860" s="223"/>
      <c r="H860" s="223"/>
      <c r="I860" s="224"/>
      <c r="J860" s="21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</row>
    <row r="861" spans="1:29" ht="13.2" x14ac:dyDescent="0.25">
      <c r="A861" s="199"/>
      <c r="B861" s="220"/>
      <c r="C861" s="221"/>
      <c r="D861" s="222"/>
      <c r="E861" s="223"/>
      <c r="F861" s="209"/>
      <c r="G861" s="223"/>
      <c r="H861" s="223"/>
      <c r="I861" s="224"/>
      <c r="J861" s="21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</row>
    <row r="862" spans="1:29" ht="13.2" x14ac:dyDescent="0.25">
      <c r="A862" s="199"/>
      <c r="B862" s="220"/>
      <c r="C862" s="221"/>
      <c r="D862" s="222"/>
      <c r="E862" s="223"/>
      <c r="F862" s="209"/>
      <c r="G862" s="223"/>
      <c r="H862" s="223"/>
      <c r="I862" s="224"/>
      <c r="J862" s="21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</row>
    <row r="863" spans="1:29" ht="13.2" x14ac:dyDescent="0.25">
      <c r="A863" s="199"/>
      <c r="B863" s="220"/>
      <c r="C863" s="221"/>
      <c r="D863" s="222"/>
      <c r="E863" s="223"/>
      <c r="F863" s="209"/>
      <c r="G863" s="223"/>
      <c r="H863" s="223"/>
      <c r="I863" s="224"/>
      <c r="J863" s="21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</row>
    <row r="864" spans="1:29" ht="13.2" x14ac:dyDescent="0.25">
      <c r="A864" s="199"/>
      <c r="B864" s="220"/>
      <c r="C864" s="221"/>
      <c r="D864" s="222"/>
      <c r="E864" s="223"/>
      <c r="F864" s="209"/>
      <c r="G864" s="223"/>
      <c r="H864" s="223"/>
      <c r="I864" s="224"/>
      <c r="J864" s="21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</row>
    <row r="865" spans="1:29" ht="13.2" x14ac:dyDescent="0.25">
      <c r="A865" s="199"/>
      <c r="B865" s="220"/>
      <c r="C865" s="221"/>
      <c r="D865" s="222"/>
      <c r="E865" s="223"/>
      <c r="F865" s="209"/>
      <c r="G865" s="223"/>
      <c r="H865" s="223"/>
      <c r="I865" s="224"/>
      <c r="J865" s="21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</row>
    <row r="866" spans="1:29" ht="13.2" x14ac:dyDescent="0.25">
      <c r="A866" s="199"/>
      <c r="B866" s="220"/>
      <c r="C866" s="221"/>
      <c r="D866" s="222"/>
      <c r="E866" s="223"/>
      <c r="F866" s="209"/>
      <c r="G866" s="223"/>
      <c r="H866" s="223"/>
      <c r="I866" s="224"/>
      <c r="J866" s="21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</row>
    <row r="867" spans="1:29" ht="13.2" x14ac:dyDescent="0.25">
      <c r="A867" s="199"/>
      <c r="B867" s="220"/>
      <c r="C867" s="221"/>
      <c r="D867" s="222"/>
      <c r="E867" s="223"/>
      <c r="F867" s="209"/>
      <c r="G867" s="223"/>
      <c r="H867" s="223"/>
      <c r="I867" s="224"/>
      <c r="J867" s="21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</row>
    <row r="868" spans="1:29" ht="13.2" x14ac:dyDescent="0.25">
      <c r="A868" s="199"/>
      <c r="B868" s="220"/>
      <c r="C868" s="221"/>
      <c r="D868" s="222"/>
      <c r="E868" s="223"/>
      <c r="F868" s="209"/>
      <c r="G868" s="223"/>
      <c r="H868" s="223"/>
      <c r="I868" s="224"/>
      <c r="J868" s="21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</row>
    <row r="869" spans="1:29" ht="13.2" x14ac:dyDescent="0.25">
      <c r="A869" s="199"/>
      <c r="B869" s="220"/>
      <c r="C869" s="221"/>
      <c r="D869" s="222"/>
      <c r="E869" s="223"/>
      <c r="F869" s="209"/>
      <c r="G869" s="223"/>
      <c r="H869" s="223"/>
      <c r="I869" s="224"/>
      <c r="J869" s="21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</row>
    <row r="870" spans="1:29" ht="13.2" x14ac:dyDescent="0.25">
      <c r="A870" s="199"/>
      <c r="B870" s="220"/>
      <c r="C870" s="221"/>
      <c r="D870" s="222"/>
      <c r="E870" s="223"/>
      <c r="F870" s="209"/>
      <c r="G870" s="223"/>
      <c r="H870" s="223"/>
      <c r="I870" s="224"/>
      <c r="J870" s="21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</row>
    <row r="871" spans="1:29" ht="13.2" x14ac:dyDescent="0.25">
      <c r="A871" s="199"/>
      <c r="B871" s="220"/>
      <c r="C871" s="221"/>
      <c r="D871" s="222"/>
      <c r="E871" s="223"/>
      <c r="F871" s="209"/>
      <c r="G871" s="223"/>
      <c r="H871" s="223"/>
      <c r="I871" s="224"/>
      <c r="J871" s="21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</row>
    <row r="872" spans="1:29" ht="13.2" x14ac:dyDescent="0.25">
      <c r="A872" s="199"/>
      <c r="B872" s="220"/>
      <c r="C872" s="221"/>
      <c r="D872" s="222"/>
      <c r="E872" s="223"/>
      <c r="F872" s="209"/>
      <c r="G872" s="223"/>
      <c r="H872" s="223"/>
      <c r="I872" s="224"/>
      <c r="J872" s="21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</row>
    <row r="873" spans="1:29" ht="13.2" x14ac:dyDescent="0.25">
      <c r="A873" s="199"/>
      <c r="B873" s="220"/>
      <c r="C873" s="221"/>
      <c r="D873" s="222"/>
      <c r="E873" s="223"/>
      <c r="F873" s="209"/>
      <c r="G873" s="223"/>
      <c r="H873" s="223"/>
      <c r="I873" s="224"/>
      <c r="J873" s="21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</row>
    <row r="874" spans="1:29" ht="13.2" x14ac:dyDescent="0.25">
      <c r="A874" s="199"/>
      <c r="B874" s="220"/>
      <c r="C874" s="221"/>
      <c r="D874" s="222"/>
      <c r="E874" s="223"/>
      <c r="F874" s="209"/>
      <c r="G874" s="223"/>
      <c r="H874" s="223"/>
      <c r="I874" s="224"/>
      <c r="J874" s="21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</row>
    <row r="875" spans="1:29" ht="13.2" x14ac:dyDescent="0.25">
      <c r="A875" s="199"/>
      <c r="B875" s="220"/>
      <c r="C875" s="221"/>
      <c r="D875" s="222"/>
      <c r="E875" s="223"/>
      <c r="F875" s="209"/>
      <c r="G875" s="223"/>
      <c r="H875" s="223"/>
      <c r="I875" s="224"/>
      <c r="J875" s="21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</row>
    <row r="876" spans="1:29" ht="13.2" x14ac:dyDescent="0.25">
      <c r="A876" s="199"/>
      <c r="B876" s="220"/>
      <c r="C876" s="221"/>
      <c r="D876" s="222"/>
      <c r="E876" s="223"/>
      <c r="F876" s="209"/>
      <c r="G876" s="223"/>
      <c r="H876" s="223"/>
      <c r="I876" s="224"/>
      <c r="J876" s="21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</row>
    <row r="877" spans="1:29" ht="13.2" x14ac:dyDescent="0.25">
      <c r="A877" s="199"/>
      <c r="B877" s="220"/>
      <c r="C877" s="221"/>
      <c r="D877" s="222"/>
      <c r="E877" s="223"/>
      <c r="F877" s="209"/>
      <c r="G877" s="223"/>
      <c r="H877" s="223"/>
      <c r="I877" s="224"/>
      <c r="J877" s="21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</row>
    <row r="878" spans="1:29" ht="13.2" x14ac:dyDescent="0.25">
      <c r="A878" s="199"/>
      <c r="B878" s="220"/>
      <c r="C878" s="221"/>
      <c r="D878" s="222"/>
      <c r="E878" s="223"/>
      <c r="F878" s="209"/>
      <c r="G878" s="223"/>
      <c r="H878" s="223"/>
      <c r="I878" s="224"/>
      <c r="J878" s="21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</row>
    <row r="879" spans="1:29" ht="13.2" x14ac:dyDescent="0.25">
      <c r="A879" s="199"/>
      <c r="B879" s="220"/>
      <c r="C879" s="221"/>
      <c r="D879" s="222"/>
      <c r="E879" s="223"/>
      <c r="F879" s="209"/>
      <c r="G879" s="223"/>
      <c r="H879" s="223"/>
      <c r="I879" s="224"/>
      <c r="J879" s="21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</row>
    <row r="880" spans="1:29" ht="13.2" x14ac:dyDescent="0.25">
      <c r="A880" s="199"/>
      <c r="B880" s="220"/>
      <c r="C880" s="221"/>
      <c r="D880" s="222"/>
      <c r="E880" s="223"/>
      <c r="F880" s="209"/>
      <c r="G880" s="223"/>
      <c r="H880" s="223"/>
      <c r="I880" s="224"/>
      <c r="J880" s="21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</row>
    <row r="881" spans="1:29" ht="13.2" x14ac:dyDescent="0.25">
      <c r="A881" s="199"/>
      <c r="B881" s="220"/>
      <c r="C881" s="221"/>
      <c r="D881" s="222"/>
      <c r="E881" s="223"/>
      <c r="F881" s="209"/>
      <c r="G881" s="223"/>
      <c r="H881" s="223"/>
      <c r="I881" s="224"/>
      <c r="J881" s="21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</row>
    <row r="882" spans="1:29" ht="13.2" x14ac:dyDescent="0.25">
      <c r="A882" s="199"/>
      <c r="B882" s="220"/>
      <c r="C882" s="221"/>
      <c r="D882" s="222"/>
      <c r="E882" s="223"/>
      <c r="F882" s="209"/>
      <c r="G882" s="223"/>
      <c r="H882" s="223"/>
      <c r="I882" s="224"/>
      <c r="J882" s="21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</row>
    <row r="883" spans="1:29" ht="13.2" x14ac:dyDescent="0.25">
      <c r="A883" s="199"/>
      <c r="B883" s="220"/>
      <c r="C883" s="221"/>
      <c r="D883" s="222"/>
      <c r="E883" s="223"/>
      <c r="F883" s="209"/>
      <c r="G883" s="223"/>
      <c r="H883" s="223"/>
      <c r="I883" s="224"/>
      <c r="J883" s="21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</row>
    <row r="884" spans="1:29" ht="13.2" x14ac:dyDescent="0.25">
      <c r="A884" s="199"/>
      <c r="B884" s="220"/>
      <c r="C884" s="221"/>
      <c r="D884" s="222"/>
      <c r="E884" s="223"/>
      <c r="F884" s="209"/>
      <c r="G884" s="223"/>
      <c r="H884" s="223"/>
      <c r="I884" s="224"/>
      <c r="J884" s="21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</row>
    <row r="885" spans="1:29" ht="13.2" x14ac:dyDescent="0.25">
      <c r="A885" s="199"/>
      <c r="B885" s="220"/>
      <c r="C885" s="221"/>
      <c r="D885" s="222"/>
      <c r="E885" s="223"/>
      <c r="F885" s="209"/>
      <c r="G885" s="223"/>
      <c r="H885" s="223"/>
      <c r="I885" s="224"/>
      <c r="J885" s="21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</row>
    <row r="886" spans="1:29" ht="13.2" x14ac:dyDescent="0.25">
      <c r="A886" s="199"/>
      <c r="B886" s="220"/>
      <c r="C886" s="221"/>
      <c r="D886" s="222"/>
      <c r="E886" s="223"/>
      <c r="F886" s="209"/>
      <c r="G886" s="223"/>
      <c r="H886" s="223"/>
      <c r="I886" s="224"/>
      <c r="J886" s="21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</row>
    <row r="887" spans="1:29" ht="13.2" x14ac:dyDescent="0.25">
      <c r="A887" s="199"/>
      <c r="B887" s="220"/>
      <c r="C887" s="221"/>
      <c r="D887" s="222"/>
      <c r="E887" s="223"/>
      <c r="F887" s="209"/>
      <c r="G887" s="223"/>
      <c r="H887" s="223"/>
      <c r="I887" s="224"/>
      <c r="J887" s="21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</row>
    <row r="888" spans="1:29" ht="13.2" x14ac:dyDescent="0.25">
      <c r="A888" s="199"/>
      <c r="B888" s="220"/>
      <c r="C888" s="221"/>
      <c r="D888" s="222"/>
      <c r="E888" s="223"/>
      <c r="F888" s="209"/>
      <c r="G888" s="223"/>
      <c r="H888" s="223"/>
      <c r="I888" s="224"/>
      <c r="J888" s="21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</row>
    <row r="889" spans="1:29" ht="13.2" x14ac:dyDescent="0.25">
      <c r="A889" s="199"/>
      <c r="B889" s="220"/>
      <c r="C889" s="221"/>
      <c r="D889" s="222"/>
      <c r="E889" s="223"/>
      <c r="F889" s="209"/>
      <c r="G889" s="223"/>
      <c r="H889" s="223"/>
      <c r="I889" s="224"/>
      <c r="J889" s="21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</row>
    <row r="890" spans="1:29" ht="13.2" x14ac:dyDescent="0.25">
      <c r="A890" s="199"/>
      <c r="B890" s="220"/>
      <c r="C890" s="221"/>
      <c r="D890" s="222"/>
      <c r="E890" s="223"/>
      <c r="F890" s="209"/>
      <c r="G890" s="223"/>
      <c r="H890" s="223"/>
      <c r="I890" s="224"/>
      <c r="J890" s="21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</row>
    <row r="891" spans="1:29" ht="13.2" x14ac:dyDescent="0.25">
      <c r="A891" s="199"/>
      <c r="B891" s="220"/>
      <c r="C891" s="221"/>
      <c r="D891" s="222"/>
      <c r="E891" s="223"/>
      <c r="F891" s="209"/>
      <c r="G891" s="223"/>
      <c r="H891" s="223"/>
      <c r="I891" s="224"/>
      <c r="J891" s="21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</row>
    <row r="892" spans="1:29" ht="13.2" x14ac:dyDescent="0.25">
      <c r="A892" s="199"/>
      <c r="B892" s="220"/>
      <c r="C892" s="221"/>
      <c r="D892" s="222"/>
      <c r="E892" s="223"/>
      <c r="F892" s="209"/>
      <c r="G892" s="223"/>
      <c r="H892" s="223"/>
      <c r="I892" s="224"/>
      <c r="J892" s="21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</row>
    <row r="893" spans="1:29" ht="13.2" x14ac:dyDescent="0.25">
      <c r="A893" s="199"/>
      <c r="B893" s="220"/>
      <c r="C893" s="221"/>
      <c r="D893" s="222"/>
      <c r="E893" s="223"/>
      <c r="F893" s="209"/>
      <c r="G893" s="223"/>
      <c r="H893" s="223"/>
      <c r="I893" s="224"/>
      <c r="J893" s="21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</row>
    <row r="894" spans="1:29" ht="13.2" x14ac:dyDescent="0.25">
      <c r="A894" s="199"/>
      <c r="B894" s="220"/>
      <c r="C894" s="221"/>
      <c r="D894" s="222"/>
      <c r="E894" s="223"/>
      <c r="F894" s="209"/>
      <c r="G894" s="223"/>
      <c r="H894" s="223"/>
      <c r="I894" s="224"/>
      <c r="J894" s="21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</row>
    <row r="895" spans="1:29" ht="13.2" x14ac:dyDescent="0.25">
      <c r="A895" s="199"/>
      <c r="B895" s="220"/>
      <c r="C895" s="221"/>
      <c r="D895" s="222"/>
      <c r="E895" s="223"/>
      <c r="F895" s="209"/>
      <c r="G895" s="223"/>
      <c r="H895" s="223"/>
      <c r="I895" s="224"/>
      <c r="J895" s="21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</row>
    <row r="896" spans="1:29" ht="13.2" x14ac:dyDescent="0.25">
      <c r="A896" s="199"/>
      <c r="B896" s="220"/>
      <c r="C896" s="221"/>
      <c r="D896" s="222"/>
      <c r="E896" s="223"/>
      <c r="F896" s="209"/>
      <c r="G896" s="223"/>
      <c r="H896" s="223"/>
      <c r="I896" s="224"/>
      <c r="J896" s="21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</row>
    <row r="897" spans="1:29" ht="13.2" x14ac:dyDescent="0.25">
      <c r="A897" s="199"/>
      <c r="B897" s="220"/>
      <c r="C897" s="221"/>
      <c r="D897" s="222"/>
      <c r="E897" s="223"/>
      <c r="F897" s="209"/>
      <c r="G897" s="223"/>
      <c r="H897" s="223"/>
      <c r="I897" s="224"/>
      <c r="J897" s="21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</row>
    <row r="898" spans="1:29" ht="13.2" x14ac:dyDescent="0.25">
      <c r="A898" s="199"/>
      <c r="B898" s="220"/>
      <c r="C898" s="221"/>
      <c r="D898" s="222"/>
      <c r="E898" s="223"/>
      <c r="F898" s="209"/>
      <c r="G898" s="223"/>
      <c r="H898" s="223"/>
      <c r="I898" s="224"/>
      <c r="J898" s="21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</row>
    <row r="899" spans="1:29" ht="13.2" x14ac:dyDescent="0.25">
      <c r="A899" s="199"/>
      <c r="B899" s="220"/>
      <c r="C899" s="221"/>
      <c r="D899" s="222"/>
      <c r="E899" s="223"/>
      <c r="F899" s="209"/>
      <c r="G899" s="223"/>
      <c r="H899" s="223"/>
      <c r="I899" s="224"/>
      <c r="J899" s="21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</row>
    <row r="900" spans="1:29" ht="13.2" x14ac:dyDescent="0.25">
      <c r="A900" s="199"/>
      <c r="B900" s="220"/>
      <c r="C900" s="221"/>
      <c r="D900" s="222"/>
      <c r="E900" s="223"/>
      <c r="F900" s="209"/>
      <c r="G900" s="223"/>
      <c r="H900" s="223"/>
      <c r="I900" s="224"/>
      <c r="J900" s="21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</row>
    <row r="901" spans="1:29" ht="13.2" x14ac:dyDescent="0.25">
      <c r="A901" s="199"/>
      <c r="B901" s="220"/>
      <c r="C901" s="221"/>
      <c r="D901" s="222"/>
      <c r="E901" s="223"/>
      <c r="F901" s="209"/>
      <c r="G901" s="223"/>
      <c r="H901" s="223"/>
      <c r="I901" s="224"/>
      <c r="J901" s="21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</row>
    <row r="902" spans="1:29" ht="13.2" x14ac:dyDescent="0.25">
      <c r="A902" s="199"/>
      <c r="B902" s="220"/>
      <c r="C902" s="221"/>
      <c r="D902" s="222"/>
      <c r="E902" s="223"/>
      <c r="F902" s="209"/>
      <c r="G902" s="223"/>
      <c r="H902" s="223"/>
      <c r="I902" s="224"/>
      <c r="J902" s="21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</row>
    <row r="903" spans="1:29" ht="13.2" x14ac:dyDescent="0.25">
      <c r="A903" s="199"/>
      <c r="B903" s="220"/>
      <c r="C903" s="221"/>
      <c r="D903" s="222"/>
      <c r="E903" s="223"/>
      <c r="F903" s="209"/>
      <c r="G903" s="223"/>
      <c r="H903" s="223"/>
      <c r="I903" s="224"/>
      <c r="J903" s="21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</row>
    <row r="904" spans="1:29" ht="13.2" x14ac:dyDescent="0.25">
      <c r="A904" s="199"/>
      <c r="B904" s="220"/>
      <c r="C904" s="221"/>
      <c r="D904" s="222"/>
      <c r="E904" s="223"/>
      <c r="F904" s="209"/>
      <c r="G904" s="223"/>
      <c r="H904" s="223"/>
      <c r="I904" s="224"/>
      <c r="J904" s="21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</row>
    <row r="905" spans="1:29" ht="13.2" x14ac:dyDescent="0.25">
      <c r="A905" s="199"/>
      <c r="B905" s="220"/>
      <c r="C905" s="221"/>
      <c r="D905" s="222"/>
      <c r="E905" s="223"/>
      <c r="F905" s="209"/>
      <c r="G905" s="223"/>
      <c r="H905" s="223"/>
      <c r="I905" s="224"/>
      <c r="J905" s="21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</row>
    <row r="906" spans="1:29" ht="13.2" x14ac:dyDescent="0.25">
      <c r="A906" s="199"/>
      <c r="B906" s="220"/>
      <c r="C906" s="221"/>
      <c r="D906" s="222"/>
      <c r="E906" s="223"/>
      <c r="F906" s="209"/>
      <c r="G906" s="223"/>
      <c r="H906" s="223"/>
      <c r="I906" s="224"/>
      <c r="J906" s="21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</row>
    <row r="907" spans="1:29" ht="13.2" x14ac:dyDescent="0.25">
      <c r="A907" s="199"/>
      <c r="B907" s="220"/>
      <c r="C907" s="221"/>
      <c r="D907" s="222"/>
      <c r="E907" s="223"/>
      <c r="F907" s="209"/>
      <c r="G907" s="223"/>
      <c r="H907" s="223"/>
      <c r="I907" s="224"/>
      <c r="J907" s="21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</row>
    <row r="908" spans="1:29" ht="13.2" x14ac:dyDescent="0.25">
      <c r="A908" s="199"/>
      <c r="B908" s="220"/>
      <c r="C908" s="221"/>
      <c r="D908" s="222"/>
      <c r="E908" s="223"/>
      <c r="F908" s="209"/>
      <c r="G908" s="223"/>
      <c r="H908" s="223"/>
      <c r="I908" s="224"/>
      <c r="J908" s="21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</row>
    <row r="909" spans="1:29" ht="13.2" x14ac:dyDescent="0.25">
      <c r="A909" s="199"/>
      <c r="B909" s="220"/>
      <c r="C909" s="221"/>
      <c r="D909" s="222"/>
      <c r="E909" s="223"/>
      <c r="F909" s="209"/>
      <c r="G909" s="223"/>
      <c r="H909" s="223"/>
      <c r="I909" s="224"/>
      <c r="J909" s="21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</row>
    <row r="910" spans="1:29" ht="13.2" x14ac:dyDescent="0.25">
      <c r="A910" s="199"/>
      <c r="B910" s="220"/>
      <c r="C910" s="221"/>
      <c r="D910" s="222"/>
      <c r="E910" s="223"/>
      <c r="F910" s="209"/>
      <c r="G910" s="223"/>
      <c r="H910" s="223"/>
      <c r="I910" s="224"/>
      <c r="J910" s="21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</row>
    <row r="911" spans="1:29" ht="13.2" x14ac:dyDescent="0.25">
      <c r="A911" s="199"/>
      <c r="B911" s="220"/>
      <c r="C911" s="221"/>
      <c r="D911" s="222"/>
      <c r="E911" s="223"/>
      <c r="F911" s="209"/>
      <c r="G911" s="223"/>
      <c r="H911" s="223"/>
      <c r="I911" s="224"/>
      <c r="J911" s="21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</row>
    <row r="912" spans="1:29" ht="13.2" x14ac:dyDescent="0.25">
      <c r="A912" s="199"/>
      <c r="B912" s="220"/>
      <c r="C912" s="221"/>
      <c r="D912" s="222"/>
      <c r="E912" s="223"/>
      <c r="F912" s="209"/>
      <c r="G912" s="223"/>
      <c r="H912" s="223"/>
      <c r="I912" s="224"/>
      <c r="J912" s="21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</row>
    <row r="913" spans="1:29" ht="13.2" x14ac:dyDescent="0.25">
      <c r="A913" s="199"/>
      <c r="B913" s="220"/>
      <c r="C913" s="221"/>
      <c r="D913" s="222"/>
      <c r="E913" s="223"/>
      <c r="F913" s="209"/>
      <c r="G913" s="223"/>
      <c r="H913" s="223"/>
      <c r="I913" s="224"/>
      <c r="J913" s="21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</row>
    <row r="914" spans="1:29" ht="13.2" x14ac:dyDescent="0.25">
      <c r="A914" s="199"/>
      <c r="B914" s="220"/>
      <c r="C914" s="221"/>
      <c r="D914" s="222"/>
      <c r="E914" s="223"/>
      <c r="F914" s="209"/>
      <c r="G914" s="223"/>
      <c r="H914" s="223"/>
      <c r="I914" s="224"/>
      <c r="J914" s="21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</row>
    <row r="915" spans="1:29" ht="13.2" x14ac:dyDescent="0.25">
      <c r="A915" s="199"/>
      <c r="B915" s="220"/>
      <c r="C915" s="221"/>
      <c r="D915" s="222"/>
      <c r="E915" s="223"/>
      <c r="F915" s="209"/>
      <c r="G915" s="223"/>
      <c r="H915" s="223"/>
      <c r="I915" s="224"/>
      <c r="J915" s="21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</row>
    <row r="916" spans="1:29" ht="13.2" x14ac:dyDescent="0.25">
      <c r="A916" s="199"/>
      <c r="B916" s="220"/>
      <c r="C916" s="221"/>
      <c r="D916" s="222"/>
      <c r="E916" s="223"/>
      <c r="F916" s="209"/>
      <c r="G916" s="223"/>
      <c r="H916" s="223"/>
      <c r="I916" s="224"/>
      <c r="J916" s="21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</row>
    <row r="917" spans="1:29" ht="13.2" x14ac:dyDescent="0.25">
      <c r="A917" s="199"/>
      <c r="B917" s="220"/>
      <c r="C917" s="221"/>
      <c r="D917" s="222"/>
      <c r="E917" s="223"/>
      <c r="F917" s="209"/>
      <c r="G917" s="223"/>
      <c r="H917" s="223"/>
      <c r="I917" s="224"/>
      <c r="J917" s="21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</row>
    <row r="918" spans="1:29" ht="13.2" x14ac:dyDescent="0.25">
      <c r="A918" s="199"/>
      <c r="B918" s="220"/>
      <c r="C918" s="221"/>
      <c r="D918" s="222"/>
      <c r="E918" s="223"/>
      <c r="F918" s="209"/>
      <c r="G918" s="223"/>
      <c r="H918" s="223"/>
      <c r="I918" s="224"/>
      <c r="J918" s="21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</row>
    <row r="919" spans="1:29" ht="13.2" x14ac:dyDescent="0.25">
      <c r="A919" s="199"/>
      <c r="B919" s="220"/>
      <c r="C919" s="221"/>
      <c r="D919" s="222"/>
      <c r="E919" s="223"/>
      <c r="F919" s="209"/>
      <c r="G919" s="223"/>
      <c r="H919" s="223"/>
      <c r="I919" s="224"/>
      <c r="J919" s="21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</row>
    <row r="920" spans="1:29" ht="13.2" x14ac:dyDescent="0.25">
      <c r="A920" s="199"/>
      <c r="B920" s="220"/>
      <c r="C920" s="221"/>
      <c r="D920" s="222"/>
      <c r="E920" s="223"/>
      <c r="F920" s="209"/>
      <c r="G920" s="223"/>
      <c r="H920" s="223"/>
      <c r="I920" s="224"/>
      <c r="J920" s="21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</row>
    <row r="921" spans="1:29" ht="13.2" x14ac:dyDescent="0.25">
      <c r="A921" s="199"/>
      <c r="B921" s="220"/>
      <c r="C921" s="221"/>
      <c r="D921" s="222"/>
      <c r="E921" s="223"/>
      <c r="F921" s="209"/>
      <c r="G921" s="223"/>
      <c r="H921" s="223"/>
      <c r="I921" s="224"/>
      <c r="J921" s="21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</row>
    <row r="922" spans="1:29" ht="13.2" x14ac:dyDescent="0.25">
      <c r="A922" s="199"/>
      <c r="B922" s="220"/>
      <c r="C922" s="221"/>
      <c r="D922" s="222"/>
      <c r="E922" s="223"/>
      <c r="F922" s="209"/>
      <c r="G922" s="223"/>
      <c r="H922" s="223"/>
      <c r="I922" s="224"/>
      <c r="J922" s="21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</row>
    <row r="923" spans="1:29" ht="13.2" x14ac:dyDescent="0.25">
      <c r="A923" s="199"/>
      <c r="B923" s="220"/>
      <c r="C923" s="221"/>
      <c r="D923" s="222"/>
      <c r="E923" s="223"/>
      <c r="F923" s="209"/>
      <c r="G923" s="223"/>
      <c r="H923" s="223"/>
      <c r="I923" s="224"/>
      <c r="J923" s="21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</row>
    <row r="924" spans="1:29" ht="13.2" x14ac:dyDescent="0.25">
      <c r="A924" s="199"/>
      <c r="B924" s="220"/>
      <c r="C924" s="221"/>
      <c r="D924" s="222"/>
      <c r="E924" s="223"/>
      <c r="F924" s="209"/>
      <c r="G924" s="223"/>
      <c r="H924" s="223"/>
      <c r="I924" s="224"/>
      <c r="J924" s="21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</row>
    <row r="925" spans="1:29" ht="13.2" x14ac:dyDescent="0.25">
      <c r="A925" s="199"/>
      <c r="B925" s="220"/>
      <c r="C925" s="221"/>
      <c r="D925" s="222"/>
      <c r="E925" s="223"/>
      <c r="F925" s="209"/>
      <c r="G925" s="223"/>
      <c r="H925" s="223"/>
      <c r="I925" s="224"/>
      <c r="J925" s="21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</row>
    <row r="926" spans="1:29" ht="13.2" x14ac:dyDescent="0.25">
      <c r="A926" s="199"/>
      <c r="B926" s="220"/>
      <c r="C926" s="221"/>
      <c r="D926" s="222"/>
      <c r="E926" s="223"/>
      <c r="F926" s="209"/>
      <c r="G926" s="223"/>
      <c r="H926" s="223"/>
      <c r="I926" s="224"/>
      <c r="J926" s="21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</row>
    <row r="927" spans="1:29" ht="13.2" x14ac:dyDescent="0.25">
      <c r="A927" s="199"/>
      <c r="B927" s="220"/>
      <c r="C927" s="221"/>
      <c r="D927" s="222"/>
      <c r="E927" s="223"/>
      <c r="F927" s="209"/>
      <c r="G927" s="223"/>
      <c r="H927" s="223"/>
      <c r="I927" s="224"/>
      <c r="J927" s="21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</row>
    <row r="928" spans="1:29" ht="13.2" x14ac:dyDescent="0.25">
      <c r="A928" s="199"/>
      <c r="B928" s="220"/>
      <c r="C928" s="221"/>
      <c r="D928" s="222"/>
      <c r="E928" s="223"/>
      <c r="F928" s="209"/>
      <c r="G928" s="223"/>
      <c r="H928" s="223"/>
      <c r="I928" s="224"/>
      <c r="J928" s="21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</row>
    <row r="929" spans="1:29" ht="13.2" x14ac:dyDescent="0.25">
      <c r="A929" s="199"/>
      <c r="B929" s="220"/>
      <c r="C929" s="221"/>
      <c r="D929" s="222"/>
      <c r="E929" s="223"/>
      <c r="F929" s="209"/>
      <c r="G929" s="223"/>
      <c r="H929" s="223"/>
      <c r="I929" s="224"/>
      <c r="J929" s="21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</row>
    <row r="930" spans="1:29" ht="13.2" x14ac:dyDescent="0.25">
      <c r="A930" s="199"/>
      <c r="B930" s="220"/>
      <c r="C930" s="221"/>
      <c r="D930" s="222"/>
      <c r="E930" s="223"/>
      <c r="F930" s="209"/>
      <c r="G930" s="223"/>
      <c r="H930" s="223"/>
      <c r="I930" s="224"/>
      <c r="J930" s="21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</row>
    <row r="931" spans="1:29" ht="13.2" x14ac:dyDescent="0.25">
      <c r="A931" s="199"/>
      <c r="B931" s="220"/>
      <c r="C931" s="221"/>
      <c r="D931" s="222"/>
      <c r="E931" s="223"/>
      <c r="F931" s="209"/>
      <c r="G931" s="223"/>
      <c r="H931" s="223"/>
      <c r="I931" s="224"/>
      <c r="J931" s="21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</row>
    <row r="932" spans="1:29" ht="13.2" x14ac:dyDescent="0.25">
      <c r="A932" s="199"/>
      <c r="B932" s="220"/>
      <c r="C932" s="221"/>
      <c r="D932" s="222"/>
      <c r="E932" s="223"/>
      <c r="F932" s="209"/>
      <c r="G932" s="223"/>
      <c r="H932" s="223"/>
      <c r="I932" s="224"/>
      <c r="J932" s="21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</row>
    <row r="933" spans="1:29" ht="13.2" x14ac:dyDescent="0.25">
      <c r="A933" s="199"/>
      <c r="B933" s="220"/>
      <c r="C933" s="221"/>
      <c r="D933" s="222"/>
      <c r="E933" s="223"/>
      <c r="F933" s="209"/>
      <c r="G933" s="223"/>
      <c r="H933" s="223"/>
      <c r="I933" s="224"/>
      <c r="J933" s="21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</row>
    <row r="934" spans="1:29" ht="13.2" x14ac:dyDescent="0.25">
      <c r="A934" s="199"/>
      <c r="B934" s="220"/>
      <c r="C934" s="221"/>
      <c r="D934" s="222"/>
      <c r="E934" s="223"/>
      <c r="F934" s="209"/>
      <c r="G934" s="223"/>
      <c r="H934" s="223"/>
      <c r="I934" s="224"/>
      <c r="J934" s="21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</row>
    <row r="935" spans="1:29" ht="13.2" x14ac:dyDescent="0.25">
      <c r="A935" s="199"/>
      <c r="B935" s="220"/>
      <c r="C935" s="221"/>
      <c r="D935" s="222"/>
      <c r="E935" s="223"/>
      <c r="F935" s="209"/>
      <c r="G935" s="223"/>
      <c r="H935" s="223"/>
      <c r="I935" s="224"/>
      <c r="J935" s="21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</row>
    <row r="936" spans="1:29" ht="13.2" x14ac:dyDescent="0.25">
      <c r="A936" s="199"/>
      <c r="B936" s="220"/>
      <c r="C936" s="221"/>
      <c r="D936" s="222"/>
      <c r="E936" s="223"/>
      <c r="F936" s="209"/>
      <c r="G936" s="223"/>
      <c r="H936" s="223"/>
      <c r="I936" s="224"/>
      <c r="J936" s="21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</row>
    <row r="937" spans="1:29" ht="13.2" x14ac:dyDescent="0.25">
      <c r="A937" s="199"/>
      <c r="B937" s="220"/>
      <c r="C937" s="221"/>
      <c r="D937" s="222"/>
      <c r="E937" s="223"/>
      <c r="F937" s="209"/>
      <c r="G937" s="223"/>
      <c r="H937" s="223"/>
      <c r="I937" s="224"/>
      <c r="J937" s="21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</row>
    <row r="938" spans="1:29" ht="13.2" x14ac:dyDescent="0.25">
      <c r="A938" s="199"/>
      <c r="B938" s="220"/>
      <c r="C938" s="221"/>
      <c r="D938" s="222"/>
      <c r="E938" s="223"/>
      <c r="F938" s="209"/>
      <c r="G938" s="223"/>
      <c r="H938" s="223"/>
      <c r="I938" s="224"/>
      <c r="J938" s="21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</row>
    <row r="939" spans="1:29" ht="13.2" x14ac:dyDescent="0.25">
      <c r="A939" s="199"/>
      <c r="B939" s="220"/>
      <c r="C939" s="221"/>
      <c r="D939" s="222"/>
      <c r="E939" s="223"/>
      <c r="F939" s="209"/>
      <c r="G939" s="223"/>
      <c r="H939" s="223"/>
      <c r="I939" s="224"/>
      <c r="J939" s="21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</row>
    <row r="940" spans="1:29" ht="13.2" x14ac:dyDescent="0.25">
      <c r="A940" s="199"/>
      <c r="B940" s="220"/>
      <c r="C940" s="221"/>
      <c r="D940" s="222"/>
      <c r="E940" s="223"/>
      <c r="F940" s="209"/>
      <c r="G940" s="223"/>
      <c r="H940" s="223"/>
      <c r="I940" s="224"/>
      <c r="J940" s="21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</row>
    <row r="941" spans="1:29" ht="13.2" x14ac:dyDescent="0.25">
      <c r="A941" s="199"/>
      <c r="B941" s="220"/>
      <c r="C941" s="221"/>
      <c r="D941" s="222"/>
      <c r="E941" s="223"/>
      <c r="F941" s="209"/>
      <c r="G941" s="223"/>
      <c r="H941" s="223"/>
      <c r="I941" s="224"/>
      <c r="J941" s="21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</row>
    <row r="942" spans="1:29" ht="13.2" x14ac:dyDescent="0.25">
      <c r="A942" s="199"/>
      <c r="B942" s="220"/>
      <c r="C942" s="221"/>
      <c r="D942" s="222"/>
      <c r="E942" s="223"/>
      <c r="F942" s="209"/>
      <c r="G942" s="223"/>
      <c r="H942" s="223"/>
      <c r="I942" s="224"/>
      <c r="J942" s="21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</row>
    <row r="943" spans="1:29" ht="13.2" x14ac:dyDescent="0.25">
      <c r="A943" s="199"/>
      <c r="B943" s="220"/>
      <c r="C943" s="221"/>
      <c r="D943" s="222"/>
      <c r="E943" s="223"/>
      <c r="F943" s="209"/>
      <c r="G943" s="223"/>
      <c r="H943" s="223"/>
      <c r="I943" s="224"/>
      <c r="J943" s="21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</row>
    <row r="944" spans="1:29" ht="13.2" x14ac:dyDescent="0.25">
      <c r="A944" s="199"/>
      <c r="B944" s="220"/>
      <c r="C944" s="221"/>
      <c r="D944" s="222"/>
      <c r="E944" s="223"/>
      <c r="F944" s="209"/>
      <c r="G944" s="223"/>
      <c r="H944" s="223"/>
      <c r="I944" s="224"/>
      <c r="J944" s="21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</row>
    <row r="945" spans="1:29" ht="13.2" x14ac:dyDescent="0.25">
      <c r="A945" s="199"/>
      <c r="B945" s="220"/>
      <c r="C945" s="221"/>
      <c r="D945" s="222"/>
      <c r="E945" s="223"/>
      <c r="F945" s="209"/>
      <c r="G945" s="223"/>
      <c r="H945" s="223"/>
      <c r="I945" s="224"/>
      <c r="J945" s="21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</row>
    <row r="946" spans="1:29" ht="13.2" x14ac:dyDescent="0.25">
      <c r="A946" s="199"/>
      <c r="B946" s="220"/>
      <c r="C946" s="221"/>
      <c r="D946" s="222"/>
      <c r="E946" s="223"/>
      <c r="F946" s="209"/>
      <c r="G946" s="223"/>
      <c r="H946" s="223"/>
      <c r="I946" s="224"/>
      <c r="J946" s="21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</row>
    <row r="947" spans="1:29" ht="13.2" x14ac:dyDescent="0.25">
      <c r="A947" s="199"/>
      <c r="B947" s="220"/>
      <c r="C947" s="221"/>
      <c r="D947" s="222"/>
      <c r="E947" s="223"/>
      <c r="F947" s="209"/>
      <c r="G947" s="223"/>
      <c r="H947" s="223"/>
      <c r="I947" s="224"/>
      <c r="J947" s="21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</row>
    <row r="948" spans="1:29" ht="13.2" x14ac:dyDescent="0.25">
      <c r="A948" s="199"/>
      <c r="B948" s="220"/>
      <c r="C948" s="221"/>
      <c r="D948" s="222"/>
      <c r="E948" s="223"/>
      <c r="F948" s="209"/>
      <c r="G948" s="223"/>
      <c r="H948" s="223"/>
      <c r="I948" s="224"/>
      <c r="J948" s="21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</row>
    <row r="949" spans="1:29" ht="13.2" x14ac:dyDescent="0.25">
      <c r="A949" s="199"/>
      <c r="B949" s="220"/>
      <c r="C949" s="221"/>
      <c r="D949" s="222"/>
      <c r="E949" s="223"/>
      <c r="F949" s="209"/>
      <c r="G949" s="223"/>
      <c r="H949" s="223"/>
      <c r="I949" s="224"/>
      <c r="J949" s="21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</row>
    <row r="950" spans="1:29" ht="13.2" x14ac:dyDescent="0.25">
      <c r="A950" s="199"/>
      <c r="B950" s="220"/>
      <c r="C950" s="221"/>
      <c r="D950" s="222"/>
      <c r="E950" s="223"/>
      <c r="F950" s="209"/>
      <c r="G950" s="223"/>
      <c r="H950" s="223"/>
      <c r="I950" s="224"/>
      <c r="J950" s="21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</row>
    <row r="951" spans="1:29" ht="13.2" x14ac:dyDescent="0.25">
      <c r="A951" s="199"/>
      <c r="B951" s="220"/>
      <c r="C951" s="221"/>
      <c r="D951" s="222"/>
      <c r="E951" s="223"/>
      <c r="F951" s="209"/>
      <c r="G951" s="223"/>
      <c r="H951" s="223"/>
      <c r="I951" s="224"/>
      <c r="J951" s="21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</row>
    <row r="952" spans="1:29" ht="13.2" x14ac:dyDescent="0.25">
      <c r="A952" s="199"/>
      <c r="B952" s="220"/>
      <c r="C952" s="221"/>
      <c r="D952" s="222"/>
      <c r="E952" s="223"/>
      <c r="F952" s="209"/>
      <c r="G952" s="223"/>
      <c r="H952" s="223"/>
      <c r="I952" s="224"/>
      <c r="J952" s="21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</row>
    <row r="953" spans="1:29" ht="13.2" x14ac:dyDescent="0.25">
      <c r="A953" s="199"/>
      <c r="B953" s="220"/>
      <c r="C953" s="221"/>
      <c r="D953" s="222"/>
      <c r="E953" s="223"/>
      <c r="F953" s="209"/>
      <c r="G953" s="223"/>
      <c r="H953" s="223"/>
      <c r="I953" s="224"/>
      <c r="J953" s="21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</row>
    <row r="954" spans="1:29" ht="13.2" x14ac:dyDescent="0.25">
      <c r="A954" s="199"/>
      <c r="B954" s="220"/>
      <c r="C954" s="221"/>
      <c r="D954" s="222"/>
      <c r="E954" s="223"/>
      <c r="F954" s="209"/>
      <c r="G954" s="223"/>
      <c r="H954" s="223"/>
      <c r="I954" s="224"/>
      <c r="J954" s="21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</row>
    <row r="955" spans="1:29" ht="13.2" x14ac:dyDescent="0.25">
      <c r="A955" s="199"/>
      <c r="B955" s="220"/>
      <c r="C955" s="221"/>
      <c r="D955" s="222"/>
      <c r="E955" s="223"/>
      <c r="F955" s="209"/>
      <c r="G955" s="223"/>
      <c r="H955" s="223"/>
      <c r="I955" s="224"/>
      <c r="J955" s="21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</row>
    <row r="956" spans="1:29" ht="13.2" x14ac:dyDescent="0.25">
      <c r="A956" s="199"/>
      <c r="B956" s="220"/>
      <c r="C956" s="221"/>
      <c r="D956" s="222"/>
      <c r="E956" s="223"/>
      <c r="F956" s="209"/>
      <c r="G956" s="223"/>
      <c r="H956" s="223"/>
      <c r="I956" s="224"/>
      <c r="J956" s="21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</row>
    <row r="957" spans="1:29" ht="13.2" x14ac:dyDescent="0.25">
      <c r="A957" s="199"/>
      <c r="B957" s="220"/>
      <c r="C957" s="221"/>
      <c r="D957" s="222"/>
      <c r="E957" s="223"/>
      <c r="F957" s="209"/>
      <c r="G957" s="223"/>
      <c r="H957" s="223"/>
      <c r="I957" s="224"/>
      <c r="J957" s="21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</row>
    <row r="958" spans="1:29" ht="13.2" x14ac:dyDescent="0.25">
      <c r="A958" s="199"/>
      <c r="B958" s="220"/>
      <c r="C958" s="221"/>
      <c r="D958" s="222"/>
      <c r="E958" s="223"/>
      <c r="F958" s="209"/>
      <c r="G958" s="223"/>
      <c r="H958" s="223"/>
      <c r="I958" s="224"/>
      <c r="J958" s="21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</row>
    <row r="959" spans="1:29" ht="13.2" x14ac:dyDescent="0.25">
      <c r="A959" s="199"/>
      <c r="B959" s="220"/>
      <c r="C959" s="221"/>
      <c r="D959" s="222"/>
      <c r="E959" s="223"/>
      <c r="F959" s="209"/>
      <c r="G959" s="223"/>
      <c r="H959" s="223"/>
      <c r="I959" s="224"/>
      <c r="J959" s="21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</row>
    <row r="960" spans="1:29" ht="13.2" x14ac:dyDescent="0.25">
      <c r="A960" s="199"/>
      <c r="B960" s="220"/>
      <c r="C960" s="221"/>
      <c r="D960" s="222"/>
      <c r="E960" s="223"/>
      <c r="F960" s="209"/>
      <c r="G960" s="223"/>
      <c r="H960" s="223"/>
      <c r="I960" s="224"/>
      <c r="J960" s="21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</row>
    <row r="961" spans="1:29" ht="13.2" x14ac:dyDescent="0.25">
      <c r="A961" s="199"/>
      <c r="B961" s="220"/>
      <c r="C961" s="221"/>
      <c r="D961" s="222"/>
      <c r="E961" s="223"/>
      <c r="F961" s="209"/>
      <c r="G961" s="223"/>
      <c r="H961" s="223"/>
      <c r="I961" s="224"/>
      <c r="J961" s="21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</row>
    <row r="962" spans="1:29" ht="13.2" x14ac:dyDescent="0.25">
      <c r="A962" s="199"/>
      <c r="B962" s="220"/>
      <c r="C962" s="221"/>
      <c r="D962" s="222"/>
      <c r="E962" s="223"/>
      <c r="F962" s="209"/>
      <c r="G962" s="223"/>
      <c r="H962" s="223"/>
      <c r="I962" s="224"/>
      <c r="J962" s="21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</row>
  </sheetData>
  <autoFilter ref="A2:J19"/>
  <dataValidations count="1">
    <dataValidation type="list" allowBlank="1" showErrorMessage="1" sqref="I3:I962">
      <formula1>"Done,Progressing,Cancel"</formula1>
    </dataValidation>
  </dataValidations>
  <pageMargins left="0.25" right="0.25" top="0.75" bottom="0.75" header="0" footer="0"/>
  <pageSetup paperSize="9" scale="5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O99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12.6640625" customWidth="1"/>
    <col min="4" max="4" width="17.6640625" customWidth="1"/>
    <col min="5" max="5" width="16" customWidth="1"/>
    <col min="6" max="6" width="17.33203125" customWidth="1"/>
    <col min="7" max="7" width="43.88671875" customWidth="1"/>
    <col min="8" max="8" width="17.21875" customWidth="1"/>
    <col min="9" max="9" width="7.88671875" customWidth="1"/>
    <col min="10" max="11" width="14.6640625" customWidth="1"/>
    <col min="12" max="12" width="15.21875" customWidth="1"/>
    <col min="13" max="13" width="13.88671875" customWidth="1"/>
    <col min="14" max="15" width="16.6640625" customWidth="1"/>
    <col min="16" max="16" width="13.6640625" customWidth="1"/>
    <col min="17" max="17" width="20.77734375" customWidth="1"/>
    <col min="18" max="18" width="24.77734375" customWidth="1"/>
  </cols>
  <sheetData>
    <row r="1" spans="1:41" x14ac:dyDescent="0.25">
      <c r="A1" s="225"/>
      <c r="B1" s="225"/>
      <c r="C1" s="225"/>
      <c r="D1" s="226" t="s">
        <v>243</v>
      </c>
      <c r="E1" s="226"/>
      <c r="F1" s="225"/>
      <c r="G1" s="227"/>
      <c r="H1" s="228"/>
      <c r="I1" s="229"/>
      <c r="J1" s="228"/>
      <c r="K1" s="228"/>
      <c r="L1" s="230"/>
      <c r="M1" s="231"/>
      <c r="N1" s="230"/>
      <c r="O1" s="228" t="s">
        <v>244</v>
      </c>
      <c r="P1" s="228"/>
      <c r="Q1" s="228"/>
      <c r="R1" s="232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x14ac:dyDescent="0.25">
      <c r="A2" s="15" t="s">
        <v>0</v>
      </c>
      <c r="B2" s="15" t="s">
        <v>245</v>
      </c>
      <c r="C2" s="15" t="s">
        <v>246</v>
      </c>
      <c r="D2" s="17" t="s">
        <v>636</v>
      </c>
      <c r="E2" s="17" t="s">
        <v>248</v>
      </c>
      <c r="F2" s="15" t="s">
        <v>249</v>
      </c>
      <c r="G2" s="18" t="s">
        <v>250</v>
      </c>
      <c r="H2" s="19" t="s">
        <v>251</v>
      </c>
      <c r="I2" s="20" t="s">
        <v>252</v>
      </c>
      <c r="J2" s="19" t="s">
        <v>253</v>
      </c>
      <c r="K2" s="19" t="s">
        <v>254</v>
      </c>
      <c r="L2" s="113" t="s">
        <v>255</v>
      </c>
      <c r="M2" s="21" t="s">
        <v>256</v>
      </c>
      <c r="N2" s="113" t="s">
        <v>257</v>
      </c>
      <c r="O2" s="19" t="s">
        <v>256</v>
      </c>
      <c r="P2" s="19" t="s">
        <v>258</v>
      </c>
      <c r="Q2" s="19" t="s">
        <v>259</v>
      </c>
      <c r="R2" s="16" t="s">
        <v>3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25">
      <c r="A3" s="15"/>
      <c r="B3" s="15"/>
      <c r="C3" s="15"/>
      <c r="D3" s="17"/>
      <c r="E3" s="17"/>
      <c r="F3" s="112"/>
      <c r="G3" s="18"/>
      <c r="H3" s="19"/>
      <c r="I3" s="20"/>
      <c r="J3" s="19"/>
      <c r="K3" s="19"/>
      <c r="L3" s="113"/>
      <c r="M3" s="21" t="s">
        <v>260</v>
      </c>
      <c r="N3" s="113"/>
      <c r="O3" s="19"/>
      <c r="P3" s="19"/>
      <c r="Q3" s="19"/>
      <c r="R3" s="16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x14ac:dyDescent="0.25">
      <c r="A4" s="46">
        <f t="shared" ref="A4:A123" si="0">IF(D4="","",SUBTOTAL(3,$D$4:D4))</f>
        <v>1</v>
      </c>
      <c r="B4" s="129" t="s">
        <v>48</v>
      </c>
      <c r="C4" s="129" t="str">
        <f ca="1">IFERROR(__xludf.DUMMYFUNCTION("IFERROR(VLOOKUP(B4,IMPORTRANGE(""https://docs.google.com/spreadsheets/d/1Hr4i_97qtgRe-bfuRbVkLVmXa34m06T7R6IJCbq42Xg/edit?gid=0#gid=0"",""Information!B5:S200""),4,0),"""")"),"")</f>
        <v/>
      </c>
      <c r="D4" s="153" t="s">
        <v>18</v>
      </c>
      <c r="E4" s="177" t="str">
        <f t="shared" ref="E4:E132" si="1">IF(B4="","",(D4 &amp;"/ST/2025"))</f>
        <v>001/ST/2025</v>
      </c>
      <c r="F4" s="131">
        <v>45658</v>
      </c>
      <c r="G4" s="136" t="s">
        <v>261</v>
      </c>
      <c r="H4" s="178">
        <v>2000000</v>
      </c>
      <c r="I4" s="179">
        <v>0.08</v>
      </c>
      <c r="J4" s="178">
        <f t="shared" ref="J4:J17" si="2">H4*I4</f>
        <v>160000</v>
      </c>
      <c r="K4" s="55">
        <f t="shared" ref="K4:K19" si="3">H4+J4-P4</f>
        <v>2160000</v>
      </c>
      <c r="L4" s="117">
        <f t="shared" ref="L4:L71" si="4">IF(F4="","",(F4+15))</f>
        <v>45673</v>
      </c>
      <c r="M4" s="127" t="s">
        <v>382</v>
      </c>
      <c r="N4" s="117"/>
      <c r="O4" s="55"/>
      <c r="P4" s="55"/>
      <c r="Q4" s="55"/>
      <c r="R4" s="49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</row>
    <row r="5" spans="1:41" x14ac:dyDescent="0.25">
      <c r="A5" s="46">
        <f t="shared" si="0"/>
        <v>2</v>
      </c>
      <c r="B5" s="129" t="s">
        <v>50</v>
      </c>
      <c r="C5" s="129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153" t="s">
        <v>22</v>
      </c>
      <c r="E5" s="177" t="str">
        <f t="shared" si="1"/>
        <v>002/ST/2025</v>
      </c>
      <c r="F5" s="131">
        <v>45658</v>
      </c>
      <c r="G5" s="136" t="s">
        <v>262</v>
      </c>
      <c r="H5" s="178">
        <v>2000000</v>
      </c>
      <c r="I5" s="179">
        <v>0.08</v>
      </c>
      <c r="J5" s="178">
        <f t="shared" si="2"/>
        <v>160000</v>
      </c>
      <c r="K5" s="55">
        <f t="shared" si="3"/>
        <v>2160000</v>
      </c>
      <c r="L5" s="117">
        <f t="shared" si="4"/>
        <v>45673</v>
      </c>
      <c r="M5" s="127" t="s">
        <v>382</v>
      </c>
      <c r="N5" s="117"/>
      <c r="O5" s="55"/>
      <c r="P5" s="55"/>
      <c r="Q5" s="55"/>
      <c r="R5" s="49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</row>
    <row r="6" spans="1:41" x14ac:dyDescent="0.25">
      <c r="A6" s="46">
        <f t="shared" si="0"/>
        <v>3</v>
      </c>
      <c r="B6" s="129" t="s">
        <v>56</v>
      </c>
      <c r="C6" s="129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154" t="s">
        <v>24</v>
      </c>
      <c r="E6" s="177" t="str">
        <f t="shared" si="1"/>
        <v>003/ST/2025</v>
      </c>
      <c r="F6" s="131">
        <v>45658</v>
      </c>
      <c r="G6" s="136" t="s">
        <v>263</v>
      </c>
      <c r="H6" s="178">
        <v>3500000</v>
      </c>
      <c r="I6" s="179">
        <v>0.08</v>
      </c>
      <c r="J6" s="178">
        <f t="shared" si="2"/>
        <v>280000</v>
      </c>
      <c r="K6" s="55">
        <f t="shared" si="3"/>
        <v>3780000</v>
      </c>
      <c r="L6" s="117">
        <f t="shared" si="4"/>
        <v>45673</v>
      </c>
      <c r="M6" s="127" t="s">
        <v>382</v>
      </c>
      <c r="N6" s="117"/>
      <c r="O6" s="55"/>
      <c r="P6" s="55"/>
      <c r="Q6" s="55"/>
      <c r="R6" s="49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</row>
    <row r="7" spans="1:41" x14ac:dyDescent="0.25">
      <c r="A7" s="46">
        <f t="shared" si="0"/>
        <v>4</v>
      </c>
      <c r="B7" s="29" t="s">
        <v>264</v>
      </c>
      <c r="C7" s="129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154" t="s">
        <v>27</v>
      </c>
      <c r="E7" s="177" t="str">
        <f t="shared" si="1"/>
        <v>004/ST/2025</v>
      </c>
      <c r="F7" s="131">
        <v>45658</v>
      </c>
      <c r="G7" s="136" t="s">
        <v>261</v>
      </c>
      <c r="H7" s="30">
        <v>2000000</v>
      </c>
      <c r="I7" s="179">
        <v>0.08</v>
      </c>
      <c r="J7" s="178">
        <f t="shared" si="2"/>
        <v>160000</v>
      </c>
      <c r="K7" s="55">
        <f t="shared" si="3"/>
        <v>2160000</v>
      </c>
      <c r="L7" s="117">
        <f t="shared" si="4"/>
        <v>45673</v>
      </c>
      <c r="M7" s="127" t="s">
        <v>382</v>
      </c>
      <c r="N7" s="87"/>
      <c r="O7" s="35"/>
      <c r="P7" s="35"/>
      <c r="Q7" s="35"/>
      <c r="R7" s="41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</row>
    <row r="8" spans="1:41" x14ac:dyDescent="0.25">
      <c r="A8" s="46">
        <f t="shared" si="0"/>
        <v>5</v>
      </c>
      <c r="B8" s="129" t="s">
        <v>64</v>
      </c>
      <c r="C8" s="129" t="str">
        <f ca="1">IFERROR(__xludf.DUMMYFUNCTION("IFERROR(VLOOKUP(B8,IMPORTRANGE(""https://docs.google.com/spreadsheets/d/1Hr4i_97qtgRe-bfuRbVkLVmXa34m06T7R6IJCbq42Xg/edit?gid=0#gid=0"",""Information!B5:S200""),4,0),"""")"),"")</f>
        <v/>
      </c>
      <c r="D8" s="154" t="s">
        <v>29</v>
      </c>
      <c r="E8" s="177" t="str">
        <f t="shared" si="1"/>
        <v>005/ST/2025</v>
      </c>
      <c r="F8" s="131">
        <v>45658</v>
      </c>
      <c r="G8" s="136" t="s">
        <v>265</v>
      </c>
      <c r="H8" s="178">
        <v>2000000</v>
      </c>
      <c r="I8" s="179">
        <v>0.08</v>
      </c>
      <c r="J8" s="178">
        <f t="shared" si="2"/>
        <v>160000</v>
      </c>
      <c r="K8" s="55">
        <f t="shared" si="3"/>
        <v>2160000</v>
      </c>
      <c r="L8" s="117">
        <f t="shared" si="4"/>
        <v>45673</v>
      </c>
      <c r="M8" s="127" t="s">
        <v>382</v>
      </c>
      <c r="N8" s="117"/>
      <c r="O8" s="55"/>
      <c r="P8" s="55"/>
      <c r="Q8" s="55"/>
      <c r="R8" s="49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</row>
    <row r="9" spans="1:41" x14ac:dyDescent="0.25">
      <c r="A9" s="46">
        <f t="shared" si="0"/>
        <v>6</v>
      </c>
      <c r="B9" s="129" t="s">
        <v>166</v>
      </c>
      <c r="C9" s="129" t="str">
        <f ca="1">IFERROR(__xludf.DUMMYFUNCTION("IFERROR(VLOOKUP(B9,IMPORTRANGE(""https://docs.google.com/spreadsheets/d/1Hr4i_97qtgRe-bfuRbVkLVmXa34m06T7R6IJCbq42Xg/edit?gid=0#gid=0"",""Information!B5:S200""),4,0),"""")"),"")</f>
        <v/>
      </c>
      <c r="D9" s="154" t="s">
        <v>31</v>
      </c>
      <c r="E9" s="177" t="str">
        <f t="shared" si="1"/>
        <v>006/ST/2025</v>
      </c>
      <c r="F9" s="131">
        <v>45658</v>
      </c>
      <c r="G9" s="136" t="s">
        <v>262</v>
      </c>
      <c r="H9" s="178">
        <v>3500000</v>
      </c>
      <c r="I9" s="179">
        <v>0.08</v>
      </c>
      <c r="J9" s="178">
        <f t="shared" si="2"/>
        <v>280000</v>
      </c>
      <c r="K9" s="55">
        <f t="shared" si="3"/>
        <v>3780000</v>
      </c>
      <c r="L9" s="117">
        <f t="shared" si="4"/>
        <v>45673</v>
      </c>
      <c r="M9" s="127" t="s">
        <v>382</v>
      </c>
      <c r="N9" s="117"/>
      <c r="O9" s="55"/>
      <c r="P9" s="55"/>
      <c r="Q9" s="55"/>
      <c r="R9" s="49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</row>
    <row r="10" spans="1:41" x14ac:dyDescent="0.25">
      <c r="A10" s="46">
        <f t="shared" si="0"/>
        <v>7</v>
      </c>
      <c r="B10" s="129" t="s">
        <v>266</v>
      </c>
      <c r="C10" s="129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10" s="154" t="s">
        <v>33</v>
      </c>
      <c r="E10" s="177" t="str">
        <f t="shared" si="1"/>
        <v>007/ST/2025</v>
      </c>
      <c r="F10" s="131">
        <v>45658</v>
      </c>
      <c r="G10" s="136" t="s">
        <v>265</v>
      </c>
      <c r="H10" s="178">
        <v>2000000</v>
      </c>
      <c r="I10" s="179">
        <v>0.08</v>
      </c>
      <c r="J10" s="178">
        <f t="shared" si="2"/>
        <v>160000</v>
      </c>
      <c r="K10" s="55">
        <f t="shared" si="3"/>
        <v>2160000</v>
      </c>
      <c r="L10" s="117">
        <f t="shared" si="4"/>
        <v>45673</v>
      </c>
      <c r="M10" s="127" t="s">
        <v>382</v>
      </c>
      <c r="N10" s="117"/>
      <c r="O10" s="55"/>
      <c r="P10" s="55"/>
      <c r="Q10" s="55"/>
      <c r="R10" s="49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</row>
    <row r="11" spans="1:41" x14ac:dyDescent="0.25">
      <c r="A11" s="46">
        <f t="shared" si="0"/>
        <v>8</v>
      </c>
      <c r="B11" s="180" t="s">
        <v>44</v>
      </c>
      <c r="C11" s="129" t="str">
        <f ca="1">IFERROR(__xludf.DUMMYFUNCTION("IFERROR(VLOOKUP(B11,IMPORTRANGE(""https://docs.google.com/spreadsheets/d/1Hr4i_97qtgRe-bfuRbVkLVmXa34m06T7R6IJCbq42Xg/edit?gid=0#gid=0"",""Information!B5:S200""),4,0),"""")"),"")</f>
        <v/>
      </c>
      <c r="D11" s="154" t="s">
        <v>35</v>
      </c>
      <c r="E11" s="177" t="str">
        <f t="shared" si="1"/>
        <v>008/ST/2025</v>
      </c>
      <c r="F11" s="131">
        <v>45658</v>
      </c>
      <c r="G11" s="136" t="s">
        <v>261</v>
      </c>
      <c r="H11" s="178">
        <v>2000000</v>
      </c>
      <c r="I11" s="179">
        <v>0.08</v>
      </c>
      <c r="J11" s="178">
        <f t="shared" si="2"/>
        <v>160000</v>
      </c>
      <c r="K11" s="55">
        <f t="shared" si="3"/>
        <v>2160000</v>
      </c>
      <c r="L11" s="117">
        <f t="shared" si="4"/>
        <v>45673</v>
      </c>
      <c r="M11" s="127" t="s">
        <v>382</v>
      </c>
      <c r="N11" s="117"/>
      <c r="O11" s="55"/>
      <c r="P11" s="55"/>
      <c r="Q11" s="55"/>
      <c r="R11" s="49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</row>
    <row r="12" spans="1:41" x14ac:dyDescent="0.25">
      <c r="A12" s="46">
        <f t="shared" si="0"/>
        <v>9</v>
      </c>
      <c r="B12" s="181" t="s">
        <v>32</v>
      </c>
      <c r="C12" s="129" t="str">
        <f ca="1">IFERROR(__xludf.DUMMYFUNCTION("IFERROR(VLOOKUP(B12,IMPORTRANGE(""https://docs.google.com/spreadsheets/d/1Hr4i_97qtgRe-bfuRbVkLVmXa34m06T7R6IJCbq42Xg/edit?gid=0#gid=0"",""Information!B5:S200""),4,0),"""")"),"")</f>
        <v/>
      </c>
      <c r="D12" s="154" t="s">
        <v>37</v>
      </c>
      <c r="E12" s="177" t="str">
        <f t="shared" si="1"/>
        <v>009/ST/2025</v>
      </c>
      <c r="F12" s="182">
        <v>45665</v>
      </c>
      <c r="G12" s="183" t="s">
        <v>267</v>
      </c>
      <c r="H12" s="184">
        <f>2191000+643000</f>
        <v>2834000</v>
      </c>
      <c r="I12" s="179">
        <v>0</v>
      </c>
      <c r="J12" s="178">
        <f t="shared" si="2"/>
        <v>0</v>
      </c>
      <c r="K12" s="55">
        <f t="shared" si="3"/>
        <v>2834000</v>
      </c>
      <c r="L12" s="117">
        <f t="shared" si="4"/>
        <v>45680</v>
      </c>
      <c r="M12" s="127" t="s">
        <v>382</v>
      </c>
      <c r="N12" s="117"/>
      <c r="O12" s="55"/>
      <c r="P12" s="55"/>
      <c r="Q12" s="55"/>
      <c r="R12" s="185"/>
      <c r="S12" s="186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</row>
    <row r="13" spans="1:41" x14ac:dyDescent="0.25">
      <c r="A13" s="46">
        <f t="shared" si="0"/>
        <v>10</v>
      </c>
      <c r="B13" s="181" t="s">
        <v>68</v>
      </c>
      <c r="C13" s="129" t="str">
        <f ca="1">IFERROR(__xludf.DUMMYFUNCTION("IFERROR(VLOOKUP(B13,IMPORTRANGE(""https://docs.google.com/spreadsheets/d/1Hr4i_97qtgRe-bfuRbVkLVmXa34m06T7R6IJCbq42Xg/edit?gid=0#gid=0"",""Information!B5:S200""),4,0),"""")"),"")</f>
        <v/>
      </c>
      <c r="D13" s="154" t="s">
        <v>39</v>
      </c>
      <c r="E13" s="177" t="str">
        <f t="shared" si="1"/>
        <v>010/ST/2025</v>
      </c>
      <c r="F13" s="182">
        <v>45665</v>
      </c>
      <c r="G13" s="183" t="s">
        <v>268</v>
      </c>
      <c r="H13" s="187">
        <v>1276000</v>
      </c>
      <c r="I13" s="179">
        <v>0</v>
      </c>
      <c r="J13" s="178">
        <f t="shared" si="2"/>
        <v>0</v>
      </c>
      <c r="K13" s="55">
        <f t="shared" si="3"/>
        <v>1276000</v>
      </c>
      <c r="L13" s="117">
        <f t="shared" si="4"/>
        <v>45680</v>
      </c>
      <c r="M13" s="127" t="s">
        <v>382</v>
      </c>
      <c r="N13" s="117"/>
      <c r="O13" s="55"/>
      <c r="P13" s="55"/>
      <c r="Q13" s="55"/>
      <c r="R13" s="49"/>
      <c r="S13" s="186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</row>
    <row r="14" spans="1:41" x14ac:dyDescent="0.25">
      <c r="A14" s="46">
        <f t="shared" si="0"/>
        <v>11</v>
      </c>
      <c r="B14" s="181" t="s">
        <v>44</v>
      </c>
      <c r="C14" s="129" t="str">
        <f ca="1">IFERROR(__xludf.DUMMYFUNCTION("IFERROR(VLOOKUP(B14,IMPORTRANGE(""https://docs.google.com/spreadsheets/d/1Hr4i_97qtgRe-bfuRbVkLVmXa34m06T7R6IJCbq42Xg/edit?gid=0#gid=0"",""Information!B5:S200""),4,0),"""")"),"")</f>
        <v/>
      </c>
      <c r="D14" s="154" t="s">
        <v>41</v>
      </c>
      <c r="E14" s="177" t="str">
        <f t="shared" si="1"/>
        <v>011/ST/2025</v>
      </c>
      <c r="F14" s="182">
        <v>45666</v>
      </c>
      <c r="G14" s="183" t="s">
        <v>268</v>
      </c>
      <c r="H14" s="187">
        <v>1276000</v>
      </c>
      <c r="I14" s="179">
        <v>0</v>
      </c>
      <c r="J14" s="178">
        <f t="shared" si="2"/>
        <v>0</v>
      </c>
      <c r="K14" s="55">
        <f t="shared" si="3"/>
        <v>1276000</v>
      </c>
      <c r="L14" s="117">
        <f t="shared" si="4"/>
        <v>45681</v>
      </c>
      <c r="M14" s="127" t="s">
        <v>382</v>
      </c>
      <c r="N14" s="117"/>
      <c r="O14" s="55"/>
      <c r="P14" s="55"/>
      <c r="Q14" s="55"/>
      <c r="R14" s="49"/>
      <c r="S14" s="186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</row>
    <row r="15" spans="1:41" x14ac:dyDescent="0.25">
      <c r="A15" s="46">
        <f t="shared" si="0"/>
        <v>12</v>
      </c>
      <c r="B15" s="181" t="s">
        <v>42</v>
      </c>
      <c r="C15" s="129" t="str">
        <f ca="1">IFERROR(__xludf.DUMMYFUNCTION("IFERROR(VLOOKUP(B15,IMPORTRANGE(""https://docs.google.com/spreadsheets/d/1Hr4i_97qtgRe-bfuRbVkLVmXa34m06T7R6IJCbq42Xg/edit?gid=0#gid=0"",""Information!B5:S200""),4,0),"""")"),"")</f>
        <v/>
      </c>
      <c r="D15" s="154" t="s">
        <v>43</v>
      </c>
      <c r="E15" s="177" t="str">
        <f t="shared" si="1"/>
        <v>012/ST/2025</v>
      </c>
      <c r="F15" s="182">
        <v>45666</v>
      </c>
      <c r="G15" s="183" t="s">
        <v>269</v>
      </c>
      <c r="H15" s="187">
        <v>700000</v>
      </c>
      <c r="I15" s="179">
        <v>0</v>
      </c>
      <c r="J15" s="178">
        <f t="shared" si="2"/>
        <v>0</v>
      </c>
      <c r="K15" s="55">
        <f t="shared" si="3"/>
        <v>700000</v>
      </c>
      <c r="L15" s="117">
        <f t="shared" si="4"/>
        <v>45681</v>
      </c>
      <c r="M15" s="127" t="s">
        <v>382</v>
      </c>
      <c r="N15" s="233"/>
      <c r="O15" s="178"/>
      <c r="P15" s="178"/>
      <c r="Q15" s="178"/>
      <c r="R15" s="49"/>
      <c r="S15" s="186"/>
      <c r="T15" s="186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</row>
    <row r="16" spans="1:41" x14ac:dyDescent="0.25">
      <c r="A16" s="46">
        <f t="shared" si="0"/>
        <v>13</v>
      </c>
      <c r="B16" s="181" t="s">
        <v>40</v>
      </c>
      <c r="C16" s="129" t="str">
        <f ca="1">IFERROR(__xludf.DUMMYFUNCTION("IFERROR(VLOOKUP(B16,IMPORTRANGE(""https://docs.google.com/spreadsheets/d/1Hr4i_97qtgRe-bfuRbVkLVmXa34m06T7R6IJCbq42Xg/edit?gid=0#gid=0"",""Information!B5:S200""),4,0),"""")"),"")</f>
        <v/>
      </c>
      <c r="D16" s="154" t="s">
        <v>45</v>
      </c>
      <c r="E16" s="177" t="str">
        <f t="shared" si="1"/>
        <v>013/ST/2025</v>
      </c>
      <c r="F16" s="182">
        <v>45666</v>
      </c>
      <c r="G16" s="183" t="s">
        <v>268</v>
      </c>
      <c r="H16" s="187">
        <v>1276000</v>
      </c>
      <c r="I16" s="179">
        <v>0</v>
      </c>
      <c r="J16" s="178">
        <f t="shared" si="2"/>
        <v>0</v>
      </c>
      <c r="K16" s="55">
        <f t="shared" si="3"/>
        <v>1276000</v>
      </c>
      <c r="L16" s="117">
        <f t="shared" si="4"/>
        <v>45681</v>
      </c>
      <c r="M16" s="127" t="s">
        <v>382</v>
      </c>
      <c r="N16" s="117"/>
      <c r="O16" s="55"/>
      <c r="P16" s="55"/>
      <c r="Q16" s="55"/>
      <c r="R16" s="49"/>
      <c r="S16" s="186"/>
      <c r="T16" s="186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spans="1:41" x14ac:dyDescent="0.25">
      <c r="A17" s="46">
        <f t="shared" si="0"/>
        <v>14</v>
      </c>
      <c r="B17" s="181" t="s">
        <v>21</v>
      </c>
      <c r="C17" s="129" t="str">
        <f ca="1">IFERROR(__xludf.DUMMYFUNCTION("IFERROR(VLOOKUP(B17,IMPORTRANGE(""https://docs.google.com/spreadsheets/d/1Hr4i_97qtgRe-bfuRbVkLVmXa34m06T7R6IJCbq42Xg/edit?gid=0#gid=0"",""Information!B5:S200""),4,0),"""")"),"")</f>
        <v/>
      </c>
      <c r="D17" s="154" t="s">
        <v>47</v>
      </c>
      <c r="E17" s="177" t="str">
        <f t="shared" si="1"/>
        <v>014/ST/2025</v>
      </c>
      <c r="F17" s="155">
        <v>45670</v>
      </c>
      <c r="G17" s="183" t="s">
        <v>269</v>
      </c>
      <c r="H17" s="178">
        <v>700000</v>
      </c>
      <c r="I17" s="179">
        <v>0</v>
      </c>
      <c r="J17" s="178">
        <f t="shared" si="2"/>
        <v>0</v>
      </c>
      <c r="K17" s="55">
        <f t="shared" si="3"/>
        <v>700000</v>
      </c>
      <c r="L17" s="117">
        <f t="shared" si="4"/>
        <v>45685</v>
      </c>
      <c r="M17" s="127" t="s">
        <v>382</v>
      </c>
      <c r="N17" s="117"/>
      <c r="O17" s="55"/>
      <c r="P17" s="55"/>
      <c r="Q17" s="55"/>
      <c r="R17" s="185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spans="1:41" x14ac:dyDescent="0.25">
      <c r="A18" s="46">
        <f t="shared" si="0"/>
        <v>15</v>
      </c>
      <c r="B18" s="181" t="s">
        <v>112</v>
      </c>
      <c r="C18" s="129" t="str">
        <f ca="1">IFERROR(__xludf.DUMMYFUNCTION("IFERROR(VLOOKUP(B18,IMPORTRANGE(""https://docs.google.com/spreadsheets/d/1Hr4i_97qtgRe-bfuRbVkLVmXa34m06T7R6IJCbq42Xg/edit?gid=0#gid=0"",""Information!B5:S200""),4,0),"""")"),"")</f>
        <v/>
      </c>
      <c r="D18" s="154" t="s">
        <v>49</v>
      </c>
      <c r="E18" s="177" t="str">
        <f t="shared" si="1"/>
        <v>015/ST/2025</v>
      </c>
      <c r="F18" s="182">
        <v>45673</v>
      </c>
      <c r="G18" s="183" t="s">
        <v>270</v>
      </c>
      <c r="H18" s="184">
        <v>4233000</v>
      </c>
      <c r="I18" s="179">
        <v>0.08</v>
      </c>
      <c r="J18" s="178">
        <v>160000</v>
      </c>
      <c r="K18" s="55">
        <f t="shared" si="3"/>
        <v>4393000</v>
      </c>
      <c r="L18" s="117">
        <f t="shared" si="4"/>
        <v>45688</v>
      </c>
      <c r="M18" s="127" t="s">
        <v>382</v>
      </c>
      <c r="N18" s="117"/>
      <c r="O18" s="55"/>
      <c r="P18" s="55"/>
      <c r="Q18" s="55"/>
      <c r="R18" s="49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</row>
    <row r="19" spans="1:41" x14ac:dyDescent="0.25">
      <c r="A19" s="46">
        <f t="shared" si="0"/>
        <v>16</v>
      </c>
      <c r="B19" s="154" t="s">
        <v>124</v>
      </c>
      <c r="C19" s="129" t="str">
        <f ca="1">IFERROR(__xludf.DUMMYFUNCTION("IFERROR(VLOOKUP(B19,IMPORTRANGE(""https://docs.google.com/spreadsheets/d/1Hr4i_97qtgRe-bfuRbVkLVmXa34m06T7R6IJCbq42Xg/edit?gid=0#gid=0"",""Information!B5:S200""),4,0),"""")"),"")</f>
        <v/>
      </c>
      <c r="D19" s="154" t="s">
        <v>51</v>
      </c>
      <c r="E19" s="177" t="str">
        <f t="shared" si="1"/>
        <v>016/ST/2025</v>
      </c>
      <c r="F19" s="182">
        <v>45673</v>
      </c>
      <c r="G19" s="183" t="s">
        <v>271</v>
      </c>
      <c r="H19" s="184">
        <v>7000000</v>
      </c>
      <c r="I19" s="179">
        <v>0.08</v>
      </c>
      <c r="J19" s="178">
        <f>H19*I19</f>
        <v>560000</v>
      </c>
      <c r="K19" s="55">
        <f t="shared" si="3"/>
        <v>7560000</v>
      </c>
      <c r="L19" s="117">
        <f t="shared" si="4"/>
        <v>45688</v>
      </c>
      <c r="M19" s="127" t="s">
        <v>25</v>
      </c>
      <c r="N19" s="117"/>
      <c r="O19" s="55"/>
      <c r="P19" s="55"/>
      <c r="Q19" s="55"/>
      <c r="R19" s="49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spans="1:41" x14ac:dyDescent="0.25">
      <c r="A20" s="46">
        <f t="shared" si="0"/>
        <v>17</v>
      </c>
      <c r="B20" s="154" t="s">
        <v>78</v>
      </c>
      <c r="C20" s="129" t="str">
        <f ca="1">IFERROR(__xludf.DUMMYFUNCTION("IFERROR(VLOOKUP(B20,IMPORTRANGE(""https://docs.google.com/spreadsheets/d/1Hr4i_97qtgRe-bfuRbVkLVmXa34m06T7R6IJCbq42Xg/edit?gid=0#gid=0"",""Information!B5:S200""),4,0),"""")"),"")</f>
        <v/>
      </c>
      <c r="D20" s="154" t="s">
        <v>53</v>
      </c>
      <c r="E20" s="177" t="str">
        <f t="shared" si="1"/>
        <v>017/ST/2025</v>
      </c>
      <c r="F20" s="155">
        <v>45677</v>
      </c>
      <c r="G20" s="183" t="s">
        <v>268</v>
      </c>
      <c r="H20" s="178">
        <v>1276000</v>
      </c>
      <c r="I20" s="179">
        <v>0</v>
      </c>
      <c r="J20" s="178">
        <v>0</v>
      </c>
      <c r="K20" s="55">
        <v>1276000</v>
      </c>
      <c r="L20" s="117">
        <f t="shared" si="4"/>
        <v>45692</v>
      </c>
      <c r="M20" s="127"/>
      <c r="N20" s="117"/>
      <c r="O20" s="55"/>
      <c r="P20" s="55"/>
      <c r="Q20" s="55"/>
      <c r="R20" s="49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spans="1:41" x14ac:dyDescent="0.25">
      <c r="A21" s="46">
        <f t="shared" si="0"/>
        <v>18</v>
      </c>
      <c r="B21" s="188" t="s">
        <v>96</v>
      </c>
      <c r="C21" s="129" t="str">
        <f ca="1">IFERROR(__xludf.DUMMYFUNCTION("IFERROR(VLOOKUP(B21,IMPORTRANGE(""https://docs.google.com/spreadsheets/d/1Hr4i_97qtgRe-bfuRbVkLVmXa34m06T7R6IJCbq42Xg/edit?gid=0#gid=0"",""Information!B5:S200""),4,0),"""")"),"")</f>
        <v/>
      </c>
      <c r="D21" s="154" t="s">
        <v>55</v>
      </c>
      <c r="E21" s="177" t="str">
        <f t="shared" si="1"/>
        <v>018/ST/2025</v>
      </c>
      <c r="F21" s="182">
        <v>45698</v>
      </c>
      <c r="G21" s="189" t="s">
        <v>272</v>
      </c>
      <c r="H21" s="184">
        <v>3000000</v>
      </c>
      <c r="I21" s="179">
        <v>0</v>
      </c>
      <c r="J21" s="178">
        <f t="shared" ref="J21:J25" si="5">H21*I21</f>
        <v>0</v>
      </c>
      <c r="K21" s="55">
        <f t="shared" ref="K21:K25" si="6">H21+J21-P21</f>
        <v>3000000</v>
      </c>
      <c r="L21" s="117">
        <f t="shared" si="4"/>
        <v>45713</v>
      </c>
      <c r="M21" s="127" t="s">
        <v>382</v>
      </c>
      <c r="N21" s="117"/>
      <c r="O21" s="55"/>
      <c r="P21" s="55"/>
      <c r="Q21" s="55"/>
      <c r="R21" s="185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</row>
    <row r="22" spans="1:41" x14ac:dyDescent="0.25">
      <c r="A22" s="46">
        <f t="shared" si="0"/>
        <v>19</v>
      </c>
      <c r="B22" s="188" t="s">
        <v>96</v>
      </c>
      <c r="C22" s="129" t="str">
        <f ca="1">IFERROR(__xludf.DUMMYFUNCTION("IFERROR(VLOOKUP(B22,IMPORTRANGE(""https://docs.google.com/spreadsheets/d/1Hr4i_97qtgRe-bfuRbVkLVmXa34m06T7R6IJCbq42Xg/edit?gid=0#gid=0"",""Information!B5:S200""),4,0),"""")"),"")</f>
        <v/>
      </c>
      <c r="D22" s="154" t="s">
        <v>57</v>
      </c>
      <c r="E22" s="177" t="str">
        <f t="shared" si="1"/>
        <v>019/ST/2025</v>
      </c>
      <c r="F22" s="182">
        <v>45698</v>
      </c>
      <c r="G22" s="183" t="s">
        <v>268</v>
      </c>
      <c r="H22" s="184">
        <v>1276000</v>
      </c>
      <c r="I22" s="179">
        <v>0</v>
      </c>
      <c r="J22" s="178">
        <f t="shared" si="5"/>
        <v>0</v>
      </c>
      <c r="K22" s="55">
        <f t="shared" si="6"/>
        <v>1276000</v>
      </c>
      <c r="L22" s="117">
        <f t="shared" si="4"/>
        <v>45713</v>
      </c>
      <c r="M22" s="127" t="s">
        <v>382</v>
      </c>
      <c r="N22" s="117"/>
      <c r="O22" s="55"/>
      <c r="P22" s="55"/>
      <c r="Q22" s="55"/>
      <c r="R22" s="49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</row>
    <row r="23" spans="1:41" x14ac:dyDescent="0.25">
      <c r="A23" s="46">
        <f t="shared" si="0"/>
        <v>20</v>
      </c>
      <c r="B23" s="181" t="s">
        <v>140</v>
      </c>
      <c r="C23" s="129" t="str">
        <f ca="1">IFERROR(__xludf.DUMMYFUNCTION("IFERROR(VLOOKUP(B23,IMPORTRANGE(""https://docs.google.com/spreadsheets/d/1Hr4i_97qtgRe-bfuRbVkLVmXa34m06T7R6IJCbq42Xg/edit?gid=0#gid=0"",""Information!B5:S200""),4,0),"""")"),"")</f>
        <v/>
      </c>
      <c r="D23" s="154" t="s">
        <v>59</v>
      </c>
      <c r="E23" s="177" t="str">
        <f t="shared" si="1"/>
        <v>020/ST/2025</v>
      </c>
      <c r="F23" s="182">
        <v>45698</v>
      </c>
      <c r="G23" s="183" t="s">
        <v>273</v>
      </c>
      <c r="H23" s="184">
        <v>1500000</v>
      </c>
      <c r="I23" s="179">
        <v>0.08</v>
      </c>
      <c r="J23" s="178">
        <f t="shared" si="5"/>
        <v>120000</v>
      </c>
      <c r="K23" s="55">
        <f t="shared" si="6"/>
        <v>1620000</v>
      </c>
      <c r="L23" s="117">
        <f t="shared" si="4"/>
        <v>45713</v>
      </c>
      <c r="M23" s="127" t="s">
        <v>382</v>
      </c>
      <c r="N23" s="117"/>
      <c r="O23" s="55"/>
      <c r="P23" s="55"/>
      <c r="Q23" s="55"/>
      <c r="R23" s="49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spans="1:41" x14ac:dyDescent="0.25">
      <c r="A24" s="46">
        <f t="shared" si="0"/>
        <v>21</v>
      </c>
      <c r="B24" s="154" t="s">
        <v>60</v>
      </c>
      <c r="C24" s="129" t="str">
        <f ca="1">IFERROR(__xludf.DUMMYFUNCTION("IFERROR(VLOOKUP(B24,IMPORTRANGE(""https://docs.google.com/spreadsheets/d/1Hr4i_97qtgRe-bfuRbVkLVmXa34m06T7R6IJCbq42Xg/edit?gid=0#gid=0"",""Information!B5:S200""),4,0),"""")"),"")</f>
        <v/>
      </c>
      <c r="D24" s="154" t="s">
        <v>61</v>
      </c>
      <c r="E24" s="177" t="str">
        <f t="shared" si="1"/>
        <v>021/ST/2025</v>
      </c>
      <c r="F24" s="155">
        <v>45714</v>
      </c>
      <c r="G24" s="183" t="s">
        <v>274</v>
      </c>
      <c r="H24" s="184">
        <v>3000000</v>
      </c>
      <c r="I24" s="179">
        <v>0.08</v>
      </c>
      <c r="J24" s="178">
        <f t="shared" si="5"/>
        <v>240000</v>
      </c>
      <c r="K24" s="55">
        <f t="shared" si="6"/>
        <v>3240000</v>
      </c>
      <c r="L24" s="117">
        <f t="shared" si="4"/>
        <v>45729</v>
      </c>
      <c r="M24" s="127" t="s">
        <v>25</v>
      </c>
      <c r="N24" s="117"/>
      <c r="O24" s="55"/>
      <c r="P24" s="55"/>
      <c r="Q24" s="55"/>
      <c r="R24" s="49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spans="1:41" x14ac:dyDescent="0.25">
      <c r="A25" s="46">
        <f t="shared" si="0"/>
        <v>22</v>
      </c>
      <c r="B25" s="154" t="s">
        <v>617</v>
      </c>
      <c r="C25" s="129" t="str">
        <f ca="1">IFERROR(__xludf.DUMMYFUNCTION("IFERROR(VLOOKUP(B25,IMPORTRANGE(""https://docs.google.com/spreadsheets/d/1Hr4i_97qtgRe-bfuRbVkLVmXa34m06T7R6IJCbq42Xg/edit?gid=0#gid=0"",""Information!B5:S200""),4,0),"""")"),"")</f>
        <v/>
      </c>
      <c r="D25" s="154" t="s">
        <v>63</v>
      </c>
      <c r="E25" s="177" t="str">
        <f t="shared" si="1"/>
        <v>022/ST/2025</v>
      </c>
      <c r="F25" s="155">
        <v>45719</v>
      </c>
      <c r="G25" s="183" t="s">
        <v>275</v>
      </c>
      <c r="H25" s="178">
        <v>880000</v>
      </c>
      <c r="I25" s="179">
        <v>0.08</v>
      </c>
      <c r="J25" s="178">
        <f t="shared" si="5"/>
        <v>70400</v>
      </c>
      <c r="K25" s="55">
        <f t="shared" si="6"/>
        <v>950400</v>
      </c>
      <c r="L25" s="117">
        <f t="shared" si="4"/>
        <v>45734</v>
      </c>
      <c r="M25" s="127" t="s">
        <v>382</v>
      </c>
      <c r="N25" s="117"/>
      <c r="O25" s="55"/>
      <c r="P25" s="55"/>
      <c r="Q25" s="55"/>
      <c r="R25" s="49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spans="1:41" x14ac:dyDescent="0.25">
      <c r="A26" s="46">
        <f t="shared" si="0"/>
        <v>23</v>
      </c>
      <c r="B26" s="154" t="s">
        <v>174</v>
      </c>
      <c r="C26" s="129" t="str">
        <f ca="1">IFERROR(__xludf.DUMMYFUNCTION("IFERROR(VLOOKUP(B26,IMPORTRANGE(""https://docs.google.com/spreadsheets/d/1Hr4i_97qtgRe-bfuRbVkLVmXa34m06T7R6IJCbq42Xg/edit?gid=0#gid=0"",""Information!B5:S200""),4,0),"""")"),"")</f>
        <v/>
      </c>
      <c r="D26" s="154" t="s">
        <v>65</v>
      </c>
      <c r="E26" s="177" t="str">
        <f t="shared" si="1"/>
        <v>023/ST/2025</v>
      </c>
      <c r="F26" s="155">
        <v>45719</v>
      </c>
      <c r="G26" s="183" t="s">
        <v>276</v>
      </c>
      <c r="H26" s="178">
        <v>1650000</v>
      </c>
      <c r="I26" s="179"/>
      <c r="J26" s="178"/>
      <c r="K26" s="55"/>
      <c r="L26" s="117">
        <f t="shared" si="4"/>
        <v>45734</v>
      </c>
      <c r="M26" s="127"/>
      <c r="N26" s="117"/>
      <c r="O26" s="55"/>
      <c r="P26" s="55"/>
      <c r="Q26" s="55"/>
      <c r="R26" s="49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spans="1:41" x14ac:dyDescent="0.25">
      <c r="A27" s="46">
        <f t="shared" si="0"/>
        <v>24</v>
      </c>
      <c r="B27" s="154" t="s">
        <v>52</v>
      </c>
      <c r="C27" s="129" t="str">
        <f ca="1">IFERROR(__xludf.DUMMYFUNCTION("IFERROR(VLOOKUP(B27,IMPORTRANGE(""https://docs.google.com/spreadsheets/d/1Hr4i_97qtgRe-bfuRbVkLVmXa34m06T7R6IJCbq42Xg/edit?gid=0#gid=0"",""Information!B5:S200""),4,0),"""")"),"")</f>
        <v/>
      </c>
      <c r="D27" s="154" t="s">
        <v>67</v>
      </c>
      <c r="E27" s="177" t="str">
        <f t="shared" si="1"/>
        <v>024/ST/2025</v>
      </c>
      <c r="F27" s="155">
        <v>45726</v>
      </c>
      <c r="G27" s="183" t="s">
        <v>268</v>
      </c>
      <c r="H27" s="178">
        <v>1276000</v>
      </c>
      <c r="I27" s="179">
        <v>0</v>
      </c>
      <c r="J27" s="178">
        <v>0</v>
      </c>
      <c r="K27" s="55">
        <v>1276000</v>
      </c>
      <c r="L27" s="117">
        <f t="shared" si="4"/>
        <v>45741</v>
      </c>
      <c r="M27" s="127"/>
      <c r="N27" s="117"/>
      <c r="O27" s="55"/>
      <c r="P27" s="55"/>
      <c r="Q27" s="55"/>
      <c r="R27" s="49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spans="1:41" x14ac:dyDescent="0.25">
      <c r="A28" s="46">
        <f t="shared" si="0"/>
        <v>25</v>
      </c>
      <c r="B28" s="181" t="s">
        <v>140</v>
      </c>
      <c r="C28" s="129" t="str">
        <f ca="1">IFERROR(__xludf.DUMMYFUNCTION("IFERROR(VLOOKUP(B28,IMPORTRANGE(""https://docs.google.com/spreadsheets/d/1Hr4i_97qtgRe-bfuRbVkLVmXa34m06T7R6IJCbq42Xg/edit?gid=0#gid=0"",""Information!B5:S200""),4,0),"""")"),"")</f>
        <v/>
      </c>
      <c r="D28" s="154" t="s">
        <v>69</v>
      </c>
      <c r="E28" s="177" t="str">
        <f t="shared" si="1"/>
        <v>025/ST/2025</v>
      </c>
      <c r="F28" s="190">
        <v>45740</v>
      </c>
      <c r="G28" s="183" t="s">
        <v>268</v>
      </c>
      <c r="H28" s="184">
        <v>1276000</v>
      </c>
      <c r="I28" s="179">
        <v>0</v>
      </c>
      <c r="J28" s="178">
        <f>H28*I28</f>
        <v>0</v>
      </c>
      <c r="K28" s="55">
        <f t="shared" ref="K28:K32" si="7">H28+J28-P28</f>
        <v>1276000</v>
      </c>
      <c r="L28" s="117">
        <f t="shared" si="4"/>
        <v>45755</v>
      </c>
      <c r="M28" s="127" t="s">
        <v>382</v>
      </c>
      <c r="N28" s="117"/>
      <c r="O28" s="55"/>
      <c r="P28" s="55"/>
      <c r="Q28" s="55"/>
      <c r="R28" s="49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spans="1:41" x14ac:dyDescent="0.25">
      <c r="A29" s="46">
        <f t="shared" si="0"/>
        <v>26</v>
      </c>
      <c r="B29" s="154" t="s">
        <v>94</v>
      </c>
      <c r="C29" s="129" t="str">
        <f ca="1">IFERROR(__xludf.DUMMYFUNCTION("IFERROR(VLOOKUP(B29,IMPORTRANGE(""https://docs.google.com/spreadsheets/d/1Hr4i_97qtgRe-bfuRbVkLVmXa34m06T7R6IJCbq42Xg/edit?gid=0#gid=0"",""Information!B5:S200""),4,0),"""")"),"")</f>
        <v/>
      </c>
      <c r="D29" s="154" t="s">
        <v>71</v>
      </c>
      <c r="E29" s="177" t="str">
        <f t="shared" si="1"/>
        <v>026/ST/2025</v>
      </c>
      <c r="F29" s="155">
        <v>45742</v>
      </c>
      <c r="G29" s="183" t="s">
        <v>277</v>
      </c>
      <c r="H29" s="178">
        <v>2909000</v>
      </c>
      <c r="I29" s="179">
        <v>0</v>
      </c>
      <c r="J29" s="178"/>
      <c r="K29" s="55">
        <f t="shared" si="7"/>
        <v>2909000</v>
      </c>
      <c r="L29" s="117">
        <f t="shared" si="4"/>
        <v>45757</v>
      </c>
      <c r="M29" s="127"/>
      <c r="N29" s="117"/>
      <c r="O29" s="55"/>
      <c r="P29" s="55"/>
      <c r="Q29" s="55"/>
      <c r="R29" s="49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:41" x14ac:dyDescent="0.25">
      <c r="A30" s="46">
        <f t="shared" si="0"/>
        <v>27</v>
      </c>
      <c r="B30" s="154" t="s">
        <v>70</v>
      </c>
      <c r="C30" s="129" t="str">
        <f ca="1">IFERROR(__xludf.DUMMYFUNCTION("IFERROR(VLOOKUP(B30,IMPORTRANGE(""https://docs.google.com/spreadsheets/d/1Hr4i_97qtgRe-bfuRbVkLVmXa34m06T7R6IJCbq42Xg/edit?gid=0#gid=0"",""Information!B5:S200""),4,0),"""")"),"")</f>
        <v/>
      </c>
      <c r="D30" s="154" t="s">
        <v>73</v>
      </c>
      <c r="E30" s="177" t="str">
        <f t="shared" si="1"/>
        <v>027/ST/2025</v>
      </c>
      <c r="F30" s="155">
        <v>45743</v>
      </c>
      <c r="G30" s="183" t="s">
        <v>278</v>
      </c>
      <c r="H30" s="178">
        <v>786000</v>
      </c>
      <c r="I30" s="179">
        <v>0.08</v>
      </c>
      <c r="J30" s="178">
        <f t="shared" ref="J30:J32" si="8">H30*I30</f>
        <v>62880</v>
      </c>
      <c r="K30" s="55">
        <f t="shared" si="7"/>
        <v>848880</v>
      </c>
      <c r="L30" s="117">
        <f t="shared" si="4"/>
        <v>45758</v>
      </c>
      <c r="M30" s="127" t="s">
        <v>382</v>
      </c>
      <c r="N30" s="117"/>
      <c r="O30" s="55"/>
      <c r="P30" s="55"/>
      <c r="Q30" s="55"/>
      <c r="R30" s="49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:41" x14ac:dyDescent="0.25">
      <c r="A31" s="46">
        <f t="shared" si="0"/>
        <v>28</v>
      </c>
      <c r="B31" s="154" t="s">
        <v>88</v>
      </c>
      <c r="C31" s="129" t="str">
        <f ca="1">IFERROR(__xludf.DUMMYFUNCTION("IFERROR(VLOOKUP(B31,IMPORTRANGE(""https://docs.google.com/spreadsheets/d/1Hr4i_97qtgRe-bfuRbVkLVmXa34m06T7R6IJCbq42Xg/edit?gid=0#gid=0"",""Information!B5:S200""),4,0),"""")"),"")</f>
        <v/>
      </c>
      <c r="D31" s="154" t="s">
        <v>75</v>
      </c>
      <c r="E31" s="177" t="str">
        <f t="shared" si="1"/>
        <v>028/ST/2025</v>
      </c>
      <c r="F31" s="155">
        <v>45744</v>
      </c>
      <c r="G31" s="183" t="s">
        <v>268</v>
      </c>
      <c r="H31" s="55">
        <v>1276000</v>
      </c>
      <c r="I31" s="179">
        <v>0</v>
      </c>
      <c r="J31" s="178">
        <f t="shared" si="8"/>
        <v>0</v>
      </c>
      <c r="K31" s="55">
        <f t="shared" si="7"/>
        <v>1276000</v>
      </c>
      <c r="L31" s="117">
        <f t="shared" si="4"/>
        <v>45759</v>
      </c>
      <c r="M31" s="127" t="s">
        <v>382</v>
      </c>
      <c r="N31" s="233"/>
      <c r="O31" s="178"/>
      <c r="P31" s="178"/>
      <c r="Q31" s="178"/>
      <c r="R31" s="49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:41" x14ac:dyDescent="0.25">
      <c r="A32" s="46">
        <f t="shared" si="0"/>
        <v>29</v>
      </c>
      <c r="B32" s="154" t="s">
        <v>279</v>
      </c>
      <c r="C32" s="129" t="str">
        <f ca="1">IFERROR(__xludf.DUMMYFUNCTION("IFERROR(VLOOKUP(B32,IMPORTRANGE(""https://docs.google.com/spreadsheets/d/1Hr4i_97qtgRe-bfuRbVkLVmXa34m06T7R6IJCbq42Xg/edit?gid=0#gid=0"",""Information!B5:S200""),4,0),"""")"),"")</f>
        <v/>
      </c>
      <c r="D32" s="154" t="s">
        <v>77</v>
      </c>
      <c r="E32" s="177" t="str">
        <f t="shared" si="1"/>
        <v>029/ST/2025</v>
      </c>
      <c r="F32" s="155">
        <v>45744</v>
      </c>
      <c r="G32" s="183" t="s">
        <v>269</v>
      </c>
      <c r="H32" s="178">
        <v>700000</v>
      </c>
      <c r="I32" s="179">
        <v>0</v>
      </c>
      <c r="J32" s="178">
        <f t="shared" si="8"/>
        <v>0</v>
      </c>
      <c r="K32" s="55">
        <f t="shared" si="7"/>
        <v>700000</v>
      </c>
      <c r="L32" s="117">
        <f t="shared" si="4"/>
        <v>45759</v>
      </c>
      <c r="M32" s="127"/>
      <c r="N32" s="117"/>
      <c r="O32" s="55"/>
      <c r="P32" s="55"/>
      <c r="Q32" s="55"/>
      <c r="R32" s="49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:41" x14ac:dyDescent="0.25">
      <c r="A33" s="46">
        <f t="shared" si="0"/>
        <v>30</v>
      </c>
      <c r="B33" s="154" t="s">
        <v>74</v>
      </c>
      <c r="C33" s="129" t="str">
        <f ca="1">IFERROR(__xludf.DUMMYFUNCTION("IFERROR(VLOOKUP(B33,IMPORTRANGE(""https://docs.google.com/spreadsheets/d/1Hr4i_97qtgRe-bfuRbVkLVmXa34m06T7R6IJCbq42Xg/edit?gid=0#gid=0"",""Information!B5:S200""),4,0),"""")"),"")</f>
        <v/>
      </c>
      <c r="D33" s="154" t="s">
        <v>79</v>
      </c>
      <c r="E33" s="177" t="str">
        <f t="shared" si="1"/>
        <v>030/ST/2025</v>
      </c>
      <c r="F33" s="155">
        <v>45747</v>
      </c>
      <c r="G33" s="183" t="s">
        <v>268</v>
      </c>
      <c r="H33" s="55">
        <v>1276000</v>
      </c>
      <c r="I33" s="179">
        <v>0</v>
      </c>
      <c r="J33" s="178">
        <v>0</v>
      </c>
      <c r="K33" s="55">
        <v>1276000</v>
      </c>
      <c r="L33" s="117">
        <f t="shared" si="4"/>
        <v>45762</v>
      </c>
      <c r="M33" s="127" t="s">
        <v>382</v>
      </c>
      <c r="N33" s="117"/>
      <c r="O33" s="55"/>
      <c r="P33" s="55"/>
      <c r="Q33" s="55"/>
      <c r="R33" s="49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:41" x14ac:dyDescent="0.25">
      <c r="A34" s="46">
        <f t="shared" si="0"/>
        <v>31</v>
      </c>
      <c r="B34" s="154" t="s">
        <v>280</v>
      </c>
      <c r="C34" s="129" t="str">
        <f ca="1">IFERROR(__xludf.DUMMYFUNCTION("IFERROR(VLOOKUP(B34,IMPORTRANGE(""https://docs.google.com/spreadsheets/d/1Hr4i_97qtgRe-bfuRbVkLVmXa34m06T7R6IJCbq42Xg/edit?gid=0#gid=0"",""Information!B5:S200""),4,0),"""")"),"")</f>
        <v/>
      </c>
      <c r="D34" s="154" t="s">
        <v>81</v>
      </c>
      <c r="E34" s="177" t="str">
        <f t="shared" si="1"/>
        <v>031/ST/2025</v>
      </c>
      <c r="F34" s="155">
        <v>45749</v>
      </c>
      <c r="G34" s="136" t="s">
        <v>281</v>
      </c>
      <c r="H34" s="178">
        <v>5579000</v>
      </c>
      <c r="I34" s="179">
        <v>0.08</v>
      </c>
      <c r="J34" s="178">
        <f t="shared" ref="J34:J36" si="9">H34*I34</f>
        <v>446320</v>
      </c>
      <c r="K34" s="55">
        <f t="shared" ref="K34:K36" si="10">H34+J34-P34</f>
        <v>6025320</v>
      </c>
      <c r="L34" s="117">
        <f t="shared" si="4"/>
        <v>45764</v>
      </c>
      <c r="M34" s="127" t="s">
        <v>382</v>
      </c>
      <c r="N34" s="117"/>
      <c r="O34" s="55"/>
      <c r="P34" s="55"/>
      <c r="Q34" s="55"/>
      <c r="R34" s="49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1:41" x14ac:dyDescent="0.25">
      <c r="A35" s="46">
        <f t="shared" si="0"/>
        <v>32</v>
      </c>
      <c r="B35" s="154" t="s">
        <v>280</v>
      </c>
      <c r="C35" s="129" t="str">
        <f ca="1">IFERROR(__xludf.DUMMYFUNCTION("IFERROR(VLOOKUP(B35,IMPORTRANGE(""https://docs.google.com/spreadsheets/d/1Hr4i_97qtgRe-bfuRbVkLVmXa34m06T7R6IJCbq42Xg/edit?gid=0#gid=0"",""Information!B5:S200""),4,0),"""")"),"")</f>
        <v/>
      </c>
      <c r="D35" s="154" t="s">
        <v>83</v>
      </c>
      <c r="E35" s="177" t="str">
        <f t="shared" si="1"/>
        <v>032/ST/2025</v>
      </c>
      <c r="F35" s="155">
        <v>45749</v>
      </c>
      <c r="G35" s="136" t="s">
        <v>281</v>
      </c>
      <c r="H35" s="178">
        <v>5579000</v>
      </c>
      <c r="I35" s="179">
        <v>0.08</v>
      </c>
      <c r="J35" s="178">
        <f t="shared" si="9"/>
        <v>446320</v>
      </c>
      <c r="K35" s="55">
        <f t="shared" si="10"/>
        <v>6025320</v>
      </c>
      <c r="L35" s="117">
        <f t="shared" si="4"/>
        <v>45764</v>
      </c>
      <c r="M35" s="127" t="s">
        <v>382</v>
      </c>
      <c r="N35" s="117"/>
      <c r="O35" s="55"/>
      <c r="P35" s="55"/>
      <c r="Q35" s="55"/>
      <c r="R35" s="49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:41" x14ac:dyDescent="0.25">
      <c r="A36" s="46">
        <f t="shared" si="0"/>
        <v>33</v>
      </c>
      <c r="B36" s="154" t="s">
        <v>282</v>
      </c>
      <c r="C36" s="129" t="str">
        <f ca="1">IFERROR(__xludf.DUMMYFUNCTION("IFERROR(VLOOKUP(B36,IMPORTRANGE(""https://docs.google.com/spreadsheets/d/1Hr4i_97qtgRe-bfuRbVkLVmXa34m06T7R6IJCbq42Xg/edit?gid=0#gid=0"",""Information!B5:S200""),4,0),"""")"),"")</f>
        <v/>
      </c>
      <c r="D36" s="154" t="s">
        <v>85</v>
      </c>
      <c r="E36" s="177" t="str">
        <f t="shared" si="1"/>
        <v>033/ST/2025</v>
      </c>
      <c r="F36" s="155">
        <v>45749</v>
      </c>
      <c r="G36" s="136" t="s">
        <v>281</v>
      </c>
      <c r="H36" s="178">
        <v>5579000</v>
      </c>
      <c r="I36" s="179">
        <v>0.08</v>
      </c>
      <c r="J36" s="178">
        <f t="shared" si="9"/>
        <v>446320</v>
      </c>
      <c r="K36" s="55">
        <f t="shared" si="10"/>
        <v>6025320</v>
      </c>
      <c r="L36" s="117">
        <f t="shared" si="4"/>
        <v>45764</v>
      </c>
      <c r="M36" s="127" t="s">
        <v>382</v>
      </c>
      <c r="N36" s="117"/>
      <c r="O36" s="55"/>
      <c r="P36" s="55"/>
      <c r="Q36" s="55"/>
      <c r="R36" s="49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:41" x14ac:dyDescent="0.25">
      <c r="A37" s="46">
        <f t="shared" si="0"/>
        <v>34</v>
      </c>
      <c r="B37" s="154" t="s">
        <v>106</v>
      </c>
      <c r="C37" s="129" t="str">
        <f ca="1">IFERROR(__xludf.DUMMYFUNCTION("IFERROR(VLOOKUP(B37,IMPORTRANGE(""https://docs.google.com/spreadsheets/d/1Hr4i_97qtgRe-bfuRbVkLVmXa34m06T7R6IJCbq42Xg/edit?gid=0#gid=0"",""Information!B5:S200""),4,0),"""")"),"")</f>
        <v/>
      </c>
      <c r="D37" s="154" t="s">
        <v>87</v>
      </c>
      <c r="E37" s="177" t="str">
        <f t="shared" si="1"/>
        <v>034/ST/2025</v>
      </c>
      <c r="F37" s="155">
        <v>45751</v>
      </c>
      <c r="G37" s="183" t="s">
        <v>283</v>
      </c>
      <c r="H37" s="178">
        <v>1500000</v>
      </c>
      <c r="I37" s="179"/>
      <c r="J37" s="178"/>
      <c r="K37" s="55"/>
      <c r="L37" s="117">
        <f t="shared" si="4"/>
        <v>45766</v>
      </c>
      <c r="M37" s="127" t="s">
        <v>382</v>
      </c>
      <c r="N37" s="117"/>
      <c r="O37" s="55"/>
      <c r="P37" s="55"/>
      <c r="Q37" s="55"/>
      <c r="R37" s="49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1:41" x14ac:dyDescent="0.25">
      <c r="A38" s="46">
        <f t="shared" si="0"/>
        <v>35</v>
      </c>
      <c r="B38" s="154" t="s">
        <v>176</v>
      </c>
      <c r="C38" s="129" t="str">
        <f ca="1">IFERROR(__xludf.DUMMYFUNCTION("IFERROR(VLOOKUP(B38,IMPORTRANGE(""https://docs.google.com/spreadsheets/d/1Hr4i_97qtgRe-bfuRbVkLVmXa34m06T7R6IJCbq42Xg/edit?gid=0#gid=0"",""Information!B5:S200""),4,0),"""")"),"")</f>
        <v/>
      </c>
      <c r="D38" s="154" t="s">
        <v>89</v>
      </c>
      <c r="E38" s="177" t="str">
        <f t="shared" si="1"/>
        <v>035/ST/2025</v>
      </c>
      <c r="F38" s="155">
        <v>45756</v>
      </c>
      <c r="G38" s="183" t="s">
        <v>284</v>
      </c>
      <c r="H38" s="178">
        <v>1276000</v>
      </c>
      <c r="I38" s="179">
        <v>0</v>
      </c>
      <c r="J38" s="178">
        <f t="shared" ref="J38:J40" si="11">H38*I38</f>
        <v>0</v>
      </c>
      <c r="K38" s="55">
        <f t="shared" ref="K38:K49" si="12">H38+J38-P38</f>
        <v>1276000</v>
      </c>
      <c r="L38" s="117">
        <f t="shared" si="4"/>
        <v>45771</v>
      </c>
      <c r="M38" s="127" t="s">
        <v>382</v>
      </c>
      <c r="N38" s="117"/>
      <c r="O38" s="55"/>
      <c r="P38" s="55"/>
      <c r="Q38" s="55"/>
      <c r="R38" s="49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1:41" x14ac:dyDescent="0.25">
      <c r="A39" s="46">
        <f t="shared" si="0"/>
        <v>36</v>
      </c>
      <c r="B39" s="154" t="s">
        <v>190</v>
      </c>
      <c r="C39" s="129" t="str">
        <f ca="1">IFERROR(__xludf.DUMMYFUNCTION("IFERROR(VLOOKUP(B39,IMPORTRANGE(""https://docs.google.com/spreadsheets/d/1Hr4i_97qtgRe-bfuRbVkLVmXa34m06T7R6IJCbq42Xg/edit?gid=0#gid=0"",""Information!B5:S200""),4,0),"""")"),"")</f>
        <v/>
      </c>
      <c r="D39" s="154" t="s">
        <v>91</v>
      </c>
      <c r="E39" s="177" t="str">
        <f t="shared" si="1"/>
        <v>036/ST/2025</v>
      </c>
      <c r="F39" s="155">
        <v>45757</v>
      </c>
      <c r="G39" s="183" t="s">
        <v>285</v>
      </c>
      <c r="H39" s="178">
        <v>4374000</v>
      </c>
      <c r="I39" s="179">
        <v>0</v>
      </c>
      <c r="J39" s="178">
        <f t="shared" si="11"/>
        <v>0</v>
      </c>
      <c r="K39" s="55">
        <f t="shared" si="12"/>
        <v>4374000</v>
      </c>
      <c r="L39" s="117">
        <f t="shared" si="4"/>
        <v>45772</v>
      </c>
      <c r="M39" s="127" t="s">
        <v>382</v>
      </c>
      <c r="N39" s="117"/>
      <c r="O39" s="55"/>
      <c r="P39" s="55"/>
      <c r="Q39" s="55"/>
      <c r="R39" s="49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:41" x14ac:dyDescent="0.25">
      <c r="A40" s="46">
        <f t="shared" si="0"/>
        <v>37</v>
      </c>
      <c r="B40" s="154" t="s">
        <v>158</v>
      </c>
      <c r="C40" s="129" t="str">
        <f ca="1">IFERROR(__xludf.DUMMYFUNCTION("IFERROR(VLOOKUP(B40,IMPORTRANGE(""https://docs.google.com/spreadsheets/d/1Hr4i_97qtgRe-bfuRbVkLVmXa34m06T7R6IJCbq42Xg/edit?gid=0#gid=0"",""Information!B5:S200""),4,0),"""")"),"")</f>
        <v/>
      </c>
      <c r="D40" s="154" t="s">
        <v>93</v>
      </c>
      <c r="E40" s="177" t="str">
        <f t="shared" si="1"/>
        <v>037/ST/2025</v>
      </c>
      <c r="F40" s="155">
        <v>45758</v>
      </c>
      <c r="G40" s="183" t="s">
        <v>286</v>
      </c>
      <c r="H40" s="178">
        <v>1276000</v>
      </c>
      <c r="I40" s="179">
        <v>0</v>
      </c>
      <c r="J40" s="178">
        <f t="shared" si="11"/>
        <v>0</v>
      </c>
      <c r="K40" s="55">
        <f t="shared" si="12"/>
        <v>1276000</v>
      </c>
      <c r="L40" s="117">
        <f t="shared" si="4"/>
        <v>45773</v>
      </c>
      <c r="M40" s="127" t="s">
        <v>382</v>
      </c>
      <c r="N40" s="233"/>
      <c r="O40" s="178"/>
      <c r="P40" s="178"/>
      <c r="Q40" s="178"/>
      <c r="R40" s="185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:41" x14ac:dyDescent="0.25">
      <c r="A41" s="46">
        <f t="shared" si="0"/>
        <v>38</v>
      </c>
      <c r="B41" s="154" t="s">
        <v>184</v>
      </c>
      <c r="C41" s="129" t="str">
        <f ca="1">IFERROR(__xludf.DUMMYFUNCTION("IFERROR(VLOOKUP(B41,IMPORTRANGE(""https://docs.google.com/spreadsheets/d/1Hr4i_97qtgRe-bfuRbVkLVmXa34m06T7R6IJCbq42Xg/edit?gid=0#gid=0"",""Information!B5:S200""),4,0),"""")"),"")</f>
        <v/>
      </c>
      <c r="D41" s="154" t="s">
        <v>95</v>
      </c>
      <c r="E41" s="177" t="str">
        <f t="shared" si="1"/>
        <v>038/ST/2025</v>
      </c>
      <c r="F41" s="155">
        <v>45761</v>
      </c>
      <c r="G41" s="136" t="s">
        <v>281</v>
      </c>
      <c r="H41" s="178">
        <v>8000000</v>
      </c>
      <c r="I41" s="179">
        <v>0.08</v>
      </c>
      <c r="J41" s="178">
        <v>393680</v>
      </c>
      <c r="K41" s="55">
        <f t="shared" si="12"/>
        <v>7993680</v>
      </c>
      <c r="L41" s="117">
        <f t="shared" si="4"/>
        <v>45776</v>
      </c>
      <c r="M41" s="127" t="s">
        <v>382</v>
      </c>
      <c r="N41" s="233"/>
      <c r="O41" s="178"/>
      <c r="P41" s="178">
        <v>400000</v>
      </c>
      <c r="Q41" s="178"/>
      <c r="R41" s="49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:41" x14ac:dyDescent="0.25">
      <c r="A42" s="46">
        <f t="shared" si="0"/>
        <v>39</v>
      </c>
      <c r="B42" s="154" t="s">
        <v>181</v>
      </c>
      <c r="C42" s="129" t="str">
        <f ca="1">IFERROR(__xludf.DUMMYFUNCTION("IFERROR(VLOOKUP(B42,IMPORTRANGE(""https://docs.google.com/spreadsheets/d/1Hr4i_97qtgRe-bfuRbVkLVmXa34m06T7R6IJCbq42Xg/edit?gid=0#gid=0"",""Information!B5:S200""),4,0),"""")"),"")</f>
        <v/>
      </c>
      <c r="D42" s="154" t="s">
        <v>97</v>
      </c>
      <c r="E42" s="177" t="str">
        <f t="shared" si="1"/>
        <v>039/ST/2025</v>
      </c>
      <c r="F42" s="155">
        <v>45761</v>
      </c>
      <c r="G42" s="136" t="s">
        <v>287</v>
      </c>
      <c r="H42" s="178">
        <v>8000000</v>
      </c>
      <c r="I42" s="179">
        <v>0.08</v>
      </c>
      <c r="J42" s="178">
        <v>393680</v>
      </c>
      <c r="K42" s="55">
        <f t="shared" si="12"/>
        <v>7993680</v>
      </c>
      <c r="L42" s="117">
        <f t="shared" si="4"/>
        <v>45776</v>
      </c>
      <c r="M42" s="127" t="s">
        <v>382</v>
      </c>
      <c r="N42" s="233"/>
      <c r="O42" s="178"/>
      <c r="P42" s="178">
        <v>400000</v>
      </c>
      <c r="Q42" s="178"/>
      <c r="R42" s="185"/>
      <c r="S42" s="186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:41" x14ac:dyDescent="0.25">
      <c r="A43" s="46">
        <f t="shared" si="0"/>
        <v>40</v>
      </c>
      <c r="B43" s="154" t="s">
        <v>288</v>
      </c>
      <c r="C43" s="129" t="str">
        <f ca="1">IFERROR(__xludf.DUMMYFUNCTION("IFERROR(VLOOKUP(B43,IMPORTRANGE(""https://docs.google.com/spreadsheets/d/1Hr4i_97qtgRe-bfuRbVkLVmXa34m06T7R6IJCbq42Xg/edit?gid=0#gid=0"",""Information!B5:S200""),4,0),"""")"),"")</f>
        <v/>
      </c>
      <c r="D43" s="154" t="s">
        <v>99</v>
      </c>
      <c r="E43" s="177" t="str">
        <f t="shared" si="1"/>
        <v>040/ST/2025</v>
      </c>
      <c r="F43" s="155">
        <v>45762</v>
      </c>
      <c r="G43" s="136" t="s">
        <v>289</v>
      </c>
      <c r="H43" s="178">
        <v>8000000</v>
      </c>
      <c r="I43" s="179">
        <v>0.08</v>
      </c>
      <c r="J43" s="178">
        <v>393680</v>
      </c>
      <c r="K43" s="55">
        <f t="shared" si="12"/>
        <v>7993680</v>
      </c>
      <c r="L43" s="117">
        <f t="shared" si="4"/>
        <v>45777</v>
      </c>
      <c r="M43" s="127" t="s">
        <v>382</v>
      </c>
      <c r="N43" s="233"/>
      <c r="O43" s="178"/>
      <c r="P43" s="178">
        <v>400000</v>
      </c>
      <c r="Q43" s="178"/>
      <c r="R43" s="185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1:41" x14ac:dyDescent="0.25">
      <c r="A44" s="46">
        <f t="shared" si="0"/>
        <v>41</v>
      </c>
      <c r="B44" s="154" t="s">
        <v>290</v>
      </c>
      <c r="C44" s="129" t="str">
        <f ca="1">IFERROR(__xludf.DUMMYFUNCTION("IFERROR(VLOOKUP(B44,IMPORTRANGE(""https://docs.google.com/spreadsheets/d/1Hr4i_97qtgRe-bfuRbVkLVmXa34m06T7R6IJCbq42Xg/edit?gid=0#gid=0"",""Information!B5:S200""),4,0),"""")"),"")</f>
        <v/>
      </c>
      <c r="D44" s="154" t="s">
        <v>101</v>
      </c>
      <c r="E44" s="177" t="str">
        <f t="shared" si="1"/>
        <v>041/ST/2025</v>
      </c>
      <c r="F44" s="155">
        <v>45771</v>
      </c>
      <c r="G44" s="136" t="s">
        <v>291</v>
      </c>
      <c r="H44" s="178">
        <v>1500000</v>
      </c>
      <c r="I44" s="179">
        <v>0.08</v>
      </c>
      <c r="J44" s="178">
        <f t="shared" ref="J44:J47" si="13">H44*I44</f>
        <v>120000</v>
      </c>
      <c r="K44" s="55">
        <f t="shared" si="12"/>
        <v>1620000</v>
      </c>
      <c r="L44" s="117">
        <f t="shared" si="4"/>
        <v>45786</v>
      </c>
      <c r="M44" s="127" t="s">
        <v>382</v>
      </c>
      <c r="N44" s="233"/>
      <c r="O44" s="178"/>
      <c r="P44" s="178"/>
      <c r="Q44" s="178"/>
      <c r="R44" s="185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:41" x14ac:dyDescent="0.25">
      <c r="A45" s="46">
        <f t="shared" si="0"/>
        <v>42</v>
      </c>
      <c r="B45" s="154" t="s">
        <v>150</v>
      </c>
      <c r="C45" s="129" t="str">
        <f ca="1">IFERROR(__xludf.DUMMYFUNCTION("IFERROR(VLOOKUP(B45,IMPORTRANGE(""https://docs.google.com/spreadsheets/d/1Hr4i_97qtgRe-bfuRbVkLVmXa34m06T7R6IJCbq42Xg/edit?gid=0#gid=0"",""Information!B5:S200""),4,0),"""")"),"")</f>
        <v/>
      </c>
      <c r="D45" s="154" t="s">
        <v>103</v>
      </c>
      <c r="E45" s="177" t="str">
        <f t="shared" si="1"/>
        <v>042/ST/2025</v>
      </c>
      <c r="F45" s="155">
        <v>45771</v>
      </c>
      <c r="G45" s="136" t="s">
        <v>637</v>
      </c>
      <c r="H45" s="178">
        <v>4374000</v>
      </c>
      <c r="I45" s="54"/>
      <c r="J45" s="178">
        <f t="shared" si="13"/>
        <v>0</v>
      </c>
      <c r="K45" s="55">
        <f t="shared" si="12"/>
        <v>4374000</v>
      </c>
      <c r="L45" s="117">
        <f t="shared" si="4"/>
        <v>45786</v>
      </c>
      <c r="M45" s="127" t="s">
        <v>382</v>
      </c>
      <c r="N45" s="117"/>
      <c r="O45" s="55"/>
      <c r="P45" s="55"/>
      <c r="Q45" s="55"/>
      <c r="R45" s="49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:41" x14ac:dyDescent="0.25">
      <c r="A46" s="46">
        <f t="shared" si="0"/>
        <v>43</v>
      </c>
      <c r="B46" s="154" t="s">
        <v>64</v>
      </c>
      <c r="C46" s="129" t="str">
        <f ca="1">IFERROR(__xludf.DUMMYFUNCTION("IFERROR(VLOOKUP(B46,IMPORTRANGE(""https://docs.google.com/spreadsheets/d/1Hr4i_97qtgRe-bfuRbVkLVmXa34m06T7R6IJCbq42Xg/edit?gid=0#gid=0"",""Information!B5:S200""),4,0),"""")"),"")</f>
        <v/>
      </c>
      <c r="D46" s="154" t="s">
        <v>105</v>
      </c>
      <c r="E46" s="177" t="str">
        <f t="shared" si="1"/>
        <v>043/ST/2025</v>
      </c>
      <c r="F46" s="155">
        <v>45775</v>
      </c>
      <c r="G46" s="136" t="s">
        <v>291</v>
      </c>
      <c r="H46" s="178">
        <v>1500000</v>
      </c>
      <c r="I46" s="179">
        <v>0.08</v>
      </c>
      <c r="J46" s="178">
        <f t="shared" si="13"/>
        <v>120000</v>
      </c>
      <c r="K46" s="55">
        <f t="shared" si="12"/>
        <v>1620000</v>
      </c>
      <c r="L46" s="117">
        <f t="shared" si="4"/>
        <v>45790</v>
      </c>
      <c r="M46" s="127" t="s">
        <v>382</v>
      </c>
      <c r="N46" s="117"/>
      <c r="O46" s="55"/>
      <c r="P46" s="55"/>
      <c r="Q46" s="55"/>
      <c r="R46" s="49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:41" x14ac:dyDescent="0.25">
      <c r="A47" s="46">
        <f t="shared" si="0"/>
        <v>44</v>
      </c>
      <c r="B47" s="154" t="s">
        <v>128</v>
      </c>
      <c r="C47" s="129" t="str">
        <f ca="1">IFERROR(__xludf.DUMMYFUNCTION("IFERROR(VLOOKUP(B47,IMPORTRANGE(""https://docs.google.com/spreadsheets/d/1Hr4i_97qtgRe-bfuRbVkLVmXa34m06T7R6IJCbq42Xg/edit?gid=0#gid=0"",""Information!B5:S200""),4,0),"""")"),"")</f>
        <v/>
      </c>
      <c r="D47" s="154" t="s">
        <v>107</v>
      </c>
      <c r="E47" s="177" t="str">
        <f t="shared" si="1"/>
        <v>044/ST/2025</v>
      </c>
      <c r="F47" s="155">
        <v>45775</v>
      </c>
      <c r="G47" s="136" t="s">
        <v>261</v>
      </c>
      <c r="H47" s="178">
        <v>2000000</v>
      </c>
      <c r="I47" s="179">
        <v>0.08</v>
      </c>
      <c r="J47" s="178">
        <f t="shared" si="13"/>
        <v>160000</v>
      </c>
      <c r="K47" s="55">
        <f t="shared" si="12"/>
        <v>2160000</v>
      </c>
      <c r="L47" s="117">
        <f t="shared" si="4"/>
        <v>45790</v>
      </c>
      <c r="M47" s="127" t="s">
        <v>382</v>
      </c>
      <c r="N47" s="117"/>
      <c r="O47" s="55"/>
      <c r="P47" s="55"/>
      <c r="Q47" s="55"/>
      <c r="R47" s="185" t="s">
        <v>292</v>
      </c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:41" x14ac:dyDescent="0.25">
      <c r="A48" s="46">
        <f t="shared" si="0"/>
        <v>45</v>
      </c>
      <c r="B48" s="154" t="s">
        <v>140</v>
      </c>
      <c r="C48" s="129" t="str">
        <f ca="1">IFERROR(__xludf.DUMMYFUNCTION("IFERROR(VLOOKUP(B48,IMPORTRANGE(""https://docs.google.com/spreadsheets/d/1Hr4i_97qtgRe-bfuRbVkLVmXa34m06T7R6IJCbq42Xg/edit?gid=0#gid=0"",""Information!B5:S200""),4,0),"""")"),"")</f>
        <v/>
      </c>
      <c r="D48" s="154" t="s">
        <v>109</v>
      </c>
      <c r="E48" s="177" t="str">
        <f t="shared" si="1"/>
        <v>045/ST/2025</v>
      </c>
      <c r="F48" s="155">
        <v>45775</v>
      </c>
      <c r="G48" s="136" t="s">
        <v>293</v>
      </c>
      <c r="H48" s="178">
        <v>2000000</v>
      </c>
      <c r="I48" s="54"/>
      <c r="J48" s="178">
        <v>1273000</v>
      </c>
      <c r="K48" s="55">
        <f t="shared" si="12"/>
        <v>2523000</v>
      </c>
      <c r="L48" s="117">
        <f t="shared" si="4"/>
        <v>45790</v>
      </c>
      <c r="M48" s="127" t="s">
        <v>382</v>
      </c>
      <c r="N48" s="233"/>
      <c r="O48" s="178"/>
      <c r="P48" s="178">
        <v>750000</v>
      </c>
      <c r="Q48" s="178"/>
      <c r="R48" s="185" t="s">
        <v>294</v>
      </c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:41" x14ac:dyDescent="0.25">
      <c r="A49" s="46">
        <f t="shared" si="0"/>
        <v>46</v>
      </c>
      <c r="B49" s="154" t="s">
        <v>295</v>
      </c>
      <c r="C49" s="129" t="str">
        <f ca="1">IFERROR(__xludf.DUMMYFUNCTION("IFERROR(VLOOKUP(B49,IMPORTRANGE(""https://docs.google.com/spreadsheets/d/1Hr4i_97qtgRe-bfuRbVkLVmXa34m06T7R6IJCbq42Xg/edit?gid=0#gid=0"",""Information!B5:S200""),4,0),"""")"),"")</f>
        <v/>
      </c>
      <c r="D49" s="154" t="s">
        <v>111</v>
      </c>
      <c r="E49" s="177" t="str">
        <f t="shared" si="1"/>
        <v>046/ST/2025</v>
      </c>
      <c r="F49" s="155">
        <v>45775</v>
      </c>
      <c r="G49" s="136" t="s">
        <v>261</v>
      </c>
      <c r="H49" s="178">
        <v>2000000</v>
      </c>
      <c r="I49" s="179">
        <v>0.08</v>
      </c>
      <c r="J49" s="178">
        <f>H49*I49</f>
        <v>160000</v>
      </c>
      <c r="K49" s="55">
        <f t="shared" si="12"/>
        <v>2160000</v>
      </c>
      <c r="L49" s="117">
        <f t="shared" si="4"/>
        <v>45790</v>
      </c>
      <c r="M49" s="127" t="s">
        <v>382</v>
      </c>
      <c r="N49" s="117"/>
      <c r="O49" s="55"/>
      <c r="P49" s="55"/>
      <c r="Q49" s="55"/>
      <c r="R49" s="49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:41" x14ac:dyDescent="0.25">
      <c r="A50" s="46">
        <f t="shared" si="0"/>
        <v>47</v>
      </c>
      <c r="B50" s="129" t="s">
        <v>42</v>
      </c>
      <c r="C50" s="129" t="str">
        <f ca="1">IFERROR(__xludf.DUMMYFUNCTION("IFERROR(VLOOKUP(B50,IMPORTRANGE(""https://docs.google.com/spreadsheets/d/1Hr4i_97qtgRe-bfuRbVkLVmXa34m06T7R6IJCbq42Xg/edit?gid=0#gid=0"",""Information!B5:S200""),4,0),"""")"),"")</f>
        <v/>
      </c>
      <c r="D50" s="154" t="s">
        <v>113</v>
      </c>
      <c r="E50" s="177" t="str">
        <f t="shared" si="1"/>
        <v>047/ST/2025</v>
      </c>
      <c r="F50" s="131">
        <v>45789</v>
      </c>
      <c r="G50" s="136" t="s">
        <v>289</v>
      </c>
      <c r="H50" s="178"/>
      <c r="I50" s="54"/>
      <c r="J50" s="55"/>
      <c r="K50" s="35"/>
      <c r="L50" s="117">
        <f t="shared" si="4"/>
        <v>45804</v>
      </c>
      <c r="M50" s="127" t="s">
        <v>382</v>
      </c>
      <c r="N50" s="117"/>
      <c r="O50" s="55"/>
      <c r="P50" s="55"/>
      <c r="Q50" s="55"/>
      <c r="R50" s="49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</row>
    <row r="51" spans="1:41" x14ac:dyDescent="0.25">
      <c r="A51" s="46">
        <f t="shared" si="0"/>
        <v>48</v>
      </c>
      <c r="B51" s="129" t="s">
        <v>108</v>
      </c>
      <c r="C51" s="129" t="str">
        <f ca="1">IFERROR(__xludf.DUMMYFUNCTION("IFERROR(VLOOKUP(B51,IMPORTRANGE(""https://docs.google.com/spreadsheets/d/1Hr4i_97qtgRe-bfuRbVkLVmXa34m06T7R6IJCbq42Xg/edit?gid=0#gid=0"",""Information!B5:S200""),4,0),"""")"),"")</f>
        <v/>
      </c>
      <c r="D51" s="154" t="s">
        <v>115</v>
      </c>
      <c r="E51" s="177" t="str">
        <f t="shared" si="1"/>
        <v>048/ST/2025</v>
      </c>
      <c r="F51" s="131">
        <v>45789</v>
      </c>
      <c r="G51" s="136" t="s">
        <v>296</v>
      </c>
      <c r="H51" s="178">
        <v>1500000</v>
      </c>
      <c r="I51" s="179">
        <v>0.08</v>
      </c>
      <c r="J51" s="178">
        <f t="shared" ref="J51:J71" si="14">H51*I51</f>
        <v>120000</v>
      </c>
      <c r="K51" s="55">
        <f t="shared" ref="K51:K62" si="15">H51+J51-P51</f>
        <v>1620000</v>
      </c>
      <c r="L51" s="117">
        <f t="shared" si="4"/>
        <v>45804</v>
      </c>
      <c r="M51" s="127" t="s">
        <v>382</v>
      </c>
      <c r="N51" s="117"/>
      <c r="O51" s="55"/>
      <c r="P51" s="55"/>
      <c r="Q51" s="55"/>
      <c r="R51" s="49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</row>
    <row r="52" spans="1:41" x14ac:dyDescent="0.25">
      <c r="A52" s="46">
        <f t="shared" si="0"/>
        <v>49</v>
      </c>
      <c r="B52" s="129" t="s">
        <v>38</v>
      </c>
      <c r="C52" s="129" t="str">
        <f ca="1">IFERROR(__xludf.DUMMYFUNCTION("IFERROR(VLOOKUP(B52,IMPORTRANGE(""https://docs.google.com/spreadsheets/d/1Hr4i_97qtgRe-bfuRbVkLVmXa34m06T7R6IJCbq42Xg/edit?gid=0#gid=0"",""Information!B5:S200""),4,0),"""")"),"")</f>
        <v/>
      </c>
      <c r="D52" s="154" t="s">
        <v>117</v>
      </c>
      <c r="E52" s="177" t="str">
        <f t="shared" si="1"/>
        <v>049/ST/2025</v>
      </c>
      <c r="F52" s="131">
        <v>45789</v>
      </c>
      <c r="G52" s="136" t="s">
        <v>297</v>
      </c>
      <c r="H52" s="178"/>
      <c r="I52" s="54"/>
      <c r="J52" s="178">
        <f t="shared" si="14"/>
        <v>0</v>
      </c>
      <c r="K52" s="55">
        <f t="shared" si="15"/>
        <v>0</v>
      </c>
      <c r="L52" s="117">
        <f t="shared" si="4"/>
        <v>45804</v>
      </c>
      <c r="M52" s="127" t="s">
        <v>382</v>
      </c>
      <c r="N52" s="117"/>
      <c r="O52" s="55"/>
      <c r="P52" s="55"/>
      <c r="Q52" s="55"/>
      <c r="R52" s="49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</row>
    <row r="53" spans="1:41" x14ac:dyDescent="0.25">
      <c r="A53" s="46">
        <f t="shared" si="0"/>
        <v>50</v>
      </c>
      <c r="B53" s="129" t="s">
        <v>38</v>
      </c>
      <c r="C53" s="129" t="str">
        <f ca="1">IFERROR(__xludf.DUMMYFUNCTION("IFERROR(VLOOKUP(B53,IMPORTRANGE(""https://docs.google.com/spreadsheets/d/1Hr4i_97qtgRe-bfuRbVkLVmXa34m06T7R6IJCbq42Xg/edit?gid=0#gid=0"",""Information!B5:S200""),4,0),"""")"),"")</f>
        <v/>
      </c>
      <c r="D53" s="154" t="s">
        <v>119</v>
      </c>
      <c r="E53" s="177" t="str">
        <f t="shared" si="1"/>
        <v>050/ST/2025</v>
      </c>
      <c r="F53" s="131">
        <v>45789</v>
      </c>
      <c r="G53" s="136" t="s">
        <v>271</v>
      </c>
      <c r="H53" s="178"/>
      <c r="I53" s="54"/>
      <c r="J53" s="178">
        <f t="shared" si="14"/>
        <v>0</v>
      </c>
      <c r="K53" s="55">
        <f t="shared" si="15"/>
        <v>0</v>
      </c>
      <c r="L53" s="117">
        <f t="shared" si="4"/>
        <v>45804</v>
      </c>
      <c r="M53" s="127" t="s">
        <v>382</v>
      </c>
      <c r="N53" s="117"/>
      <c r="O53" s="55"/>
      <c r="P53" s="55"/>
      <c r="Q53" s="55"/>
      <c r="R53" s="49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</row>
    <row r="54" spans="1:41" x14ac:dyDescent="0.25">
      <c r="A54" s="46">
        <f t="shared" si="0"/>
        <v>51</v>
      </c>
      <c r="B54" s="129" t="s">
        <v>298</v>
      </c>
      <c r="C54" s="129" t="str">
        <f ca="1">IFERROR(__xludf.DUMMYFUNCTION("IFERROR(VLOOKUP(B54,IMPORTRANGE(""https://docs.google.com/spreadsheets/d/1Hr4i_97qtgRe-bfuRbVkLVmXa34m06T7R6IJCbq42Xg/edit?gid=0#gid=0"",""Information!B5:S200""),4,0),"""")"),"")</f>
        <v/>
      </c>
      <c r="D54" s="154" t="s">
        <v>121</v>
      </c>
      <c r="E54" s="177" t="str">
        <f t="shared" si="1"/>
        <v>051/ST/2025</v>
      </c>
      <c r="F54" s="131">
        <v>45789</v>
      </c>
      <c r="G54" s="136" t="s">
        <v>299</v>
      </c>
      <c r="H54" s="178"/>
      <c r="I54" s="54"/>
      <c r="J54" s="178">
        <f t="shared" si="14"/>
        <v>0</v>
      </c>
      <c r="K54" s="55">
        <f t="shared" si="15"/>
        <v>0</v>
      </c>
      <c r="L54" s="117">
        <f t="shared" si="4"/>
        <v>45804</v>
      </c>
      <c r="M54" s="127" t="s">
        <v>382</v>
      </c>
      <c r="N54" s="117"/>
      <c r="O54" s="55"/>
      <c r="P54" s="55"/>
      <c r="Q54" s="55"/>
      <c r="R54" s="185" t="s">
        <v>300</v>
      </c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</row>
    <row r="55" spans="1:41" x14ac:dyDescent="0.25">
      <c r="A55" s="46">
        <f t="shared" si="0"/>
        <v>52</v>
      </c>
      <c r="B55" s="129" t="s">
        <v>112</v>
      </c>
      <c r="C55" s="129" t="str">
        <f ca="1">IFERROR(__xludf.DUMMYFUNCTION("IFERROR(VLOOKUP(B55,IMPORTRANGE(""https://docs.google.com/spreadsheets/d/1Hr4i_97qtgRe-bfuRbVkLVmXa34m06T7R6IJCbq42Xg/edit?gid=0#gid=0"",""Information!B5:S200""),4,0),"""")"),"")</f>
        <v/>
      </c>
      <c r="D55" s="154" t="s">
        <v>123</v>
      </c>
      <c r="E55" s="177" t="str">
        <f t="shared" si="1"/>
        <v>052/ST/2025</v>
      </c>
      <c r="F55" s="131">
        <v>45791</v>
      </c>
      <c r="G55" s="136" t="s">
        <v>301</v>
      </c>
      <c r="H55" s="178">
        <v>1500000</v>
      </c>
      <c r="I55" s="179">
        <v>0.08</v>
      </c>
      <c r="J55" s="178">
        <f t="shared" si="14"/>
        <v>120000</v>
      </c>
      <c r="K55" s="55">
        <f t="shared" si="15"/>
        <v>1620000</v>
      </c>
      <c r="L55" s="117">
        <f t="shared" si="4"/>
        <v>45806</v>
      </c>
      <c r="M55" s="127" t="s">
        <v>382</v>
      </c>
      <c r="N55" s="117"/>
      <c r="O55" s="55"/>
      <c r="P55" s="55"/>
      <c r="Q55" s="55"/>
      <c r="R55" s="49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</row>
    <row r="56" spans="1:41" x14ac:dyDescent="0.25">
      <c r="A56" s="46">
        <f t="shared" si="0"/>
        <v>53</v>
      </c>
      <c r="B56" s="129" t="s">
        <v>302</v>
      </c>
      <c r="C56" s="129" t="str">
        <f ca="1">IFERROR(__xludf.DUMMYFUNCTION("IFERROR(VLOOKUP(B56,IMPORTRANGE(""https://docs.google.com/spreadsheets/d/1Hr4i_97qtgRe-bfuRbVkLVmXa34m06T7R6IJCbq42Xg/edit?gid=0#gid=0"",""Information!B5:S200""),4,0),"""")"),"")</f>
        <v/>
      </c>
      <c r="D56" s="154" t="s">
        <v>125</v>
      </c>
      <c r="E56" s="177" t="str">
        <f t="shared" si="1"/>
        <v>053/ST/2025</v>
      </c>
      <c r="F56" s="131">
        <v>45793</v>
      </c>
      <c r="G56" s="136" t="s">
        <v>303</v>
      </c>
      <c r="H56" s="178"/>
      <c r="I56" s="54"/>
      <c r="J56" s="178">
        <f t="shared" si="14"/>
        <v>0</v>
      </c>
      <c r="K56" s="55">
        <f t="shared" si="15"/>
        <v>0</v>
      </c>
      <c r="L56" s="117">
        <f t="shared" si="4"/>
        <v>45808</v>
      </c>
      <c r="M56" s="127" t="s">
        <v>382</v>
      </c>
      <c r="N56" s="117"/>
      <c r="O56" s="55"/>
      <c r="P56" s="55"/>
      <c r="Q56" s="55"/>
      <c r="R56" s="49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</row>
    <row r="57" spans="1:41" x14ac:dyDescent="0.25">
      <c r="A57" s="46">
        <f t="shared" si="0"/>
        <v>54</v>
      </c>
      <c r="B57" s="129" t="s">
        <v>128</v>
      </c>
      <c r="C57" s="129" t="str">
        <f ca="1">IFERROR(__xludf.DUMMYFUNCTION("IFERROR(VLOOKUP(B57,IMPORTRANGE(""https://docs.google.com/spreadsheets/d/1Hr4i_97qtgRe-bfuRbVkLVmXa34m06T7R6IJCbq42Xg/edit?gid=0#gid=0"",""Information!B5:S200""),4,0),"""")"),"")</f>
        <v/>
      </c>
      <c r="D57" s="154" t="s">
        <v>127</v>
      </c>
      <c r="E57" s="177" t="str">
        <f t="shared" si="1"/>
        <v>054/ST/2025</v>
      </c>
      <c r="F57" s="131">
        <v>45793</v>
      </c>
      <c r="G57" s="136" t="s">
        <v>304</v>
      </c>
      <c r="H57" s="178">
        <v>3000000</v>
      </c>
      <c r="I57" s="179">
        <v>0.08</v>
      </c>
      <c r="J57" s="178">
        <f t="shared" si="14"/>
        <v>240000</v>
      </c>
      <c r="K57" s="55">
        <f t="shared" si="15"/>
        <v>3240000</v>
      </c>
      <c r="L57" s="117">
        <f t="shared" si="4"/>
        <v>45808</v>
      </c>
      <c r="M57" s="127" t="s">
        <v>382</v>
      </c>
      <c r="N57" s="117"/>
      <c r="O57" s="55"/>
      <c r="P57" s="55"/>
      <c r="Q57" s="55"/>
      <c r="R57" s="49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</row>
    <row r="58" spans="1:41" x14ac:dyDescent="0.25">
      <c r="A58" s="46">
        <f t="shared" si="0"/>
        <v>55</v>
      </c>
      <c r="B58" s="129" t="s">
        <v>164</v>
      </c>
      <c r="C58" s="129" t="str">
        <f ca="1">IFERROR(__xludf.DUMMYFUNCTION("IFERROR(VLOOKUP(B58,IMPORTRANGE(""https://docs.google.com/spreadsheets/d/1Hr4i_97qtgRe-bfuRbVkLVmXa34m06T7R6IJCbq42Xg/edit?gid=0#gid=0"",""Information!B5:S200""),4,0),"""")"),"")</f>
        <v/>
      </c>
      <c r="D58" s="154" t="s">
        <v>129</v>
      </c>
      <c r="E58" s="177" t="str">
        <f t="shared" si="1"/>
        <v>055/ST/2025</v>
      </c>
      <c r="F58" s="131">
        <v>45793</v>
      </c>
      <c r="G58" s="136" t="s">
        <v>289</v>
      </c>
      <c r="H58" s="178">
        <v>1500000</v>
      </c>
      <c r="I58" s="179">
        <v>0.08</v>
      </c>
      <c r="J58" s="178">
        <f t="shared" si="14"/>
        <v>120000</v>
      </c>
      <c r="K58" s="55">
        <f t="shared" si="15"/>
        <v>1620000</v>
      </c>
      <c r="L58" s="117">
        <f t="shared" si="4"/>
        <v>45808</v>
      </c>
      <c r="M58" s="127" t="s">
        <v>382</v>
      </c>
      <c r="N58" s="117"/>
      <c r="O58" s="55"/>
      <c r="P58" s="55"/>
      <c r="Q58" s="55"/>
      <c r="R58" s="49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</row>
    <row r="59" spans="1:41" x14ac:dyDescent="0.25">
      <c r="A59" s="46">
        <f t="shared" si="0"/>
        <v>56</v>
      </c>
      <c r="B59" s="129" t="s">
        <v>32</v>
      </c>
      <c r="C59" s="129" t="str">
        <f ca="1">IFERROR(__xludf.DUMMYFUNCTION("IFERROR(VLOOKUP(B59,IMPORTRANGE(""https://docs.google.com/spreadsheets/d/1Hr4i_97qtgRe-bfuRbVkLVmXa34m06T7R6IJCbq42Xg/edit?gid=0#gid=0"",""Information!B5:S200""),4,0),"""")"),"")</f>
        <v/>
      </c>
      <c r="D59" s="154" t="s">
        <v>131</v>
      </c>
      <c r="E59" s="177" t="str">
        <f t="shared" si="1"/>
        <v>056/ST/2025</v>
      </c>
      <c r="F59" s="131">
        <v>45793</v>
      </c>
      <c r="G59" s="136" t="s">
        <v>289</v>
      </c>
      <c r="H59" s="178">
        <v>1500000</v>
      </c>
      <c r="I59" s="179">
        <v>0.08</v>
      </c>
      <c r="J59" s="178">
        <f t="shared" si="14"/>
        <v>120000</v>
      </c>
      <c r="K59" s="55">
        <f t="shared" si="15"/>
        <v>1620000</v>
      </c>
      <c r="L59" s="117">
        <f t="shared" si="4"/>
        <v>45808</v>
      </c>
      <c r="M59" s="127" t="s">
        <v>382</v>
      </c>
      <c r="N59" s="117"/>
      <c r="O59" s="55"/>
      <c r="P59" s="55"/>
      <c r="Q59" s="55"/>
      <c r="R59" s="49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</row>
    <row r="60" spans="1:41" x14ac:dyDescent="0.25">
      <c r="A60" s="46">
        <f t="shared" si="0"/>
        <v>57</v>
      </c>
      <c r="B60" s="129" t="s">
        <v>156</v>
      </c>
      <c r="C60" s="129" t="str">
        <f ca="1">IFERROR(__xludf.DUMMYFUNCTION("IFERROR(VLOOKUP(B60,IMPORTRANGE(""https://docs.google.com/spreadsheets/d/1Hr4i_97qtgRe-bfuRbVkLVmXa34m06T7R6IJCbq42Xg/edit?gid=0#gid=0"",""Information!B5:S200""),4,0),"""")"),"")</f>
        <v/>
      </c>
      <c r="D60" s="154" t="s">
        <v>133</v>
      </c>
      <c r="E60" s="177" t="str">
        <f t="shared" si="1"/>
        <v>057/ST/2025</v>
      </c>
      <c r="F60" s="131">
        <v>45798</v>
      </c>
      <c r="G60" s="136" t="s">
        <v>305</v>
      </c>
      <c r="H60" s="178">
        <v>1650000</v>
      </c>
      <c r="I60" s="179">
        <v>0</v>
      </c>
      <c r="J60" s="178">
        <f t="shared" si="14"/>
        <v>0</v>
      </c>
      <c r="K60" s="55">
        <f t="shared" si="15"/>
        <v>1650000</v>
      </c>
      <c r="L60" s="117">
        <f t="shared" si="4"/>
        <v>45813</v>
      </c>
      <c r="M60" s="127" t="s">
        <v>382</v>
      </c>
      <c r="N60" s="117"/>
      <c r="O60" s="55"/>
      <c r="P60" s="55"/>
      <c r="Q60" s="55"/>
      <c r="R60" s="49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</row>
    <row r="61" spans="1:41" x14ac:dyDescent="0.25">
      <c r="A61" s="46">
        <f t="shared" si="0"/>
        <v>58</v>
      </c>
      <c r="B61" s="129" t="s">
        <v>56</v>
      </c>
      <c r="C61" s="129" t="str">
        <f ca="1">IFERROR(__xludf.DUMMYFUNCTION("IFERROR(VLOOKUP(B61,IMPORTRANGE(""https://docs.google.com/spreadsheets/d/1Hr4i_97qtgRe-bfuRbVkLVmXa34m06T7R6IJCbq42Xg/edit?gid=0#gid=0"",""Information!B5:S200""),4,0),"""")"),"")</f>
        <v/>
      </c>
      <c r="D61" s="154" t="s">
        <v>135</v>
      </c>
      <c r="E61" s="177" t="str">
        <f t="shared" si="1"/>
        <v>058/ST/2025</v>
      </c>
      <c r="F61" s="131">
        <v>45799</v>
      </c>
      <c r="G61" s="136" t="s">
        <v>303</v>
      </c>
      <c r="H61" s="178">
        <v>1500000</v>
      </c>
      <c r="I61" s="179">
        <v>0.08</v>
      </c>
      <c r="J61" s="178">
        <f t="shared" si="14"/>
        <v>120000</v>
      </c>
      <c r="K61" s="55">
        <f t="shared" si="15"/>
        <v>1620000</v>
      </c>
      <c r="L61" s="117">
        <f t="shared" si="4"/>
        <v>45814</v>
      </c>
      <c r="M61" s="127" t="s">
        <v>382</v>
      </c>
      <c r="N61" s="117"/>
      <c r="O61" s="55"/>
      <c r="P61" s="55"/>
      <c r="Q61" s="55"/>
      <c r="R61" s="49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</row>
    <row r="62" spans="1:41" x14ac:dyDescent="0.25">
      <c r="A62" s="46">
        <f t="shared" si="0"/>
        <v>59</v>
      </c>
      <c r="B62" s="129" t="s">
        <v>104</v>
      </c>
      <c r="C62" s="129" t="str">
        <f ca="1">IFERROR(__xludf.DUMMYFUNCTION("IFERROR(VLOOKUP(B62,IMPORTRANGE(""https://docs.google.com/spreadsheets/d/1Hr4i_97qtgRe-bfuRbVkLVmXa34m06T7R6IJCbq42Xg/edit?gid=0#gid=0"",""Information!B5:S200""),4,0),"""")"),"")</f>
        <v/>
      </c>
      <c r="D62" s="154" t="s">
        <v>137</v>
      </c>
      <c r="E62" s="177" t="str">
        <f t="shared" si="1"/>
        <v>059/ST/2025</v>
      </c>
      <c r="F62" s="131">
        <v>45799</v>
      </c>
      <c r="G62" s="128" t="s">
        <v>306</v>
      </c>
      <c r="H62" s="178">
        <v>1429000</v>
      </c>
      <c r="I62" s="179">
        <v>0</v>
      </c>
      <c r="J62" s="178">
        <f t="shared" si="14"/>
        <v>0</v>
      </c>
      <c r="K62" s="55">
        <f t="shared" si="15"/>
        <v>1429000</v>
      </c>
      <c r="L62" s="117">
        <f t="shared" si="4"/>
        <v>45814</v>
      </c>
      <c r="M62" s="127" t="s">
        <v>382</v>
      </c>
      <c r="N62" s="117"/>
      <c r="O62" s="55"/>
      <c r="P62" s="55"/>
      <c r="Q62" s="55"/>
      <c r="R62" s="49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</row>
    <row r="63" spans="1:41" x14ac:dyDescent="0.25">
      <c r="A63" s="46">
        <f t="shared" si="0"/>
        <v>60</v>
      </c>
      <c r="B63" s="129" t="s">
        <v>162</v>
      </c>
      <c r="C63" s="129" t="str">
        <f ca="1">IFERROR(__xludf.DUMMYFUNCTION("IFERROR(VLOOKUP(B63,IMPORTRANGE(""https://docs.google.com/spreadsheets/d/1Hr4i_97qtgRe-bfuRbVkLVmXa34m06T7R6IJCbq42Xg/edit?gid=0#gid=0"",""Information!B5:S200""),4,0),"""")"),"")</f>
        <v/>
      </c>
      <c r="D63" s="154" t="s">
        <v>139</v>
      </c>
      <c r="E63" s="177" t="str">
        <f t="shared" si="1"/>
        <v>060/ST/2025</v>
      </c>
      <c r="F63" s="131">
        <v>45803</v>
      </c>
      <c r="G63" s="136" t="s">
        <v>289</v>
      </c>
      <c r="H63" s="178">
        <v>1500000</v>
      </c>
      <c r="I63" s="179">
        <v>0.08</v>
      </c>
      <c r="J63" s="178">
        <f t="shared" si="14"/>
        <v>120000</v>
      </c>
      <c r="K63" s="55">
        <v>1620000</v>
      </c>
      <c r="L63" s="117">
        <f t="shared" si="4"/>
        <v>45818</v>
      </c>
      <c r="M63" s="127" t="s">
        <v>382</v>
      </c>
      <c r="N63" s="117"/>
      <c r="O63" s="55"/>
      <c r="P63" s="55"/>
      <c r="Q63" s="55"/>
      <c r="R63" s="49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</row>
    <row r="64" spans="1:41" x14ac:dyDescent="0.25">
      <c r="A64" s="46">
        <f t="shared" si="0"/>
        <v>61</v>
      </c>
      <c r="B64" s="129" t="s">
        <v>86</v>
      </c>
      <c r="C64" s="129" t="str">
        <f ca="1">IFERROR(__xludf.DUMMYFUNCTION("IFERROR(VLOOKUP(B64,IMPORTRANGE(""https://docs.google.com/spreadsheets/d/1Hr4i_97qtgRe-bfuRbVkLVmXa34m06T7R6IJCbq42Xg/edit?gid=0#gid=0"",""Information!B5:S200""),4,0),"""")"),"")</f>
        <v/>
      </c>
      <c r="D64" s="154" t="s">
        <v>141</v>
      </c>
      <c r="E64" s="177" t="str">
        <f t="shared" si="1"/>
        <v>061/ST/2025</v>
      </c>
      <c r="F64" s="131">
        <v>45805</v>
      </c>
      <c r="G64" s="136" t="s">
        <v>304</v>
      </c>
      <c r="H64" s="178">
        <v>3000000</v>
      </c>
      <c r="I64" s="179">
        <v>0.08</v>
      </c>
      <c r="J64" s="178">
        <f t="shared" si="14"/>
        <v>240000</v>
      </c>
      <c r="K64" s="55">
        <f t="shared" ref="K64:K71" si="16">H64+J64</f>
        <v>3240000</v>
      </c>
      <c r="L64" s="117">
        <f t="shared" si="4"/>
        <v>45820</v>
      </c>
      <c r="M64" s="127"/>
      <c r="N64" s="117"/>
      <c r="O64" s="55"/>
      <c r="P64" s="55"/>
      <c r="Q64" s="55"/>
      <c r="R64" s="49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</row>
    <row r="65" spans="1:41" x14ac:dyDescent="0.25">
      <c r="A65" s="46">
        <f t="shared" si="0"/>
        <v>62</v>
      </c>
      <c r="B65" s="129" t="s">
        <v>307</v>
      </c>
      <c r="C65" s="129" t="str">
        <f ca="1">IFERROR(__xludf.DUMMYFUNCTION("IFERROR(VLOOKUP(B65,IMPORTRANGE(""https://docs.google.com/spreadsheets/d/1Hr4i_97qtgRe-bfuRbVkLVmXa34m06T7R6IJCbq42Xg/edit?gid=0#gid=0"",""Information!B5:S200""),4,0),"""")"),"")</f>
        <v/>
      </c>
      <c r="D65" s="154" t="s">
        <v>143</v>
      </c>
      <c r="E65" s="177" t="str">
        <f t="shared" si="1"/>
        <v>062/ST/2025</v>
      </c>
      <c r="F65" s="131">
        <v>45805</v>
      </c>
      <c r="G65" s="136" t="s">
        <v>626</v>
      </c>
      <c r="H65" s="178">
        <v>429000</v>
      </c>
      <c r="I65" s="179">
        <v>0</v>
      </c>
      <c r="J65" s="178">
        <f t="shared" si="14"/>
        <v>0</v>
      </c>
      <c r="K65" s="55">
        <f t="shared" si="16"/>
        <v>429000</v>
      </c>
      <c r="L65" s="117">
        <f t="shared" si="4"/>
        <v>45820</v>
      </c>
      <c r="M65" s="127"/>
      <c r="N65" s="117"/>
      <c r="O65" s="55"/>
      <c r="P65" s="55"/>
      <c r="Q65" s="55"/>
      <c r="R65" s="49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</row>
    <row r="66" spans="1:41" x14ac:dyDescent="0.25">
      <c r="A66" s="46">
        <f t="shared" si="0"/>
        <v>63</v>
      </c>
      <c r="B66" s="129" t="s">
        <v>134</v>
      </c>
      <c r="C66" s="129" t="str">
        <f ca="1">IFERROR(__xludf.DUMMYFUNCTION("IFERROR(VLOOKUP(B66,IMPORTRANGE(""https://docs.google.com/spreadsheets/d/1Hr4i_97qtgRe-bfuRbVkLVmXa34m06T7R6IJCbq42Xg/edit?gid=0#gid=0"",""Information!B5:S200""),4,0),"""")"),"")</f>
        <v/>
      </c>
      <c r="D66" s="154" t="s">
        <v>145</v>
      </c>
      <c r="E66" s="177" t="str">
        <f t="shared" si="1"/>
        <v>063/ST/2025</v>
      </c>
      <c r="F66" s="131">
        <v>45805</v>
      </c>
      <c r="G66" s="136" t="s">
        <v>261</v>
      </c>
      <c r="H66" s="178">
        <v>1000000</v>
      </c>
      <c r="I66" s="179">
        <v>0</v>
      </c>
      <c r="J66" s="178">
        <f t="shared" si="14"/>
        <v>0</v>
      </c>
      <c r="K66" s="55">
        <f t="shared" si="16"/>
        <v>1000000</v>
      </c>
      <c r="L66" s="117">
        <f t="shared" si="4"/>
        <v>45820</v>
      </c>
      <c r="M66" s="127"/>
      <c r="N66" s="117"/>
      <c r="O66" s="55"/>
      <c r="P66" s="55"/>
      <c r="Q66" s="55"/>
      <c r="R66" s="49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</row>
    <row r="67" spans="1:41" x14ac:dyDescent="0.25">
      <c r="A67" s="46">
        <f t="shared" si="0"/>
        <v>64</v>
      </c>
      <c r="B67" s="129" t="s">
        <v>188</v>
      </c>
      <c r="C67" s="129" t="str">
        <f ca="1">IFERROR(__xludf.DUMMYFUNCTION("IFERROR(VLOOKUP(B67,IMPORTRANGE(""https://docs.google.com/spreadsheets/d/1Hr4i_97qtgRe-bfuRbVkLVmXa34m06T7R6IJCbq42Xg/edit?gid=0#gid=0"",""Information!B5:S200""),4,0),"""")"),"")</f>
        <v/>
      </c>
      <c r="D67" s="154" t="s">
        <v>147</v>
      </c>
      <c r="E67" s="177" t="str">
        <f t="shared" si="1"/>
        <v>064/ST/2025</v>
      </c>
      <c r="F67" s="131">
        <v>45810</v>
      </c>
      <c r="G67" s="136" t="s">
        <v>289</v>
      </c>
      <c r="H67" s="178">
        <v>1500000</v>
      </c>
      <c r="I67" s="179">
        <v>0.08</v>
      </c>
      <c r="J67" s="178">
        <f t="shared" si="14"/>
        <v>120000</v>
      </c>
      <c r="K67" s="55">
        <f t="shared" si="16"/>
        <v>1620000</v>
      </c>
      <c r="L67" s="117">
        <f t="shared" si="4"/>
        <v>45825</v>
      </c>
      <c r="M67" s="127"/>
      <c r="N67" s="117"/>
      <c r="O67" s="55"/>
      <c r="P67" s="55"/>
      <c r="Q67" s="55"/>
      <c r="R67" s="49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</row>
    <row r="68" spans="1:41" x14ac:dyDescent="0.25">
      <c r="A68" s="46">
        <f t="shared" si="0"/>
        <v>65</v>
      </c>
      <c r="B68" s="129" t="s">
        <v>102</v>
      </c>
      <c r="C68" s="129" t="str">
        <f ca="1">IFERROR(__xludf.DUMMYFUNCTION("IFERROR(VLOOKUP(B68,IMPORTRANGE(""https://docs.google.com/spreadsheets/d/1Hr4i_97qtgRe-bfuRbVkLVmXa34m06T7R6IJCbq42Xg/edit?gid=0#gid=0"",""Information!B5:S200""),4,0),"""")"),"")</f>
        <v/>
      </c>
      <c r="D68" s="154" t="s">
        <v>149</v>
      </c>
      <c r="E68" s="177" t="str">
        <f t="shared" si="1"/>
        <v>065/ST/2025</v>
      </c>
      <c r="F68" s="131">
        <v>45813</v>
      </c>
      <c r="G68" s="136" t="s">
        <v>308</v>
      </c>
      <c r="H68" s="178">
        <v>643000</v>
      </c>
      <c r="I68" s="179">
        <v>0</v>
      </c>
      <c r="J68" s="178">
        <f t="shared" si="14"/>
        <v>0</v>
      </c>
      <c r="K68" s="55">
        <f t="shared" si="16"/>
        <v>643000</v>
      </c>
      <c r="L68" s="117">
        <f t="shared" si="4"/>
        <v>45828</v>
      </c>
      <c r="M68" s="127"/>
      <c r="N68" s="117"/>
      <c r="O68" s="55"/>
      <c r="P68" s="55"/>
      <c r="Q68" s="55"/>
      <c r="R68" s="49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</row>
    <row r="69" spans="1:41" x14ac:dyDescent="0.25">
      <c r="A69" s="46">
        <f t="shared" si="0"/>
        <v>66</v>
      </c>
      <c r="B69" s="129" t="s">
        <v>64</v>
      </c>
      <c r="C69" s="129" t="str">
        <f ca="1">IFERROR(__xludf.DUMMYFUNCTION("IFERROR(VLOOKUP(B69,IMPORTRANGE(""https://docs.google.com/spreadsheets/d/1Hr4i_97qtgRe-bfuRbVkLVmXa34m06T7R6IJCbq42Xg/edit?gid=0#gid=0"",""Information!B5:S200""),4,0),"""")"),"")</f>
        <v/>
      </c>
      <c r="D69" s="154" t="s">
        <v>151</v>
      </c>
      <c r="E69" s="177" t="str">
        <f t="shared" si="1"/>
        <v>066/ST/2025</v>
      </c>
      <c r="F69" s="131">
        <v>45818</v>
      </c>
      <c r="G69" s="183" t="s">
        <v>268</v>
      </c>
      <c r="H69" s="178">
        <v>1276000</v>
      </c>
      <c r="I69" s="179">
        <v>0</v>
      </c>
      <c r="J69" s="178">
        <f t="shared" si="14"/>
        <v>0</v>
      </c>
      <c r="K69" s="55">
        <f t="shared" si="16"/>
        <v>1276000</v>
      </c>
      <c r="L69" s="117">
        <f t="shared" si="4"/>
        <v>45833</v>
      </c>
      <c r="M69" s="127"/>
      <c r="N69" s="117"/>
      <c r="O69" s="55"/>
      <c r="P69" s="55"/>
      <c r="Q69" s="55"/>
      <c r="R69" s="49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</row>
    <row r="70" spans="1:41" x14ac:dyDescent="0.25">
      <c r="A70" s="46">
        <f t="shared" si="0"/>
        <v>67</v>
      </c>
      <c r="B70" s="129" t="s">
        <v>70</v>
      </c>
      <c r="C70" s="129" t="str">
        <f ca="1">IFERROR(__xludf.DUMMYFUNCTION("IFERROR(VLOOKUP(B70,IMPORTRANGE(""https://docs.google.com/spreadsheets/d/1Hr4i_97qtgRe-bfuRbVkLVmXa34m06T7R6IJCbq42Xg/edit?gid=0#gid=0"",""Information!B5:S200""),4,0),"""")"),"")</f>
        <v/>
      </c>
      <c r="D70" s="154" t="s">
        <v>153</v>
      </c>
      <c r="E70" s="177" t="str">
        <f t="shared" si="1"/>
        <v>067/ST/2025</v>
      </c>
      <c r="F70" s="131">
        <v>45818</v>
      </c>
      <c r="G70" s="183" t="s">
        <v>268</v>
      </c>
      <c r="H70" s="178">
        <v>1276000</v>
      </c>
      <c r="I70" s="179">
        <v>0</v>
      </c>
      <c r="J70" s="178">
        <f t="shared" si="14"/>
        <v>0</v>
      </c>
      <c r="K70" s="55">
        <f t="shared" si="16"/>
        <v>1276000</v>
      </c>
      <c r="L70" s="117">
        <f t="shared" si="4"/>
        <v>45833</v>
      </c>
      <c r="M70" s="127"/>
      <c r="N70" s="117"/>
      <c r="O70" s="55"/>
      <c r="P70" s="55"/>
      <c r="Q70" s="55"/>
      <c r="R70" s="49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</row>
    <row r="71" spans="1:41" x14ac:dyDescent="0.25">
      <c r="A71" s="46">
        <f t="shared" si="0"/>
        <v>68</v>
      </c>
      <c r="B71" s="129" t="s">
        <v>16</v>
      </c>
      <c r="C71" s="129" t="str">
        <f ca="1">IFERROR(__xludf.DUMMYFUNCTION("IFERROR(VLOOKUP(B71,IMPORTRANGE(""https://docs.google.com/spreadsheets/d/1Hr4i_97qtgRe-bfuRbVkLVmXa34m06T7R6IJCbq42Xg/edit?gid=0#gid=0"",""Information!B5:S200""),4,0),"""")"),"")</f>
        <v/>
      </c>
      <c r="D71" s="154" t="s">
        <v>155</v>
      </c>
      <c r="E71" s="177" t="str">
        <f t="shared" si="1"/>
        <v>068/ST/2025</v>
      </c>
      <c r="F71" s="131">
        <v>45819</v>
      </c>
      <c r="G71" s="183" t="s">
        <v>309</v>
      </c>
      <c r="H71" s="178">
        <v>5000000</v>
      </c>
      <c r="I71" s="179">
        <v>0.08</v>
      </c>
      <c r="J71" s="178">
        <f t="shared" si="14"/>
        <v>400000</v>
      </c>
      <c r="K71" s="55">
        <f t="shared" si="16"/>
        <v>5400000</v>
      </c>
      <c r="L71" s="117">
        <f t="shared" si="4"/>
        <v>45834</v>
      </c>
      <c r="M71" s="127"/>
      <c r="N71" s="117"/>
      <c r="O71" s="55"/>
      <c r="P71" s="55"/>
      <c r="Q71" s="55"/>
      <c r="R71" s="49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</row>
    <row r="72" spans="1:41" x14ac:dyDescent="0.25">
      <c r="A72" s="46" t="str">
        <f t="shared" si="0"/>
        <v/>
      </c>
      <c r="B72" s="114"/>
      <c r="C72" s="114"/>
      <c r="D72" s="154"/>
      <c r="E72" s="177" t="str">
        <f t="shared" si="1"/>
        <v/>
      </c>
      <c r="F72" s="116"/>
      <c r="G72" s="234"/>
      <c r="H72" s="55"/>
      <c r="I72" s="54"/>
      <c r="J72" s="55"/>
      <c r="K72" s="55"/>
      <c r="L72" s="117"/>
      <c r="M72" s="56"/>
      <c r="N72" s="117"/>
      <c r="O72" s="55"/>
      <c r="P72" s="55"/>
      <c r="Q72" s="55"/>
      <c r="R72" s="49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</row>
    <row r="73" spans="1:41" x14ac:dyDescent="0.25">
      <c r="A73" s="46" t="str">
        <f t="shared" si="0"/>
        <v/>
      </c>
      <c r="B73" s="114"/>
      <c r="C73" s="114"/>
      <c r="D73" s="191"/>
      <c r="E73" s="177" t="str">
        <f t="shared" si="1"/>
        <v/>
      </c>
      <c r="F73" s="116"/>
      <c r="G73" s="234"/>
      <c r="H73" s="55"/>
      <c r="I73" s="54"/>
      <c r="J73" s="55"/>
      <c r="K73" s="55"/>
      <c r="L73" s="117"/>
      <c r="M73" s="56"/>
      <c r="N73" s="117"/>
      <c r="O73" s="55"/>
      <c r="P73" s="55"/>
      <c r="Q73" s="55"/>
      <c r="R73" s="49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</row>
    <row r="74" spans="1:41" x14ac:dyDescent="0.25">
      <c r="A74" s="46" t="str">
        <f t="shared" si="0"/>
        <v/>
      </c>
      <c r="B74" s="114"/>
      <c r="C74" s="114"/>
      <c r="D74" s="191"/>
      <c r="E74" s="177" t="str">
        <f t="shared" si="1"/>
        <v/>
      </c>
      <c r="F74" s="116"/>
      <c r="G74" s="128"/>
      <c r="H74" s="55"/>
      <c r="I74" s="54"/>
      <c r="J74" s="55"/>
      <c r="K74" s="55"/>
      <c r="L74" s="117"/>
      <c r="M74" s="56"/>
      <c r="N74" s="117"/>
      <c r="O74" s="55"/>
      <c r="P74" s="55"/>
      <c r="Q74" s="55"/>
      <c r="R74" s="49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</row>
    <row r="75" spans="1:41" x14ac:dyDescent="0.25">
      <c r="A75" s="46" t="str">
        <f t="shared" si="0"/>
        <v/>
      </c>
      <c r="B75" s="114"/>
      <c r="C75" s="114"/>
      <c r="D75" s="191"/>
      <c r="E75" s="177" t="str">
        <f t="shared" si="1"/>
        <v/>
      </c>
      <c r="F75" s="116"/>
      <c r="G75" s="234"/>
      <c r="H75" s="55"/>
      <c r="I75" s="54"/>
      <c r="J75" s="55"/>
      <c r="K75" s="55"/>
      <c r="L75" s="117"/>
      <c r="M75" s="56"/>
      <c r="N75" s="117"/>
      <c r="O75" s="55"/>
      <c r="P75" s="55"/>
      <c r="Q75" s="55"/>
      <c r="R75" s="49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</row>
    <row r="76" spans="1:41" x14ac:dyDescent="0.25">
      <c r="A76" s="46" t="str">
        <f t="shared" si="0"/>
        <v/>
      </c>
      <c r="B76" s="114"/>
      <c r="C76" s="114"/>
      <c r="D76" s="191"/>
      <c r="E76" s="177" t="str">
        <f t="shared" si="1"/>
        <v/>
      </c>
      <c r="F76" s="116"/>
      <c r="G76" s="234"/>
      <c r="H76" s="55"/>
      <c r="I76" s="54"/>
      <c r="J76" s="55"/>
      <c r="K76" s="55"/>
      <c r="L76" s="117"/>
      <c r="M76" s="56"/>
      <c r="N76" s="117"/>
      <c r="O76" s="55"/>
      <c r="P76" s="55"/>
      <c r="Q76" s="55"/>
      <c r="R76" s="49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</row>
    <row r="77" spans="1:41" x14ac:dyDescent="0.25">
      <c r="A77" s="46" t="str">
        <f t="shared" si="0"/>
        <v/>
      </c>
      <c r="B77" s="114"/>
      <c r="C77" s="114"/>
      <c r="D77" s="191"/>
      <c r="E77" s="177" t="str">
        <f t="shared" si="1"/>
        <v/>
      </c>
      <c r="F77" s="116"/>
      <c r="G77" s="128"/>
      <c r="H77" s="55"/>
      <c r="I77" s="54"/>
      <c r="J77" s="55"/>
      <c r="K77" s="55"/>
      <c r="L77" s="117"/>
      <c r="M77" s="56"/>
      <c r="N77" s="117"/>
      <c r="O77" s="55"/>
      <c r="P77" s="55"/>
      <c r="Q77" s="55"/>
      <c r="R77" s="49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</row>
    <row r="78" spans="1:41" x14ac:dyDescent="0.25">
      <c r="A78" s="46" t="str">
        <f t="shared" si="0"/>
        <v/>
      </c>
      <c r="B78" s="114"/>
      <c r="C78" s="114"/>
      <c r="D78" s="191"/>
      <c r="E78" s="177" t="str">
        <f t="shared" si="1"/>
        <v/>
      </c>
      <c r="F78" s="116"/>
      <c r="G78" s="128"/>
      <c r="H78" s="55"/>
      <c r="I78" s="54"/>
      <c r="J78" s="55"/>
      <c r="K78" s="55"/>
      <c r="L78" s="117"/>
      <c r="M78" s="56"/>
      <c r="N78" s="117"/>
      <c r="O78" s="55"/>
      <c r="P78" s="55"/>
      <c r="Q78" s="55"/>
      <c r="R78" s="49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</row>
    <row r="79" spans="1:41" x14ac:dyDescent="0.25">
      <c r="A79" s="46" t="str">
        <f t="shared" si="0"/>
        <v/>
      </c>
      <c r="B79" s="114"/>
      <c r="C79" s="114"/>
      <c r="D79" s="191"/>
      <c r="E79" s="177" t="str">
        <f t="shared" si="1"/>
        <v/>
      </c>
      <c r="F79" s="116"/>
      <c r="G79" s="128"/>
      <c r="H79" s="55"/>
      <c r="I79" s="54"/>
      <c r="J79" s="55"/>
      <c r="K79" s="55"/>
      <c r="L79" s="117"/>
      <c r="M79" s="56"/>
      <c r="N79" s="117"/>
      <c r="O79" s="55"/>
      <c r="P79" s="55"/>
      <c r="Q79" s="55"/>
      <c r="R79" s="49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</row>
    <row r="80" spans="1:41" x14ac:dyDescent="0.25">
      <c r="A80" s="46" t="str">
        <f t="shared" si="0"/>
        <v/>
      </c>
      <c r="B80" s="114"/>
      <c r="C80" s="114"/>
      <c r="D80" s="191"/>
      <c r="E80" s="177" t="str">
        <f t="shared" si="1"/>
        <v/>
      </c>
      <c r="F80" s="116"/>
      <c r="G80" s="128"/>
      <c r="H80" s="55"/>
      <c r="I80" s="54"/>
      <c r="J80" s="55"/>
      <c r="K80" s="55"/>
      <c r="L80" s="117"/>
      <c r="M80" s="56"/>
      <c r="N80" s="117"/>
      <c r="O80" s="55"/>
      <c r="P80" s="55"/>
      <c r="Q80" s="55"/>
      <c r="R80" s="49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</row>
    <row r="81" spans="1:41" x14ac:dyDescent="0.25">
      <c r="A81" s="46" t="str">
        <f t="shared" si="0"/>
        <v/>
      </c>
      <c r="B81" s="114"/>
      <c r="C81" s="114"/>
      <c r="D81" s="191"/>
      <c r="E81" s="177" t="str">
        <f t="shared" si="1"/>
        <v/>
      </c>
      <c r="F81" s="116"/>
      <c r="G81" s="128"/>
      <c r="H81" s="55"/>
      <c r="I81" s="54"/>
      <c r="J81" s="55"/>
      <c r="K81" s="55"/>
      <c r="L81" s="117"/>
      <c r="M81" s="56"/>
      <c r="N81" s="117"/>
      <c r="O81" s="55"/>
      <c r="P81" s="55"/>
      <c r="Q81" s="55"/>
      <c r="R81" s="49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</row>
    <row r="82" spans="1:41" x14ac:dyDescent="0.25">
      <c r="A82" s="46" t="str">
        <f t="shared" si="0"/>
        <v/>
      </c>
      <c r="B82" s="114"/>
      <c r="C82" s="114"/>
      <c r="D82" s="191"/>
      <c r="E82" s="177" t="str">
        <f t="shared" si="1"/>
        <v/>
      </c>
      <c r="F82" s="116"/>
      <c r="G82" s="128"/>
      <c r="H82" s="55"/>
      <c r="I82" s="54"/>
      <c r="J82" s="55"/>
      <c r="K82" s="55"/>
      <c r="L82" s="117"/>
      <c r="M82" s="56"/>
      <c r="N82" s="117"/>
      <c r="O82" s="55"/>
      <c r="P82" s="55"/>
      <c r="Q82" s="55"/>
      <c r="R82" s="49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</row>
    <row r="83" spans="1:41" x14ac:dyDescent="0.25">
      <c r="A83" s="46" t="str">
        <f t="shared" si="0"/>
        <v/>
      </c>
      <c r="B83" s="114"/>
      <c r="C83" s="114"/>
      <c r="D83" s="191"/>
      <c r="E83" s="177" t="str">
        <f t="shared" si="1"/>
        <v/>
      </c>
      <c r="F83" s="116"/>
      <c r="G83" s="128"/>
      <c r="H83" s="55"/>
      <c r="I83" s="54"/>
      <c r="J83" s="55"/>
      <c r="K83" s="55"/>
      <c r="L83" s="117"/>
      <c r="M83" s="56"/>
      <c r="N83" s="117"/>
      <c r="O83" s="55"/>
      <c r="P83" s="55"/>
      <c r="Q83" s="55"/>
      <c r="R83" s="49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</row>
    <row r="84" spans="1:41" x14ac:dyDescent="0.25">
      <c r="A84" s="46" t="str">
        <f t="shared" si="0"/>
        <v/>
      </c>
      <c r="B84" s="114"/>
      <c r="C84" s="114"/>
      <c r="D84" s="191"/>
      <c r="E84" s="177" t="str">
        <f t="shared" si="1"/>
        <v/>
      </c>
      <c r="F84" s="116"/>
      <c r="G84" s="128"/>
      <c r="H84" s="55"/>
      <c r="I84" s="54"/>
      <c r="J84" s="55"/>
      <c r="K84" s="55"/>
      <c r="L84" s="117"/>
      <c r="M84" s="56"/>
      <c r="N84" s="117"/>
      <c r="O84" s="55"/>
      <c r="P84" s="55"/>
      <c r="Q84" s="55"/>
      <c r="R84" s="49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</row>
    <row r="85" spans="1:41" x14ac:dyDescent="0.25">
      <c r="A85" s="46" t="str">
        <f t="shared" si="0"/>
        <v/>
      </c>
      <c r="B85" s="114"/>
      <c r="C85" s="114"/>
      <c r="D85" s="191"/>
      <c r="E85" s="177" t="str">
        <f t="shared" si="1"/>
        <v/>
      </c>
      <c r="F85" s="116"/>
      <c r="G85" s="128"/>
      <c r="H85" s="55"/>
      <c r="I85" s="54"/>
      <c r="J85" s="55"/>
      <c r="K85" s="55"/>
      <c r="L85" s="117"/>
      <c r="M85" s="56"/>
      <c r="N85" s="117"/>
      <c r="O85" s="55"/>
      <c r="P85" s="55"/>
      <c r="Q85" s="55"/>
      <c r="R85" s="49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</row>
    <row r="86" spans="1:41" x14ac:dyDescent="0.25">
      <c r="A86" s="46" t="str">
        <f t="shared" si="0"/>
        <v/>
      </c>
      <c r="B86" s="114"/>
      <c r="C86" s="114"/>
      <c r="D86" s="191"/>
      <c r="E86" s="177" t="str">
        <f t="shared" si="1"/>
        <v/>
      </c>
      <c r="F86" s="116"/>
      <c r="G86" s="128"/>
      <c r="H86" s="55"/>
      <c r="I86" s="54"/>
      <c r="J86" s="55"/>
      <c r="K86" s="55"/>
      <c r="L86" s="117"/>
      <c r="M86" s="56"/>
      <c r="N86" s="117"/>
      <c r="O86" s="55"/>
      <c r="P86" s="55"/>
      <c r="Q86" s="55"/>
      <c r="R86" s="49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</row>
    <row r="87" spans="1:41" x14ac:dyDescent="0.25">
      <c r="A87" s="46" t="str">
        <f t="shared" si="0"/>
        <v/>
      </c>
      <c r="B87" s="114"/>
      <c r="C87" s="114"/>
      <c r="D87" s="191"/>
      <c r="E87" s="177" t="str">
        <f t="shared" si="1"/>
        <v/>
      </c>
      <c r="F87" s="116"/>
      <c r="G87" s="128"/>
      <c r="H87" s="55"/>
      <c r="I87" s="54"/>
      <c r="J87" s="55"/>
      <c r="K87" s="55"/>
      <c r="L87" s="117"/>
      <c r="M87" s="56"/>
      <c r="N87" s="117"/>
      <c r="O87" s="55"/>
      <c r="P87" s="55"/>
      <c r="Q87" s="55"/>
      <c r="R87" s="49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</row>
    <row r="88" spans="1:41" x14ac:dyDescent="0.25">
      <c r="A88" s="46" t="str">
        <f t="shared" si="0"/>
        <v/>
      </c>
      <c r="B88" s="114"/>
      <c r="C88" s="114"/>
      <c r="D88" s="191"/>
      <c r="E88" s="177" t="str">
        <f t="shared" si="1"/>
        <v/>
      </c>
      <c r="F88" s="116"/>
      <c r="G88" s="128"/>
      <c r="H88" s="55"/>
      <c r="I88" s="54"/>
      <c r="J88" s="55"/>
      <c r="K88" s="55"/>
      <c r="L88" s="117"/>
      <c r="M88" s="56"/>
      <c r="N88" s="117"/>
      <c r="O88" s="55"/>
      <c r="P88" s="55"/>
      <c r="Q88" s="55"/>
      <c r="R88" s="49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</row>
    <row r="89" spans="1:41" x14ac:dyDescent="0.25">
      <c r="A89" s="46" t="str">
        <f t="shared" si="0"/>
        <v/>
      </c>
      <c r="B89" s="114"/>
      <c r="C89" s="114"/>
      <c r="D89" s="191"/>
      <c r="E89" s="177" t="str">
        <f t="shared" si="1"/>
        <v/>
      </c>
      <c r="F89" s="116"/>
      <c r="G89" s="128"/>
      <c r="H89" s="55"/>
      <c r="I89" s="54"/>
      <c r="J89" s="55"/>
      <c r="K89" s="55"/>
      <c r="L89" s="117"/>
      <c r="M89" s="56"/>
      <c r="N89" s="117"/>
      <c r="O89" s="55"/>
      <c r="P89" s="55"/>
      <c r="Q89" s="55"/>
      <c r="R89" s="49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</row>
    <row r="90" spans="1:41" x14ac:dyDescent="0.25">
      <c r="A90" s="46" t="str">
        <f t="shared" si="0"/>
        <v/>
      </c>
      <c r="B90" s="114"/>
      <c r="C90" s="114"/>
      <c r="D90" s="191"/>
      <c r="E90" s="177" t="str">
        <f t="shared" si="1"/>
        <v/>
      </c>
      <c r="F90" s="116"/>
      <c r="G90" s="128"/>
      <c r="H90" s="55"/>
      <c r="I90" s="54"/>
      <c r="J90" s="55"/>
      <c r="K90" s="55"/>
      <c r="L90" s="117"/>
      <c r="M90" s="56"/>
      <c r="N90" s="117"/>
      <c r="O90" s="55"/>
      <c r="P90" s="55"/>
      <c r="Q90" s="55"/>
      <c r="R90" s="49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</row>
    <row r="91" spans="1:41" x14ac:dyDescent="0.25">
      <c r="A91" s="46" t="str">
        <f t="shared" si="0"/>
        <v/>
      </c>
      <c r="B91" s="114"/>
      <c r="C91" s="114"/>
      <c r="D91" s="191"/>
      <c r="E91" s="177" t="str">
        <f t="shared" si="1"/>
        <v/>
      </c>
      <c r="F91" s="116"/>
      <c r="G91" s="128"/>
      <c r="H91" s="55"/>
      <c r="I91" s="54"/>
      <c r="J91" s="55"/>
      <c r="K91" s="55"/>
      <c r="L91" s="117"/>
      <c r="M91" s="56"/>
      <c r="N91" s="117"/>
      <c r="O91" s="55"/>
      <c r="P91" s="55"/>
      <c r="Q91" s="55"/>
      <c r="R91" s="49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</row>
    <row r="92" spans="1:41" x14ac:dyDescent="0.25">
      <c r="A92" s="46" t="str">
        <f t="shared" si="0"/>
        <v/>
      </c>
      <c r="B92" s="114"/>
      <c r="C92" s="114"/>
      <c r="D92" s="191"/>
      <c r="E92" s="177" t="str">
        <f t="shared" si="1"/>
        <v/>
      </c>
      <c r="F92" s="116"/>
      <c r="G92" s="128"/>
      <c r="H92" s="55"/>
      <c r="I92" s="54"/>
      <c r="J92" s="55"/>
      <c r="K92" s="55"/>
      <c r="L92" s="117"/>
      <c r="M92" s="56"/>
      <c r="N92" s="117"/>
      <c r="O92" s="55"/>
      <c r="P92" s="55"/>
      <c r="Q92" s="55"/>
      <c r="R92" s="49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</row>
    <row r="93" spans="1:41" x14ac:dyDescent="0.25">
      <c r="A93" s="46" t="str">
        <f t="shared" si="0"/>
        <v/>
      </c>
      <c r="B93" s="114"/>
      <c r="C93" s="114"/>
      <c r="D93" s="191"/>
      <c r="E93" s="177" t="str">
        <f t="shared" si="1"/>
        <v/>
      </c>
      <c r="F93" s="116"/>
      <c r="G93" s="128"/>
      <c r="H93" s="55"/>
      <c r="I93" s="54"/>
      <c r="J93" s="55"/>
      <c r="K93" s="55"/>
      <c r="L93" s="117"/>
      <c r="M93" s="56"/>
      <c r="N93" s="117"/>
      <c r="O93" s="55"/>
      <c r="P93" s="55"/>
      <c r="Q93" s="55"/>
      <c r="R93" s="49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</row>
    <row r="94" spans="1:41" x14ac:dyDescent="0.25">
      <c r="A94" s="46" t="str">
        <f t="shared" si="0"/>
        <v/>
      </c>
      <c r="B94" s="114"/>
      <c r="C94" s="114"/>
      <c r="D94" s="191"/>
      <c r="E94" s="177" t="str">
        <f t="shared" si="1"/>
        <v/>
      </c>
      <c r="F94" s="116"/>
      <c r="G94" s="128"/>
      <c r="H94" s="55"/>
      <c r="I94" s="54"/>
      <c r="J94" s="55"/>
      <c r="K94" s="55"/>
      <c r="L94" s="117"/>
      <c r="M94" s="56"/>
      <c r="N94" s="117"/>
      <c r="O94" s="55"/>
      <c r="P94" s="55"/>
      <c r="Q94" s="55"/>
      <c r="R94" s="49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</row>
    <row r="95" spans="1:41" x14ac:dyDescent="0.25">
      <c r="A95" s="46" t="str">
        <f t="shared" si="0"/>
        <v/>
      </c>
      <c r="B95" s="114"/>
      <c r="C95" s="114"/>
      <c r="D95" s="191"/>
      <c r="E95" s="177" t="str">
        <f t="shared" si="1"/>
        <v/>
      </c>
      <c r="F95" s="116"/>
      <c r="G95" s="128"/>
      <c r="H95" s="55"/>
      <c r="I95" s="54"/>
      <c r="J95" s="55"/>
      <c r="K95" s="55"/>
      <c r="L95" s="117"/>
      <c r="M95" s="56"/>
      <c r="N95" s="117"/>
      <c r="O95" s="55"/>
      <c r="P95" s="55"/>
      <c r="Q95" s="55"/>
      <c r="R95" s="49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</row>
    <row r="96" spans="1:41" x14ac:dyDescent="0.25">
      <c r="A96" s="46" t="str">
        <f t="shared" si="0"/>
        <v/>
      </c>
      <c r="B96" s="114"/>
      <c r="C96" s="114"/>
      <c r="D96" s="191"/>
      <c r="E96" s="177" t="str">
        <f t="shared" si="1"/>
        <v/>
      </c>
      <c r="F96" s="116"/>
      <c r="G96" s="128"/>
      <c r="H96" s="55"/>
      <c r="I96" s="54"/>
      <c r="J96" s="55"/>
      <c r="K96" s="55"/>
      <c r="L96" s="117"/>
      <c r="M96" s="56"/>
      <c r="N96" s="117"/>
      <c r="O96" s="55"/>
      <c r="P96" s="55"/>
      <c r="Q96" s="55"/>
      <c r="R96" s="49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</row>
    <row r="97" spans="1:41" x14ac:dyDescent="0.25">
      <c r="A97" s="46" t="str">
        <f t="shared" si="0"/>
        <v/>
      </c>
      <c r="B97" s="114"/>
      <c r="C97" s="114"/>
      <c r="D97" s="191"/>
      <c r="E97" s="177" t="str">
        <f t="shared" si="1"/>
        <v/>
      </c>
      <c r="F97" s="116"/>
      <c r="G97" s="128"/>
      <c r="H97" s="55"/>
      <c r="I97" s="54"/>
      <c r="J97" s="55"/>
      <c r="K97" s="55"/>
      <c r="L97" s="117"/>
      <c r="M97" s="56"/>
      <c r="N97" s="117"/>
      <c r="O97" s="55"/>
      <c r="P97" s="55"/>
      <c r="Q97" s="55"/>
      <c r="R97" s="49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</row>
    <row r="98" spans="1:41" x14ac:dyDescent="0.25">
      <c r="A98" s="46" t="str">
        <f t="shared" si="0"/>
        <v/>
      </c>
      <c r="B98" s="114"/>
      <c r="C98" s="114"/>
      <c r="D98" s="191"/>
      <c r="E98" s="177" t="str">
        <f t="shared" si="1"/>
        <v/>
      </c>
      <c r="F98" s="116"/>
      <c r="G98" s="128"/>
      <c r="H98" s="55"/>
      <c r="I98" s="54"/>
      <c r="J98" s="55"/>
      <c r="K98" s="55"/>
      <c r="L98" s="117"/>
      <c r="M98" s="56"/>
      <c r="N98" s="117"/>
      <c r="O98" s="55"/>
      <c r="P98" s="55"/>
      <c r="Q98" s="55"/>
      <c r="R98" s="49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</row>
    <row r="99" spans="1:41" x14ac:dyDescent="0.25">
      <c r="A99" s="46" t="str">
        <f t="shared" si="0"/>
        <v/>
      </c>
      <c r="B99" s="114"/>
      <c r="C99" s="114"/>
      <c r="D99" s="191"/>
      <c r="E99" s="177" t="str">
        <f t="shared" si="1"/>
        <v/>
      </c>
      <c r="F99" s="116"/>
      <c r="G99" s="52"/>
      <c r="H99" s="55"/>
      <c r="I99" s="54"/>
      <c r="J99" s="55"/>
      <c r="K99" s="55"/>
      <c r="L99" s="117"/>
      <c r="M99" s="56"/>
      <c r="N99" s="117"/>
      <c r="O99" s="55"/>
      <c r="P99" s="55"/>
      <c r="Q99" s="55"/>
      <c r="R99" s="49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</row>
    <row r="100" spans="1:41" x14ac:dyDescent="0.25">
      <c r="A100" s="46" t="str">
        <f t="shared" si="0"/>
        <v/>
      </c>
      <c r="B100" s="114"/>
      <c r="C100" s="114"/>
      <c r="D100" s="191"/>
      <c r="E100" s="177" t="str">
        <f t="shared" si="1"/>
        <v/>
      </c>
      <c r="F100" s="116"/>
      <c r="G100" s="52"/>
      <c r="H100" s="55"/>
      <c r="I100" s="54"/>
      <c r="J100" s="55"/>
      <c r="K100" s="55"/>
      <c r="L100" s="117"/>
      <c r="M100" s="56"/>
      <c r="N100" s="117"/>
      <c r="O100" s="55"/>
      <c r="P100" s="55"/>
      <c r="Q100" s="55"/>
      <c r="R100" s="49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</row>
    <row r="101" spans="1:41" x14ac:dyDescent="0.25">
      <c r="A101" s="46" t="str">
        <f t="shared" si="0"/>
        <v/>
      </c>
      <c r="B101" s="114"/>
      <c r="C101" s="114"/>
      <c r="D101" s="191"/>
      <c r="E101" s="177" t="str">
        <f t="shared" si="1"/>
        <v/>
      </c>
      <c r="F101" s="116"/>
      <c r="G101" s="52"/>
      <c r="H101" s="55"/>
      <c r="I101" s="54"/>
      <c r="J101" s="55"/>
      <c r="K101" s="55"/>
      <c r="L101" s="117"/>
      <c r="M101" s="56"/>
      <c r="N101" s="117"/>
      <c r="O101" s="55"/>
      <c r="P101" s="55"/>
      <c r="Q101" s="55"/>
      <c r="R101" s="49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</row>
    <row r="102" spans="1:41" x14ac:dyDescent="0.25">
      <c r="A102" s="46" t="str">
        <f t="shared" si="0"/>
        <v/>
      </c>
      <c r="B102" s="114"/>
      <c r="C102" s="114"/>
      <c r="D102" s="191"/>
      <c r="E102" s="177" t="str">
        <f t="shared" si="1"/>
        <v/>
      </c>
      <c r="F102" s="116"/>
      <c r="G102" s="52"/>
      <c r="H102" s="55"/>
      <c r="I102" s="54"/>
      <c r="J102" s="55"/>
      <c r="K102" s="55"/>
      <c r="L102" s="117"/>
      <c r="M102" s="56"/>
      <c r="N102" s="117"/>
      <c r="O102" s="55"/>
      <c r="P102" s="55"/>
      <c r="Q102" s="55"/>
      <c r="R102" s="49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</row>
    <row r="103" spans="1:41" x14ac:dyDescent="0.25">
      <c r="A103" s="46" t="str">
        <f t="shared" si="0"/>
        <v/>
      </c>
      <c r="B103" s="114"/>
      <c r="C103" s="114"/>
      <c r="D103" s="191"/>
      <c r="E103" s="177" t="str">
        <f t="shared" si="1"/>
        <v/>
      </c>
      <c r="F103" s="116"/>
      <c r="G103" s="52"/>
      <c r="H103" s="55"/>
      <c r="I103" s="54"/>
      <c r="J103" s="55"/>
      <c r="K103" s="55"/>
      <c r="L103" s="117"/>
      <c r="M103" s="56"/>
      <c r="N103" s="117"/>
      <c r="O103" s="55"/>
      <c r="P103" s="55"/>
      <c r="Q103" s="55"/>
      <c r="R103" s="49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</row>
    <row r="104" spans="1:41" x14ac:dyDescent="0.25">
      <c r="A104" s="46" t="str">
        <f t="shared" si="0"/>
        <v/>
      </c>
      <c r="B104" s="114"/>
      <c r="C104" s="114"/>
      <c r="D104" s="191"/>
      <c r="E104" s="177" t="str">
        <f t="shared" si="1"/>
        <v/>
      </c>
      <c r="F104" s="116"/>
      <c r="G104" s="52"/>
      <c r="H104" s="55"/>
      <c r="I104" s="54"/>
      <c r="J104" s="55"/>
      <c r="K104" s="55"/>
      <c r="L104" s="117"/>
      <c r="M104" s="56"/>
      <c r="N104" s="117"/>
      <c r="O104" s="55"/>
      <c r="P104" s="55"/>
      <c r="Q104" s="55"/>
      <c r="R104" s="49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</row>
    <row r="105" spans="1:41" x14ac:dyDescent="0.25">
      <c r="A105" s="46" t="str">
        <f t="shared" si="0"/>
        <v/>
      </c>
      <c r="B105" s="114"/>
      <c r="C105" s="114"/>
      <c r="D105" s="191"/>
      <c r="E105" s="177" t="str">
        <f t="shared" si="1"/>
        <v/>
      </c>
      <c r="F105" s="116"/>
      <c r="G105" s="52"/>
      <c r="H105" s="55"/>
      <c r="I105" s="54"/>
      <c r="J105" s="55"/>
      <c r="K105" s="55"/>
      <c r="L105" s="117"/>
      <c r="M105" s="56"/>
      <c r="N105" s="117"/>
      <c r="O105" s="55"/>
      <c r="P105" s="55"/>
      <c r="Q105" s="55"/>
      <c r="R105" s="49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</row>
    <row r="106" spans="1:41" x14ac:dyDescent="0.25">
      <c r="A106" s="46" t="str">
        <f t="shared" si="0"/>
        <v/>
      </c>
      <c r="B106" s="114"/>
      <c r="C106" s="114"/>
      <c r="D106" s="191"/>
      <c r="E106" s="177" t="str">
        <f t="shared" si="1"/>
        <v/>
      </c>
      <c r="F106" s="116"/>
      <c r="G106" s="52"/>
      <c r="H106" s="55"/>
      <c r="I106" s="54"/>
      <c r="J106" s="55"/>
      <c r="K106" s="55"/>
      <c r="L106" s="117"/>
      <c r="M106" s="56"/>
      <c r="N106" s="117"/>
      <c r="O106" s="55"/>
      <c r="P106" s="55"/>
      <c r="Q106" s="55"/>
      <c r="R106" s="49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</row>
    <row r="107" spans="1:41" x14ac:dyDescent="0.25">
      <c r="A107" s="46" t="str">
        <f t="shared" si="0"/>
        <v/>
      </c>
      <c r="B107" s="114"/>
      <c r="C107" s="114"/>
      <c r="D107" s="191"/>
      <c r="E107" s="177" t="str">
        <f t="shared" si="1"/>
        <v/>
      </c>
      <c r="F107" s="116"/>
      <c r="G107" s="52"/>
      <c r="H107" s="55"/>
      <c r="I107" s="54"/>
      <c r="J107" s="55"/>
      <c r="K107" s="55"/>
      <c r="L107" s="117"/>
      <c r="M107" s="56"/>
      <c r="N107" s="117"/>
      <c r="O107" s="55"/>
      <c r="P107" s="55"/>
      <c r="Q107" s="55"/>
      <c r="R107" s="49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</row>
    <row r="108" spans="1:41" x14ac:dyDescent="0.25">
      <c r="A108" s="46" t="str">
        <f t="shared" si="0"/>
        <v/>
      </c>
      <c r="B108" s="114"/>
      <c r="C108" s="114"/>
      <c r="D108" s="191"/>
      <c r="E108" s="177" t="str">
        <f t="shared" si="1"/>
        <v/>
      </c>
      <c r="F108" s="116"/>
      <c r="G108" s="52"/>
      <c r="H108" s="55"/>
      <c r="I108" s="54"/>
      <c r="J108" s="55"/>
      <c r="K108" s="55"/>
      <c r="L108" s="117"/>
      <c r="M108" s="56"/>
      <c r="N108" s="117"/>
      <c r="O108" s="55"/>
      <c r="P108" s="55"/>
      <c r="Q108" s="55"/>
      <c r="R108" s="49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</row>
    <row r="109" spans="1:41" x14ac:dyDescent="0.25">
      <c r="A109" s="46" t="str">
        <f t="shared" si="0"/>
        <v/>
      </c>
      <c r="B109" s="114"/>
      <c r="C109" s="114"/>
      <c r="D109" s="191"/>
      <c r="E109" s="177" t="str">
        <f t="shared" si="1"/>
        <v/>
      </c>
      <c r="F109" s="116"/>
      <c r="G109" s="52"/>
      <c r="H109" s="55"/>
      <c r="I109" s="54"/>
      <c r="J109" s="55"/>
      <c r="K109" s="55"/>
      <c r="L109" s="117"/>
      <c r="M109" s="56"/>
      <c r="N109" s="117"/>
      <c r="O109" s="55"/>
      <c r="P109" s="55"/>
      <c r="Q109" s="55"/>
      <c r="R109" s="49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</row>
    <row r="110" spans="1:41" x14ac:dyDescent="0.25">
      <c r="A110" s="46" t="str">
        <f t="shared" si="0"/>
        <v/>
      </c>
      <c r="B110" s="114"/>
      <c r="C110" s="114"/>
      <c r="D110" s="191"/>
      <c r="E110" s="177" t="str">
        <f t="shared" si="1"/>
        <v/>
      </c>
      <c r="F110" s="116"/>
      <c r="G110" s="52"/>
      <c r="H110" s="55"/>
      <c r="I110" s="54"/>
      <c r="J110" s="55"/>
      <c r="K110" s="55"/>
      <c r="L110" s="117"/>
      <c r="M110" s="56"/>
      <c r="N110" s="117"/>
      <c r="O110" s="55"/>
      <c r="P110" s="55"/>
      <c r="Q110" s="55"/>
      <c r="R110" s="49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</row>
    <row r="111" spans="1:41" x14ac:dyDescent="0.25">
      <c r="A111" s="46" t="str">
        <f t="shared" si="0"/>
        <v/>
      </c>
      <c r="B111" s="114"/>
      <c r="C111" s="114"/>
      <c r="D111" s="191"/>
      <c r="E111" s="177" t="str">
        <f t="shared" si="1"/>
        <v/>
      </c>
      <c r="F111" s="116"/>
      <c r="G111" s="52"/>
      <c r="H111" s="55"/>
      <c r="I111" s="54"/>
      <c r="J111" s="55"/>
      <c r="K111" s="55"/>
      <c r="L111" s="117"/>
      <c r="M111" s="56"/>
      <c r="N111" s="117"/>
      <c r="O111" s="55"/>
      <c r="P111" s="55"/>
      <c r="Q111" s="55"/>
      <c r="R111" s="49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</row>
    <row r="112" spans="1:41" x14ac:dyDescent="0.25">
      <c r="A112" s="46" t="str">
        <f t="shared" si="0"/>
        <v/>
      </c>
      <c r="B112" s="114"/>
      <c r="C112" s="114"/>
      <c r="D112" s="191"/>
      <c r="E112" s="177" t="str">
        <f t="shared" si="1"/>
        <v/>
      </c>
      <c r="F112" s="116"/>
      <c r="G112" s="52"/>
      <c r="H112" s="55"/>
      <c r="I112" s="54"/>
      <c r="J112" s="55"/>
      <c r="K112" s="55"/>
      <c r="L112" s="117"/>
      <c r="M112" s="56"/>
      <c r="N112" s="117"/>
      <c r="O112" s="55"/>
      <c r="P112" s="55"/>
      <c r="Q112" s="55"/>
      <c r="R112" s="49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</row>
    <row r="113" spans="1:41" x14ac:dyDescent="0.25">
      <c r="A113" s="46" t="str">
        <f t="shared" si="0"/>
        <v/>
      </c>
      <c r="B113" s="114"/>
      <c r="C113" s="114"/>
      <c r="D113" s="191"/>
      <c r="E113" s="177" t="str">
        <f t="shared" si="1"/>
        <v/>
      </c>
      <c r="F113" s="116"/>
      <c r="G113" s="52"/>
      <c r="H113" s="55"/>
      <c r="I113" s="54"/>
      <c r="J113" s="55"/>
      <c r="K113" s="55"/>
      <c r="L113" s="117"/>
      <c r="M113" s="56"/>
      <c r="N113" s="117"/>
      <c r="O113" s="55"/>
      <c r="P113" s="55"/>
      <c r="Q113" s="55"/>
      <c r="R113" s="49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</row>
    <row r="114" spans="1:41" x14ac:dyDescent="0.25">
      <c r="A114" s="46" t="str">
        <f t="shared" si="0"/>
        <v/>
      </c>
      <c r="B114" s="114"/>
      <c r="C114" s="114"/>
      <c r="D114" s="191"/>
      <c r="E114" s="177" t="str">
        <f t="shared" si="1"/>
        <v/>
      </c>
      <c r="F114" s="116"/>
      <c r="G114" s="52"/>
      <c r="H114" s="55"/>
      <c r="I114" s="54"/>
      <c r="J114" s="55"/>
      <c r="K114" s="55"/>
      <c r="L114" s="117"/>
      <c r="M114" s="56"/>
      <c r="N114" s="117"/>
      <c r="O114" s="55"/>
      <c r="P114" s="55"/>
      <c r="Q114" s="55"/>
      <c r="R114" s="49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</row>
    <row r="115" spans="1:41" x14ac:dyDescent="0.25">
      <c r="A115" s="46" t="str">
        <f t="shared" si="0"/>
        <v/>
      </c>
      <c r="B115" s="114"/>
      <c r="C115" s="114"/>
      <c r="D115" s="191"/>
      <c r="E115" s="177" t="str">
        <f t="shared" si="1"/>
        <v/>
      </c>
      <c r="F115" s="116"/>
      <c r="G115" s="52"/>
      <c r="H115" s="55"/>
      <c r="I115" s="54"/>
      <c r="J115" s="55"/>
      <c r="K115" s="55"/>
      <c r="L115" s="117"/>
      <c r="M115" s="56"/>
      <c r="N115" s="117"/>
      <c r="O115" s="55"/>
      <c r="P115" s="55"/>
      <c r="Q115" s="55"/>
      <c r="R115" s="49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</row>
    <row r="116" spans="1:41" x14ac:dyDescent="0.25">
      <c r="A116" s="46" t="str">
        <f t="shared" si="0"/>
        <v/>
      </c>
      <c r="B116" s="114"/>
      <c r="C116" s="114"/>
      <c r="D116" s="191"/>
      <c r="E116" s="177" t="str">
        <f t="shared" si="1"/>
        <v/>
      </c>
      <c r="F116" s="116"/>
      <c r="G116" s="52"/>
      <c r="H116" s="55"/>
      <c r="I116" s="54"/>
      <c r="J116" s="55"/>
      <c r="K116" s="55"/>
      <c r="L116" s="117"/>
      <c r="M116" s="56"/>
      <c r="N116" s="117"/>
      <c r="O116" s="55"/>
      <c r="P116" s="55"/>
      <c r="Q116" s="55"/>
      <c r="R116" s="49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</row>
    <row r="117" spans="1:41" x14ac:dyDescent="0.25">
      <c r="A117" s="46" t="str">
        <f t="shared" si="0"/>
        <v/>
      </c>
      <c r="B117" s="114"/>
      <c r="C117" s="114"/>
      <c r="D117" s="191"/>
      <c r="E117" s="177" t="str">
        <f t="shared" si="1"/>
        <v/>
      </c>
      <c r="F117" s="116"/>
      <c r="G117" s="52"/>
      <c r="H117" s="55"/>
      <c r="I117" s="54"/>
      <c r="J117" s="55"/>
      <c r="K117" s="55"/>
      <c r="L117" s="117"/>
      <c r="M117" s="56"/>
      <c r="N117" s="117"/>
      <c r="O117" s="55"/>
      <c r="P117" s="55"/>
      <c r="Q117" s="55"/>
      <c r="R117" s="49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</row>
    <row r="118" spans="1:41" x14ac:dyDescent="0.25">
      <c r="A118" s="46" t="str">
        <f t="shared" si="0"/>
        <v/>
      </c>
      <c r="B118" s="114"/>
      <c r="C118" s="114"/>
      <c r="D118" s="191"/>
      <c r="E118" s="177" t="str">
        <f t="shared" si="1"/>
        <v/>
      </c>
      <c r="F118" s="116"/>
      <c r="G118" s="52"/>
      <c r="H118" s="55"/>
      <c r="I118" s="54"/>
      <c r="J118" s="55"/>
      <c r="K118" s="55"/>
      <c r="L118" s="117"/>
      <c r="M118" s="56"/>
      <c r="N118" s="117"/>
      <c r="O118" s="55"/>
      <c r="P118" s="55"/>
      <c r="Q118" s="55"/>
      <c r="R118" s="49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</row>
    <row r="119" spans="1:41" x14ac:dyDescent="0.25">
      <c r="A119" s="46" t="str">
        <f t="shared" si="0"/>
        <v/>
      </c>
      <c r="B119" s="114"/>
      <c r="C119" s="114"/>
      <c r="D119" s="191"/>
      <c r="E119" s="177" t="str">
        <f t="shared" si="1"/>
        <v/>
      </c>
      <c r="F119" s="116"/>
      <c r="G119" s="52"/>
      <c r="H119" s="55"/>
      <c r="I119" s="54"/>
      <c r="J119" s="55"/>
      <c r="K119" s="55"/>
      <c r="L119" s="117"/>
      <c r="M119" s="56"/>
      <c r="N119" s="117"/>
      <c r="O119" s="55"/>
      <c r="P119" s="55"/>
      <c r="Q119" s="55"/>
      <c r="R119" s="49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</row>
    <row r="120" spans="1:41" x14ac:dyDescent="0.25">
      <c r="A120" s="46" t="str">
        <f t="shared" si="0"/>
        <v/>
      </c>
      <c r="B120" s="114"/>
      <c r="C120" s="114"/>
      <c r="D120" s="191"/>
      <c r="E120" s="177" t="str">
        <f t="shared" si="1"/>
        <v/>
      </c>
      <c r="F120" s="116"/>
      <c r="G120" s="52"/>
      <c r="H120" s="55"/>
      <c r="I120" s="54"/>
      <c r="J120" s="55"/>
      <c r="K120" s="55"/>
      <c r="L120" s="117"/>
      <c r="M120" s="56"/>
      <c r="N120" s="117"/>
      <c r="O120" s="55"/>
      <c r="P120" s="55"/>
      <c r="Q120" s="55"/>
      <c r="R120" s="49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</row>
    <row r="121" spans="1:41" x14ac:dyDescent="0.25">
      <c r="A121" s="46" t="str">
        <f t="shared" si="0"/>
        <v/>
      </c>
      <c r="B121" s="114"/>
      <c r="C121" s="114"/>
      <c r="D121" s="191"/>
      <c r="E121" s="177" t="str">
        <f t="shared" si="1"/>
        <v/>
      </c>
      <c r="F121" s="116"/>
      <c r="G121" s="52"/>
      <c r="H121" s="55"/>
      <c r="I121" s="54"/>
      <c r="J121" s="55"/>
      <c r="K121" s="55"/>
      <c r="L121" s="117"/>
      <c r="M121" s="56"/>
      <c r="N121" s="117"/>
      <c r="O121" s="55"/>
      <c r="P121" s="55"/>
      <c r="Q121" s="55"/>
      <c r="R121" s="49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</row>
    <row r="122" spans="1:41" x14ac:dyDescent="0.25">
      <c r="A122" s="46" t="str">
        <f t="shared" si="0"/>
        <v/>
      </c>
      <c r="B122" s="114"/>
      <c r="C122" s="114"/>
      <c r="D122" s="191"/>
      <c r="E122" s="177" t="str">
        <f t="shared" si="1"/>
        <v/>
      </c>
      <c r="F122" s="116"/>
      <c r="G122" s="52"/>
      <c r="H122" s="55"/>
      <c r="I122" s="54"/>
      <c r="J122" s="55"/>
      <c r="K122" s="55"/>
      <c r="L122" s="117"/>
      <c r="M122" s="56"/>
      <c r="N122" s="117"/>
      <c r="O122" s="55"/>
      <c r="P122" s="55"/>
      <c r="Q122" s="55"/>
      <c r="R122" s="49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</row>
    <row r="123" spans="1:41" x14ac:dyDescent="0.25">
      <c r="A123" s="46" t="str">
        <f t="shared" si="0"/>
        <v/>
      </c>
      <c r="B123" s="114"/>
      <c r="C123" s="114"/>
      <c r="D123" s="191"/>
      <c r="E123" s="177" t="str">
        <f t="shared" si="1"/>
        <v/>
      </c>
      <c r="F123" s="116"/>
      <c r="G123" s="52"/>
      <c r="H123" s="55"/>
      <c r="I123" s="54"/>
      <c r="J123" s="55"/>
      <c r="K123" s="55"/>
      <c r="L123" s="117"/>
      <c r="M123" s="56"/>
      <c r="N123" s="117"/>
      <c r="O123" s="55"/>
      <c r="P123" s="55"/>
      <c r="Q123" s="55"/>
      <c r="R123" s="49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</row>
    <row r="124" spans="1:41" x14ac:dyDescent="0.25">
      <c r="A124" s="46"/>
      <c r="B124" s="114"/>
      <c r="C124" s="114"/>
      <c r="D124" s="191"/>
      <c r="E124" s="177" t="str">
        <f t="shared" si="1"/>
        <v/>
      </c>
      <c r="F124" s="116"/>
      <c r="G124" s="52"/>
      <c r="H124" s="55"/>
      <c r="I124" s="54"/>
      <c r="J124" s="55"/>
      <c r="K124" s="55"/>
      <c r="L124" s="117"/>
      <c r="M124" s="56"/>
      <c r="N124" s="117"/>
      <c r="O124" s="55"/>
      <c r="P124" s="55"/>
      <c r="Q124" s="55"/>
      <c r="R124" s="49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</row>
    <row r="125" spans="1:41" x14ac:dyDescent="0.25">
      <c r="A125" s="46"/>
      <c r="B125" s="114"/>
      <c r="C125" s="114"/>
      <c r="D125" s="191"/>
      <c r="E125" s="177" t="str">
        <f t="shared" si="1"/>
        <v/>
      </c>
      <c r="F125" s="116"/>
      <c r="G125" s="52"/>
      <c r="H125" s="55"/>
      <c r="I125" s="54"/>
      <c r="J125" s="55"/>
      <c r="K125" s="55"/>
      <c r="L125" s="117"/>
      <c r="M125" s="56"/>
      <c r="N125" s="117"/>
      <c r="O125" s="55"/>
      <c r="P125" s="55"/>
      <c r="Q125" s="55"/>
      <c r="R125" s="49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</row>
    <row r="126" spans="1:41" x14ac:dyDescent="0.25">
      <c r="A126" s="46"/>
      <c r="B126" s="114"/>
      <c r="C126" s="114"/>
      <c r="D126" s="191"/>
      <c r="E126" s="177" t="str">
        <f t="shared" si="1"/>
        <v/>
      </c>
      <c r="F126" s="116"/>
      <c r="G126" s="52"/>
      <c r="H126" s="55"/>
      <c r="I126" s="54"/>
      <c r="J126" s="55"/>
      <c r="K126" s="55"/>
      <c r="L126" s="117"/>
      <c r="M126" s="56"/>
      <c r="N126" s="117"/>
      <c r="O126" s="55"/>
      <c r="P126" s="55"/>
      <c r="Q126" s="55"/>
      <c r="R126" s="49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</row>
    <row r="127" spans="1:41" x14ac:dyDescent="0.25">
      <c r="A127" s="46"/>
      <c r="B127" s="114"/>
      <c r="C127" s="114"/>
      <c r="D127" s="191"/>
      <c r="E127" s="177" t="str">
        <f t="shared" si="1"/>
        <v/>
      </c>
      <c r="F127" s="116"/>
      <c r="G127" s="52"/>
      <c r="H127" s="55"/>
      <c r="I127" s="54"/>
      <c r="J127" s="55"/>
      <c r="K127" s="55"/>
      <c r="L127" s="117"/>
      <c r="M127" s="56"/>
      <c r="N127" s="117"/>
      <c r="O127" s="55"/>
      <c r="P127" s="55"/>
      <c r="Q127" s="55"/>
      <c r="R127" s="49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</row>
    <row r="128" spans="1:41" x14ac:dyDescent="0.25">
      <c r="A128" s="46"/>
      <c r="B128" s="114"/>
      <c r="C128" s="114"/>
      <c r="D128" s="191"/>
      <c r="E128" s="177" t="str">
        <f t="shared" si="1"/>
        <v/>
      </c>
      <c r="F128" s="116"/>
      <c r="G128" s="52"/>
      <c r="H128" s="55"/>
      <c r="I128" s="54"/>
      <c r="J128" s="55"/>
      <c r="K128" s="55"/>
      <c r="L128" s="117"/>
      <c r="M128" s="56"/>
      <c r="N128" s="117"/>
      <c r="O128" s="55"/>
      <c r="P128" s="55"/>
      <c r="Q128" s="55"/>
      <c r="R128" s="49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</row>
    <row r="129" spans="1:41" x14ac:dyDescent="0.25">
      <c r="A129" s="46"/>
      <c r="B129" s="114"/>
      <c r="C129" s="114"/>
      <c r="D129" s="191"/>
      <c r="E129" s="177" t="str">
        <f t="shared" si="1"/>
        <v/>
      </c>
      <c r="F129" s="116"/>
      <c r="G129" s="52"/>
      <c r="H129" s="55"/>
      <c r="I129" s="54"/>
      <c r="J129" s="55"/>
      <c r="K129" s="55"/>
      <c r="L129" s="117"/>
      <c r="M129" s="56"/>
      <c r="N129" s="117"/>
      <c r="O129" s="55"/>
      <c r="P129" s="55"/>
      <c r="Q129" s="55"/>
      <c r="R129" s="49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</row>
    <row r="130" spans="1:41" x14ac:dyDescent="0.25">
      <c r="A130" s="46"/>
      <c r="B130" s="114"/>
      <c r="C130" s="114"/>
      <c r="D130" s="191"/>
      <c r="E130" s="177" t="str">
        <f t="shared" si="1"/>
        <v/>
      </c>
      <c r="F130" s="116"/>
      <c r="G130" s="52"/>
      <c r="H130" s="55"/>
      <c r="I130" s="54"/>
      <c r="J130" s="55"/>
      <c r="K130" s="55"/>
      <c r="L130" s="117"/>
      <c r="M130" s="56"/>
      <c r="N130" s="117"/>
      <c r="O130" s="55"/>
      <c r="P130" s="55"/>
      <c r="Q130" s="55"/>
      <c r="R130" s="49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</row>
    <row r="131" spans="1:41" x14ac:dyDescent="0.25">
      <c r="A131" s="46"/>
      <c r="B131" s="114"/>
      <c r="C131" s="114"/>
      <c r="D131" s="191"/>
      <c r="E131" s="177" t="str">
        <f t="shared" si="1"/>
        <v/>
      </c>
      <c r="F131" s="116"/>
      <c r="G131" s="52"/>
      <c r="H131" s="55"/>
      <c r="I131" s="54"/>
      <c r="J131" s="55"/>
      <c r="K131" s="55"/>
      <c r="L131" s="117"/>
      <c r="M131" s="56"/>
      <c r="N131" s="117"/>
      <c r="O131" s="55"/>
      <c r="P131" s="55"/>
      <c r="Q131" s="55"/>
      <c r="R131" s="49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</row>
    <row r="132" spans="1:41" x14ac:dyDescent="0.25">
      <c r="A132" s="46"/>
      <c r="B132" s="114"/>
      <c r="C132" s="114"/>
      <c r="D132" s="191"/>
      <c r="E132" s="177" t="str">
        <f t="shared" si="1"/>
        <v/>
      </c>
      <c r="F132" s="116"/>
      <c r="G132" s="52"/>
      <c r="H132" s="55"/>
      <c r="I132" s="54"/>
      <c r="J132" s="55"/>
      <c r="K132" s="55"/>
      <c r="L132" s="117"/>
      <c r="M132" s="56"/>
      <c r="N132" s="117"/>
      <c r="O132" s="55"/>
      <c r="P132" s="55"/>
      <c r="Q132" s="55"/>
      <c r="R132" s="49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</row>
    <row r="133" spans="1:41" x14ac:dyDescent="0.25">
      <c r="A133" s="46"/>
      <c r="B133" s="114"/>
      <c r="C133" s="114"/>
      <c r="D133" s="191"/>
      <c r="E133" s="191"/>
      <c r="F133" s="116"/>
      <c r="G133" s="52"/>
      <c r="H133" s="55"/>
      <c r="I133" s="54"/>
      <c r="J133" s="55"/>
      <c r="K133" s="55"/>
      <c r="L133" s="117"/>
      <c r="M133" s="56"/>
      <c r="N133" s="117"/>
      <c r="O133" s="55"/>
      <c r="P133" s="55"/>
      <c r="Q133" s="55"/>
      <c r="R133" s="49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</row>
    <row r="134" spans="1:41" x14ac:dyDescent="0.25">
      <c r="A134" s="46"/>
      <c r="B134" s="114"/>
      <c r="C134" s="114"/>
      <c r="D134" s="191"/>
      <c r="E134" s="191"/>
      <c r="F134" s="116"/>
      <c r="G134" s="52"/>
      <c r="H134" s="55"/>
      <c r="I134" s="54"/>
      <c r="J134" s="55"/>
      <c r="K134" s="55"/>
      <c r="L134" s="117"/>
      <c r="M134" s="56"/>
      <c r="N134" s="117"/>
      <c r="O134" s="55"/>
      <c r="P134" s="55"/>
      <c r="Q134" s="55"/>
      <c r="R134" s="49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</row>
    <row r="135" spans="1:41" x14ac:dyDescent="0.25">
      <c r="A135" s="46"/>
      <c r="B135" s="114"/>
      <c r="C135" s="114"/>
      <c r="D135" s="191"/>
      <c r="E135" s="191"/>
      <c r="F135" s="116"/>
      <c r="G135" s="52"/>
      <c r="H135" s="55"/>
      <c r="I135" s="54"/>
      <c r="J135" s="55"/>
      <c r="K135" s="55"/>
      <c r="L135" s="117"/>
      <c r="M135" s="56"/>
      <c r="N135" s="117"/>
      <c r="O135" s="55"/>
      <c r="P135" s="55"/>
      <c r="Q135" s="55"/>
      <c r="R135" s="49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</row>
    <row r="136" spans="1:41" x14ac:dyDescent="0.25">
      <c r="A136" s="46"/>
      <c r="B136" s="114"/>
      <c r="C136" s="114"/>
      <c r="D136" s="191"/>
      <c r="E136" s="191"/>
      <c r="F136" s="116"/>
      <c r="G136" s="52"/>
      <c r="H136" s="55"/>
      <c r="I136" s="54"/>
      <c r="J136" s="55"/>
      <c r="K136" s="55"/>
      <c r="L136" s="117"/>
      <c r="M136" s="56"/>
      <c r="N136" s="117"/>
      <c r="O136" s="55"/>
      <c r="P136" s="55"/>
      <c r="Q136" s="55"/>
      <c r="R136" s="49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</row>
    <row r="137" spans="1:41" x14ac:dyDescent="0.25">
      <c r="A137" s="46"/>
      <c r="B137" s="114"/>
      <c r="C137" s="114"/>
      <c r="D137" s="191"/>
      <c r="E137" s="191"/>
      <c r="F137" s="116"/>
      <c r="G137" s="52"/>
      <c r="H137" s="55"/>
      <c r="I137" s="54"/>
      <c r="J137" s="55"/>
      <c r="K137" s="55"/>
      <c r="L137" s="117"/>
      <c r="M137" s="56"/>
      <c r="N137" s="117"/>
      <c r="O137" s="55"/>
      <c r="P137" s="55"/>
      <c r="Q137" s="55"/>
      <c r="R137" s="49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</row>
    <row r="138" spans="1:41" x14ac:dyDescent="0.25">
      <c r="A138" s="46"/>
      <c r="B138" s="114"/>
      <c r="C138" s="114"/>
      <c r="D138" s="191"/>
      <c r="E138" s="191"/>
      <c r="F138" s="116"/>
      <c r="G138" s="52"/>
      <c r="H138" s="55"/>
      <c r="I138" s="54"/>
      <c r="J138" s="55"/>
      <c r="K138" s="55"/>
      <c r="L138" s="117"/>
      <c r="M138" s="56"/>
      <c r="N138" s="117"/>
      <c r="O138" s="55"/>
      <c r="P138" s="55"/>
      <c r="Q138" s="55"/>
      <c r="R138" s="49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</row>
    <row r="139" spans="1:41" x14ac:dyDescent="0.25">
      <c r="A139" s="46"/>
      <c r="B139" s="114"/>
      <c r="C139" s="114"/>
      <c r="D139" s="191"/>
      <c r="E139" s="191"/>
      <c r="F139" s="116"/>
      <c r="G139" s="52"/>
      <c r="H139" s="55"/>
      <c r="I139" s="54"/>
      <c r="J139" s="55"/>
      <c r="K139" s="55"/>
      <c r="L139" s="117"/>
      <c r="M139" s="56"/>
      <c r="N139" s="117"/>
      <c r="O139" s="55"/>
      <c r="P139" s="55"/>
      <c r="Q139" s="55"/>
      <c r="R139" s="49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</row>
    <row r="140" spans="1:41" x14ac:dyDescent="0.25">
      <c r="A140" s="46"/>
      <c r="B140" s="114"/>
      <c r="C140" s="114"/>
      <c r="D140" s="191"/>
      <c r="E140" s="191"/>
      <c r="F140" s="116"/>
      <c r="G140" s="52"/>
      <c r="H140" s="55"/>
      <c r="I140" s="54"/>
      <c r="J140" s="55"/>
      <c r="K140" s="55"/>
      <c r="L140" s="117"/>
      <c r="M140" s="56"/>
      <c r="N140" s="117"/>
      <c r="O140" s="55"/>
      <c r="P140" s="55"/>
      <c r="Q140" s="55"/>
      <c r="R140" s="49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</row>
    <row r="141" spans="1:41" x14ac:dyDescent="0.25">
      <c r="A141" s="46"/>
      <c r="B141" s="114"/>
      <c r="C141" s="114"/>
      <c r="D141" s="191"/>
      <c r="E141" s="191"/>
      <c r="F141" s="116"/>
      <c r="G141" s="52"/>
      <c r="H141" s="55"/>
      <c r="I141" s="54"/>
      <c r="J141" s="55"/>
      <c r="K141" s="55"/>
      <c r="L141" s="117"/>
      <c r="M141" s="56"/>
      <c r="N141" s="117"/>
      <c r="O141" s="55"/>
      <c r="P141" s="55"/>
      <c r="Q141" s="55"/>
      <c r="R141" s="49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</row>
    <row r="142" spans="1:41" x14ac:dyDescent="0.25">
      <c r="A142" s="46"/>
      <c r="B142" s="114"/>
      <c r="C142" s="114"/>
      <c r="D142" s="191"/>
      <c r="E142" s="191"/>
      <c r="F142" s="116"/>
      <c r="G142" s="52"/>
      <c r="H142" s="55"/>
      <c r="I142" s="54"/>
      <c r="J142" s="55"/>
      <c r="K142" s="55"/>
      <c r="L142" s="117"/>
      <c r="M142" s="56"/>
      <c r="N142" s="117"/>
      <c r="O142" s="55"/>
      <c r="P142" s="55"/>
      <c r="Q142" s="55"/>
      <c r="R142" s="49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</row>
    <row r="143" spans="1:41" x14ac:dyDescent="0.25">
      <c r="A143" s="46"/>
      <c r="B143" s="114"/>
      <c r="C143" s="114"/>
      <c r="D143" s="191"/>
      <c r="E143" s="191"/>
      <c r="F143" s="116"/>
      <c r="G143" s="52"/>
      <c r="H143" s="55"/>
      <c r="I143" s="54"/>
      <c r="J143" s="55"/>
      <c r="K143" s="55"/>
      <c r="L143" s="117"/>
      <c r="M143" s="56"/>
      <c r="N143" s="117"/>
      <c r="O143" s="55"/>
      <c r="P143" s="55"/>
      <c r="Q143" s="55"/>
      <c r="R143" s="49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</row>
    <row r="144" spans="1:41" x14ac:dyDescent="0.25">
      <c r="A144" s="46"/>
      <c r="B144" s="114"/>
      <c r="C144" s="114"/>
      <c r="D144" s="191"/>
      <c r="E144" s="191"/>
      <c r="F144" s="116"/>
      <c r="G144" s="52"/>
      <c r="H144" s="55"/>
      <c r="I144" s="54"/>
      <c r="J144" s="55"/>
      <c r="K144" s="55"/>
      <c r="L144" s="117"/>
      <c r="M144" s="56"/>
      <c r="N144" s="117"/>
      <c r="O144" s="55"/>
      <c r="P144" s="55"/>
      <c r="Q144" s="55"/>
      <c r="R144" s="49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</row>
    <row r="145" spans="1:41" x14ac:dyDescent="0.25">
      <c r="A145" s="46"/>
      <c r="B145" s="114"/>
      <c r="C145" s="114"/>
      <c r="D145" s="191"/>
      <c r="E145" s="191"/>
      <c r="F145" s="116"/>
      <c r="G145" s="52"/>
      <c r="H145" s="55"/>
      <c r="I145" s="54"/>
      <c r="J145" s="55"/>
      <c r="K145" s="55"/>
      <c r="L145" s="117"/>
      <c r="M145" s="56"/>
      <c r="N145" s="117"/>
      <c r="O145" s="55"/>
      <c r="P145" s="55"/>
      <c r="Q145" s="55"/>
      <c r="R145" s="49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</row>
    <row r="146" spans="1:41" x14ac:dyDescent="0.25">
      <c r="A146" s="46"/>
      <c r="B146" s="114"/>
      <c r="C146" s="114"/>
      <c r="D146" s="191"/>
      <c r="E146" s="191"/>
      <c r="F146" s="116"/>
      <c r="G146" s="52"/>
      <c r="H146" s="55"/>
      <c r="I146" s="54"/>
      <c r="J146" s="55"/>
      <c r="K146" s="55"/>
      <c r="L146" s="117"/>
      <c r="M146" s="56"/>
      <c r="N146" s="117"/>
      <c r="O146" s="55"/>
      <c r="P146" s="55"/>
      <c r="Q146" s="55"/>
      <c r="R146" s="49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</row>
    <row r="147" spans="1:41" x14ac:dyDescent="0.25">
      <c r="A147" s="46"/>
      <c r="B147" s="114"/>
      <c r="C147" s="114"/>
      <c r="D147" s="191"/>
      <c r="E147" s="191"/>
      <c r="F147" s="116"/>
      <c r="G147" s="52"/>
      <c r="H147" s="55"/>
      <c r="I147" s="54"/>
      <c r="J147" s="55"/>
      <c r="K147" s="55"/>
      <c r="L147" s="117"/>
      <c r="M147" s="56"/>
      <c r="N147" s="117"/>
      <c r="O147" s="55"/>
      <c r="P147" s="55"/>
      <c r="Q147" s="55"/>
      <c r="R147" s="49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</row>
    <row r="148" spans="1:41" x14ac:dyDescent="0.25">
      <c r="A148" s="46"/>
      <c r="B148" s="114"/>
      <c r="C148" s="114"/>
      <c r="D148" s="191"/>
      <c r="E148" s="191"/>
      <c r="F148" s="116"/>
      <c r="G148" s="52"/>
      <c r="H148" s="55"/>
      <c r="I148" s="54"/>
      <c r="J148" s="55"/>
      <c r="K148" s="55"/>
      <c r="L148" s="117"/>
      <c r="M148" s="56"/>
      <c r="N148" s="117"/>
      <c r="O148" s="55"/>
      <c r="P148" s="55"/>
      <c r="Q148" s="55"/>
      <c r="R148" s="49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</row>
    <row r="149" spans="1:41" x14ac:dyDescent="0.25">
      <c r="A149" s="46"/>
      <c r="B149" s="114"/>
      <c r="C149" s="114"/>
      <c r="D149" s="191"/>
      <c r="E149" s="191"/>
      <c r="F149" s="116"/>
      <c r="G149" s="52"/>
      <c r="H149" s="55"/>
      <c r="I149" s="54"/>
      <c r="J149" s="55"/>
      <c r="K149" s="55"/>
      <c r="L149" s="117"/>
      <c r="M149" s="56"/>
      <c r="N149" s="117"/>
      <c r="O149" s="55"/>
      <c r="P149" s="55"/>
      <c r="Q149" s="55"/>
      <c r="R149" s="49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</row>
    <row r="150" spans="1:41" x14ac:dyDescent="0.25">
      <c r="A150" s="46"/>
      <c r="B150" s="114"/>
      <c r="C150" s="114"/>
      <c r="D150" s="191"/>
      <c r="E150" s="191"/>
      <c r="F150" s="116"/>
      <c r="G150" s="52"/>
      <c r="H150" s="55"/>
      <c r="I150" s="54"/>
      <c r="J150" s="55"/>
      <c r="K150" s="55"/>
      <c r="L150" s="117"/>
      <c r="M150" s="56"/>
      <c r="N150" s="117"/>
      <c r="O150" s="55"/>
      <c r="P150" s="55"/>
      <c r="Q150" s="55"/>
      <c r="R150" s="49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</row>
    <row r="151" spans="1:41" x14ac:dyDescent="0.25">
      <c r="A151" s="46"/>
      <c r="B151" s="114"/>
      <c r="C151" s="114"/>
      <c r="D151" s="191"/>
      <c r="E151" s="191"/>
      <c r="F151" s="116"/>
      <c r="G151" s="52"/>
      <c r="H151" s="55"/>
      <c r="I151" s="54"/>
      <c r="J151" s="55"/>
      <c r="K151" s="55"/>
      <c r="L151" s="117"/>
      <c r="M151" s="56"/>
      <c r="N151" s="117"/>
      <c r="O151" s="55"/>
      <c r="P151" s="55"/>
      <c r="Q151" s="55"/>
      <c r="R151" s="49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</row>
    <row r="152" spans="1:41" x14ac:dyDescent="0.25">
      <c r="A152" s="46"/>
      <c r="B152" s="114"/>
      <c r="C152" s="114"/>
      <c r="D152" s="191"/>
      <c r="E152" s="191"/>
      <c r="F152" s="116"/>
      <c r="G152" s="52"/>
      <c r="H152" s="55"/>
      <c r="I152" s="54"/>
      <c r="J152" s="55"/>
      <c r="K152" s="55"/>
      <c r="L152" s="117"/>
      <c r="M152" s="56"/>
      <c r="N152" s="117"/>
      <c r="O152" s="55"/>
      <c r="P152" s="55"/>
      <c r="Q152" s="55"/>
      <c r="R152" s="49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</row>
    <row r="153" spans="1:41" x14ac:dyDescent="0.25">
      <c r="A153" s="46"/>
      <c r="B153" s="114"/>
      <c r="C153" s="114"/>
      <c r="D153" s="191"/>
      <c r="E153" s="191"/>
      <c r="F153" s="116"/>
      <c r="G153" s="52"/>
      <c r="H153" s="55"/>
      <c r="I153" s="54"/>
      <c r="J153" s="55"/>
      <c r="K153" s="55"/>
      <c r="L153" s="117"/>
      <c r="M153" s="56"/>
      <c r="N153" s="117"/>
      <c r="O153" s="55"/>
      <c r="P153" s="55"/>
      <c r="Q153" s="55"/>
      <c r="R153" s="49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</row>
    <row r="154" spans="1:41" x14ac:dyDescent="0.25">
      <c r="A154" s="46"/>
      <c r="B154" s="114"/>
      <c r="C154" s="114"/>
      <c r="D154" s="191"/>
      <c r="E154" s="191"/>
      <c r="F154" s="116"/>
      <c r="G154" s="52"/>
      <c r="H154" s="55"/>
      <c r="I154" s="54"/>
      <c r="J154" s="55"/>
      <c r="K154" s="55"/>
      <c r="L154" s="117"/>
      <c r="M154" s="56"/>
      <c r="N154" s="117"/>
      <c r="O154" s="55"/>
      <c r="P154" s="55"/>
      <c r="Q154" s="55"/>
      <c r="R154" s="49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</row>
    <row r="155" spans="1:41" x14ac:dyDescent="0.25">
      <c r="A155" s="46"/>
      <c r="B155" s="114"/>
      <c r="C155" s="114"/>
      <c r="D155" s="191"/>
      <c r="E155" s="191"/>
      <c r="F155" s="116"/>
      <c r="G155" s="52"/>
      <c r="H155" s="55"/>
      <c r="I155" s="54"/>
      <c r="J155" s="55"/>
      <c r="K155" s="55"/>
      <c r="L155" s="117"/>
      <c r="M155" s="56"/>
      <c r="N155" s="117"/>
      <c r="O155" s="55"/>
      <c r="P155" s="55"/>
      <c r="Q155" s="55"/>
      <c r="R155" s="49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</row>
    <row r="156" spans="1:41" x14ac:dyDescent="0.25">
      <c r="A156" s="46"/>
      <c r="B156" s="114"/>
      <c r="C156" s="114"/>
      <c r="D156" s="191"/>
      <c r="E156" s="191"/>
      <c r="F156" s="116"/>
      <c r="G156" s="52"/>
      <c r="H156" s="55"/>
      <c r="I156" s="54"/>
      <c r="J156" s="55"/>
      <c r="K156" s="55"/>
      <c r="L156" s="117"/>
      <c r="M156" s="56"/>
      <c r="N156" s="117"/>
      <c r="O156" s="55"/>
      <c r="P156" s="55"/>
      <c r="Q156" s="55"/>
      <c r="R156" s="49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</row>
    <row r="157" spans="1:41" x14ac:dyDescent="0.25">
      <c r="A157" s="46"/>
      <c r="B157" s="114"/>
      <c r="C157" s="114"/>
      <c r="D157" s="191"/>
      <c r="E157" s="191"/>
      <c r="F157" s="116"/>
      <c r="G157" s="52"/>
      <c r="H157" s="55"/>
      <c r="I157" s="54"/>
      <c r="J157" s="55"/>
      <c r="K157" s="55"/>
      <c r="L157" s="117"/>
      <c r="M157" s="56"/>
      <c r="N157" s="117"/>
      <c r="O157" s="55"/>
      <c r="P157" s="55"/>
      <c r="Q157" s="55"/>
      <c r="R157" s="49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</row>
    <row r="158" spans="1:41" x14ac:dyDescent="0.25">
      <c r="A158" s="46"/>
      <c r="B158" s="114"/>
      <c r="C158" s="114"/>
      <c r="D158" s="191"/>
      <c r="E158" s="191"/>
      <c r="F158" s="116"/>
      <c r="G158" s="52"/>
      <c r="H158" s="55"/>
      <c r="I158" s="54"/>
      <c r="J158" s="55"/>
      <c r="K158" s="55"/>
      <c r="L158" s="117"/>
      <c r="M158" s="56"/>
      <c r="N158" s="117"/>
      <c r="O158" s="55"/>
      <c r="P158" s="55"/>
      <c r="Q158" s="55"/>
      <c r="R158" s="49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</row>
    <row r="159" spans="1:41" x14ac:dyDescent="0.25">
      <c r="A159" s="46"/>
      <c r="B159" s="114"/>
      <c r="C159" s="114"/>
      <c r="D159" s="191"/>
      <c r="E159" s="191"/>
      <c r="F159" s="116"/>
      <c r="G159" s="52"/>
      <c r="H159" s="55"/>
      <c r="I159" s="54"/>
      <c r="J159" s="55"/>
      <c r="K159" s="55"/>
      <c r="L159" s="117"/>
      <c r="M159" s="56"/>
      <c r="N159" s="117"/>
      <c r="O159" s="55"/>
      <c r="P159" s="55"/>
      <c r="Q159" s="55"/>
      <c r="R159" s="49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</row>
    <row r="160" spans="1:41" x14ac:dyDescent="0.25">
      <c r="A160" s="46"/>
      <c r="B160" s="114"/>
      <c r="C160" s="114"/>
      <c r="D160" s="191"/>
      <c r="E160" s="191"/>
      <c r="F160" s="116"/>
      <c r="G160" s="52"/>
      <c r="H160" s="55"/>
      <c r="I160" s="54"/>
      <c r="J160" s="55"/>
      <c r="K160" s="55"/>
      <c r="L160" s="117"/>
      <c r="M160" s="56"/>
      <c r="N160" s="117"/>
      <c r="O160" s="55"/>
      <c r="P160" s="55"/>
      <c r="Q160" s="55"/>
      <c r="R160" s="49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</row>
    <row r="161" spans="1:41" x14ac:dyDescent="0.25">
      <c r="A161" s="46"/>
      <c r="B161" s="114"/>
      <c r="C161" s="114"/>
      <c r="D161" s="191"/>
      <c r="E161" s="191"/>
      <c r="F161" s="116"/>
      <c r="G161" s="52"/>
      <c r="H161" s="55"/>
      <c r="I161" s="54"/>
      <c r="J161" s="55"/>
      <c r="K161" s="55"/>
      <c r="L161" s="117"/>
      <c r="M161" s="56"/>
      <c r="N161" s="117"/>
      <c r="O161" s="55"/>
      <c r="P161" s="55"/>
      <c r="Q161" s="55"/>
      <c r="R161" s="49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</row>
    <row r="162" spans="1:41" x14ac:dyDescent="0.25">
      <c r="A162" s="46"/>
      <c r="B162" s="114"/>
      <c r="C162" s="114"/>
      <c r="D162" s="191"/>
      <c r="E162" s="191"/>
      <c r="F162" s="116"/>
      <c r="G162" s="52"/>
      <c r="H162" s="55"/>
      <c r="I162" s="54"/>
      <c r="J162" s="55"/>
      <c r="K162" s="55"/>
      <c r="L162" s="117"/>
      <c r="M162" s="56"/>
      <c r="N162" s="117"/>
      <c r="O162" s="55"/>
      <c r="P162" s="55"/>
      <c r="Q162" s="55"/>
      <c r="R162" s="49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</row>
    <row r="163" spans="1:41" x14ac:dyDescent="0.25">
      <c r="A163" s="46"/>
      <c r="B163" s="114"/>
      <c r="C163" s="114"/>
      <c r="D163" s="191"/>
      <c r="E163" s="191"/>
      <c r="F163" s="116"/>
      <c r="G163" s="52"/>
      <c r="H163" s="55"/>
      <c r="I163" s="54"/>
      <c r="J163" s="55"/>
      <c r="K163" s="55"/>
      <c r="L163" s="117"/>
      <c r="M163" s="56"/>
      <c r="N163" s="117"/>
      <c r="O163" s="55"/>
      <c r="P163" s="55"/>
      <c r="Q163" s="55"/>
      <c r="R163" s="49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</row>
    <row r="164" spans="1:41" x14ac:dyDescent="0.25">
      <c r="A164" s="46"/>
      <c r="B164" s="114"/>
      <c r="C164" s="114"/>
      <c r="D164" s="191"/>
      <c r="E164" s="191"/>
      <c r="F164" s="116"/>
      <c r="G164" s="52"/>
      <c r="H164" s="55"/>
      <c r="I164" s="54"/>
      <c r="J164" s="55"/>
      <c r="K164" s="55"/>
      <c r="L164" s="117"/>
      <c r="M164" s="56"/>
      <c r="N164" s="117"/>
      <c r="O164" s="55"/>
      <c r="P164" s="55"/>
      <c r="Q164" s="55"/>
      <c r="R164" s="49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</row>
    <row r="165" spans="1:41" x14ac:dyDescent="0.25">
      <c r="A165" s="46"/>
      <c r="B165" s="114"/>
      <c r="C165" s="114"/>
      <c r="D165" s="191"/>
      <c r="E165" s="191"/>
      <c r="F165" s="116"/>
      <c r="G165" s="52"/>
      <c r="H165" s="55"/>
      <c r="I165" s="54"/>
      <c r="J165" s="55"/>
      <c r="K165" s="55"/>
      <c r="L165" s="117"/>
      <c r="M165" s="56"/>
      <c r="N165" s="117"/>
      <c r="O165" s="55"/>
      <c r="P165" s="55"/>
      <c r="Q165" s="55"/>
      <c r="R165" s="49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</row>
    <row r="166" spans="1:41" x14ac:dyDescent="0.25">
      <c r="A166" s="46"/>
      <c r="B166" s="114"/>
      <c r="C166" s="114"/>
      <c r="D166" s="191"/>
      <c r="E166" s="191"/>
      <c r="F166" s="116"/>
      <c r="G166" s="52"/>
      <c r="H166" s="55"/>
      <c r="I166" s="54"/>
      <c r="J166" s="55"/>
      <c r="K166" s="55"/>
      <c r="L166" s="117"/>
      <c r="M166" s="56"/>
      <c r="N166" s="117"/>
      <c r="O166" s="55"/>
      <c r="P166" s="55"/>
      <c r="Q166" s="55"/>
      <c r="R166" s="49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</row>
    <row r="167" spans="1:41" x14ac:dyDescent="0.25">
      <c r="A167" s="46"/>
      <c r="B167" s="114"/>
      <c r="C167" s="114"/>
      <c r="D167" s="191"/>
      <c r="E167" s="191"/>
      <c r="F167" s="116"/>
      <c r="G167" s="52"/>
      <c r="H167" s="55"/>
      <c r="I167" s="54"/>
      <c r="J167" s="55"/>
      <c r="K167" s="55"/>
      <c r="L167" s="117"/>
      <c r="M167" s="56"/>
      <c r="N167" s="117"/>
      <c r="O167" s="55"/>
      <c r="P167" s="55"/>
      <c r="Q167" s="55"/>
      <c r="R167" s="49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</row>
    <row r="168" spans="1:41" x14ac:dyDescent="0.25">
      <c r="A168" s="46"/>
      <c r="B168" s="114"/>
      <c r="C168" s="114"/>
      <c r="D168" s="191"/>
      <c r="E168" s="191"/>
      <c r="F168" s="116"/>
      <c r="G168" s="52"/>
      <c r="H168" s="55"/>
      <c r="I168" s="54"/>
      <c r="J168" s="55"/>
      <c r="K168" s="55"/>
      <c r="L168" s="117"/>
      <c r="M168" s="56"/>
      <c r="N168" s="117"/>
      <c r="O168" s="55"/>
      <c r="P168" s="55"/>
      <c r="Q168" s="55"/>
      <c r="R168" s="49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</row>
    <row r="169" spans="1:41" x14ac:dyDescent="0.25">
      <c r="A169" s="46"/>
      <c r="B169" s="114"/>
      <c r="C169" s="114"/>
      <c r="D169" s="191"/>
      <c r="E169" s="191"/>
      <c r="F169" s="116"/>
      <c r="G169" s="52"/>
      <c r="H169" s="55"/>
      <c r="I169" s="54"/>
      <c r="J169" s="55"/>
      <c r="K169" s="55"/>
      <c r="L169" s="117"/>
      <c r="M169" s="56"/>
      <c r="N169" s="117"/>
      <c r="O169" s="55"/>
      <c r="P169" s="55"/>
      <c r="Q169" s="55"/>
      <c r="R169" s="49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</row>
    <row r="170" spans="1:41" x14ac:dyDescent="0.25">
      <c r="A170" s="46"/>
      <c r="B170" s="114"/>
      <c r="C170" s="114"/>
      <c r="D170" s="191"/>
      <c r="E170" s="191"/>
      <c r="F170" s="116"/>
      <c r="G170" s="52"/>
      <c r="H170" s="55"/>
      <c r="I170" s="54"/>
      <c r="J170" s="55"/>
      <c r="K170" s="55"/>
      <c r="L170" s="117"/>
      <c r="M170" s="56"/>
      <c r="N170" s="117"/>
      <c r="O170" s="55"/>
      <c r="P170" s="55"/>
      <c r="Q170" s="55"/>
      <c r="R170" s="49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</row>
    <row r="171" spans="1:41" x14ac:dyDescent="0.25">
      <c r="A171" s="46"/>
      <c r="B171" s="114"/>
      <c r="C171" s="114"/>
      <c r="D171" s="191"/>
      <c r="E171" s="191"/>
      <c r="F171" s="116"/>
      <c r="G171" s="52"/>
      <c r="H171" s="55"/>
      <c r="I171" s="54"/>
      <c r="J171" s="55"/>
      <c r="K171" s="55"/>
      <c r="L171" s="117"/>
      <c r="M171" s="56"/>
      <c r="N171" s="117"/>
      <c r="O171" s="55"/>
      <c r="P171" s="55"/>
      <c r="Q171" s="55"/>
      <c r="R171" s="49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</row>
    <row r="172" spans="1:41" x14ac:dyDescent="0.25">
      <c r="A172" s="46"/>
      <c r="B172" s="114"/>
      <c r="C172" s="114"/>
      <c r="D172" s="191"/>
      <c r="E172" s="191"/>
      <c r="F172" s="116"/>
      <c r="G172" s="52"/>
      <c r="H172" s="55"/>
      <c r="I172" s="54"/>
      <c r="J172" s="55"/>
      <c r="K172" s="55"/>
      <c r="L172" s="117"/>
      <c r="M172" s="56"/>
      <c r="N172" s="117"/>
      <c r="O172" s="55"/>
      <c r="P172" s="55"/>
      <c r="Q172" s="55"/>
      <c r="R172" s="49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</row>
    <row r="173" spans="1:41" x14ac:dyDescent="0.25">
      <c r="A173" s="46"/>
      <c r="B173" s="114"/>
      <c r="C173" s="114"/>
      <c r="D173" s="191"/>
      <c r="E173" s="191"/>
      <c r="F173" s="116"/>
      <c r="G173" s="52"/>
      <c r="H173" s="55"/>
      <c r="I173" s="54"/>
      <c r="J173" s="55"/>
      <c r="K173" s="55"/>
      <c r="L173" s="117"/>
      <c r="M173" s="56"/>
      <c r="N173" s="117"/>
      <c r="O173" s="55"/>
      <c r="P173" s="55"/>
      <c r="Q173" s="55"/>
      <c r="R173" s="49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</row>
    <row r="174" spans="1:41" x14ac:dyDescent="0.25">
      <c r="A174" s="46"/>
      <c r="B174" s="114"/>
      <c r="C174" s="114"/>
      <c r="D174" s="191"/>
      <c r="E174" s="191"/>
      <c r="F174" s="116"/>
      <c r="G174" s="52"/>
      <c r="H174" s="55"/>
      <c r="I174" s="54"/>
      <c r="J174" s="55"/>
      <c r="K174" s="55"/>
      <c r="L174" s="117"/>
      <c r="M174" s="56"/>
      <c r="N174" s="117"/>
      <c r="O174" s="55"/>
      <c r="P174" s="55"/>
      <c r="Q174" s="55"/>
      <c r="R174" s="49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</row>
    <row r="175" spans="1:41" x14ac:dyDescent="0.25">
      <c r="A175" s="46"/>
      <c r="B175" s="114"/>
      <c r="C175" s="114"/>
      <c r="D175" s="191"/>
      <c r="E175" s="191"/>
      <c r="F175" s="116"/>
      <c r="G175" s="52"/>
      <c r="H175" s="55"/>
      <c r="I175" s="54"/>
      <c r="J175" s="55"/>
      <c r="K175" s="55"/>
      <c r="L175" s="117"/>
      <c r="M175" s="56"/>
      <c r="N175" s="117"/>
      <c r="O175" s="55"/>
      <c r="P175" s="55"/>
      <c r="Q175" s="55"/>
      <c r="R175" s="49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</row>
    <row r="176" spans="1:41" x14ac:dyDescent="0.25">
      <c r="A176" s="46"/>
      <c r="B176" s="114"/>
      <c r="C176" s="114"/>
      <c r="D176" s="191"/>
      <c r="E176" s="191"/>
      <c r="F176" s="116"/>
      <c r="G176" s="52"/>
      <c r="H176" s="55"/>
      <c r="I176" s="54"/>
      <c r="J176" s="55"/>
      <c r="K176" s="55"/>
      <c r="L176" s="117"/>
      <c r="M176" s="56"/>
      <c r="N176" s="117"/>
      <c r="O176" s="55"/>
      <c r="P176" s="55"/>
      <c r="Q176" s="55"/>
      <c r="R176" s="49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</row>
    <row r="177" spans="1:41" x14ac:dyDescent="0.25">
      <c r="A177" s="46"/>
      <c r="B177" s="114"/>
      <c r="C177" s="114"/>
      <c r="D177" s="191"/>
      <c r="E177" s="191"/>
      <c r="F177" s="116"/>
      <c r="G177" s="52"/>
      <c r="H177" s="55"/>
      <c r="I177" s="54"/>
      <c r="J177" s="55"/>
      <c r="K177" s="55"/>
      <c r="L177" s="117"/>
      <c r="M177" s="56"/>
      <c r="N177" s="117"/>
      <c r="O177" s="55"/>
      <c r="P177" s="55"/>
      <c r="Q177" s="55"/>
      <c r="R177" s="49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</row>
    <row r="178" spans="1:41" x14ac:dyDescent="0.25">
      <c r="A178" s="46"/>
      <c r="B178" s="114"/>
      <c r="C178" s="114"/>
      <c r="D178" s="191"/>
      <c r="E178" s="191"/>
      <c r="F178" s="116"/>
      <c r="G178" s="52"/>
      <c r="H178" s="55"/>
      <c r="I178" s="54"/>
      <c r="J178" s="55"/>
      <c r="K178" s="55"/>
      <c r="L178" s="117"/>
      <c r="M178" s="56"/>
      <c r="N178" s="117"/>
      <c r="O178" s="55"/>
      <c r="P178" s="55"/>
      <c r="Q178" s="55"/>
      <c r="R178" s="49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</row>
    <row r="179" spans="1:41" x14ac:dyDescent="0.25">
      <c r="A179" s="46"/>
      <c r="B179" s="114"/>
      <c r="C179" s="114"/>
      <c r="D179" s="191"/>
      <c r="E179" s="191"/>
      <c r="F179" s="116"/>
      <c r="G179" s="52"/>
      <c r="H179" s="55"/>
      <c r="I179" s="54"/>
      <c r="J179" s="55"/>
      <c r="K179" s="55"/>
      <c r="L179" s="117"/>
      <c r="M179" s="56"/>
      <c r="N179" s="117"/>
      <c r="O179" s="55"/>
      <c r="P179" s="55"/>
      <c r="Q179" s="55"/>
      <c r="R179" s="49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</row>
    <row r="180" spans="1:41" x14ac:dyDescent="0.25">
      <c r="A180" s="46"/>
      <c r="B180" s="114"/>
      <c r="C180" s="114"/>
      <c r="D180" s="191"/>
      <c r="E180" s="191"/>
      <c r="F180" s="116"/>
      <c r="G180" s="52"/>
      <c r="H180" s="55"/>
      <c r="I180" s="54"/>
      <c r="J180" s="55"/>
      <c r="K180" s="55"/>
      <c r="L180" s="117"/>
      <c r="M180" s="56"/>
      <c r="N180" s="117"/>
      <c r="O180" s="55"/>
      <c r="P180" s="55"/>
      <c r="Q180" s="55"/>
      <c r="R180" s="49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</row>
    <row r="181" spans="1:41" x14ac:dyDescent="0.25">
      <c r="A181" s="46"/>
      <c r="B181" s="114"/>
      <c r="C181" s="114"/>
      <c r="D181" s="191"/>
      <c r="E181" s="191"/>
      <c r="F181" s="116"/>
      <c r="G181" s="52"/>
      <c r="H181" s="55"/>
      <c r="I181" s="54"/>
      <c r="J181" s="55"/>
      <c r="K181" s="55"/>
      <c r="L181" s="117"/>
      <c r="M181" s="56"/>
      <c r="N181" s="117"/>
      <c r="O181" s="55"/>
      <c r="P181" s="55"/>
      <c r="Q181" s="55"/>
      <c r="R181" s="49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</row>
    <row r="182" spans="1:41" x14ac:dyDescent="0.25">
      <c r="A182" s="46"/>
      <c r="B182" s="114"/>
      <c r="C182" s="114"/>
      <c r="D182" s="191"/>
      <c r="E182" s="191"/>
      <c r="F182" s="116"/>
      <c r="G182" s="52"/>
      <c r="H182" s="55"/>
      <c r="I182" s="54"/>
      <c r="J182" s="55"/>
      <c r="K182" s="55"/>
      <c r="L182" s="117"/>
      <c r="M182" s="56"/>
      <c r="N182" s="117"/>
      <c r="O182" s="55"/>
      <c r="P182" s="55"/>
      <c r="Q182" s="55"/>
      <c r="R182" s="49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</row>
    <row r="183" spans="1:41" x14ac:dyDescent="0.25">
      <c r="A183" s="46"/>
      <c r="B183" s="114"/>
      <c r="C183" s="114"/>
      <c r="D183" s="191"/>
      <c r="E183" s="191"/>
      <c r="F183" s="116"/>
      <c r="G183" s="52"/>
      <c r="H183" s="55"/>
      <c r="I183" s="54"/>
      <c r="J183" s="55"/>
      <c r="K183" s="55"/>
      <c r="L183" s="117"/>
      <c r="M183" s="56"/>
      <c r="N183" s="117"/>
      <c r="O183" s="55"/>
      <c r="P183" s="55"/>
      <c r="Q183" s="55"/>
      <c r="R183" s="49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</row>
    <row r="184" spans="1:41" x14ac:dyDescent="0.25">
      <c r="A184" s="46"/>
      <c r="B184" s="114"/>
      <c r="C184" s="114"/>
      <c r="D184" s="191"/>
      <c r="E184" s="191"/>
      <c r="F184" s="116"/>
      <c r="G184" s="52"/>
      <c r="H184" s="55"/>
      <c r="I184" s="54"/>
      <c r="J184" s="55"/>
      <c r="K184" s="55"/>
      <c r="L184" s="117"/>
      <c r="M184" s="56"/>
      <c r="N184" s="117"/>
      <c r="O184" s="55"/>
      <c r="P184" s="55"/>
      <c r="Q184" s="55"/>
      <c r="R184" s="49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</row>
    <row r="185" spans="1:41" x14ac:dyDescent="0.25">
      <c r="A185" s="46"/>
      <c r="B185" s="114"/>
      <c r="C185" s="114"/>
      <c r="D185" s="191"/>
      <c r="E185" s="191"/>
      <c r="F185" s="116"/>
      <c r="G185" s="52"/>
      <c r="H185" s="55"/>
      <c r="I185" s="54"/>
      <c r="J185" s="55"/>
      <c r="K185" s="55"/>
      <c r="L185" s="117"/>
      <c r="M185" s="56"/>
      <c r="N185" s="117"/>
      <c r="O185" s="55"/>
      <c r="P185" s="55"/>
      <c r="Q185" s="55"/>
      <c r="R185" s="49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</row>
    <row r="186" spans="1:41" x14ac:dyDescent="0.25">
      <c r="A186" s="46"/>
      <c r="B186" s="114"/>
      <c r="C186" s="114"/>
      <c r="D186" s="191"/>
      <c r="E186" s="191"/>
      <c r="F186" s="116"/>
      <c r="G186" s="52"/>
      <c r="H186" s="55"/>
      <c r="I186" s="54"/>
      <c r="J186" s="55"/>
      <c r="K186" s="55"/>
      <c r="L186" s="117"/>
      <c r="M186" s="56"/>
      <c r="N186" s="117"/>
      <c r="O186" s="55"/>
      <c r="P186" s="55"/>
      <c r="Q186" s="55"/>
      <c r="R186" s="49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</row>
    <row r="187" spans="1:41" x14ac:dyDescent="0.25">
      <c r="A187" s="46"/>
      <c r="B187" s="114"/>
      <c r="C187" s="114"/>
      <c r="D187" s="191"/>
      <c r="E187" s="191"/>
      <c r="F187" s="116"/>
      <c r="G187" s="52"/>
      <c r="H187" s="55"/>
      <c r="I187" s="54"/>
      <c r="J187" s="55"/>
      <c r="K187" s="55"/>
      <c r="L187" s="117"/>
      <c r="M187" s="56"/>
      <c r="N187" s="117"/>
      <c r="O187" s="55"/>
      <c r="P187" s="55"/>
      <c r="Q187" s="55"/>
      <c r="R187" s="49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</row>
    <row r="188" spans="1:41" x14ac:dyDescent="0.25">
      <c r="A188" s="46"/>
      <c r="B188" s="114"/>
      <c r="C188" s="114"/>
      <c r="D188" s="191"/>
      <c r="E188" s="191"/>
      <c r="F188" s="116"/>
      <c r="G188" s="52"/>
      <c r="H188" s="55"/>
      <c r="I188" s="54"/>
      <c r="J188" s="55"/>
      <c r="K188" s="55"/>
      <c r="L188" s="117"/>
      <c r="M188" s="56"/>
      <c r="N188" s="117"/>
      <c r="O188" s="55"/>
      <c r="P188" s="55"/>
      <c r="Q188" s="55"/>
      <c r="R188" s="49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</row>
    <row r="189" spans="1:41" x14ac:dyDescent="0.25">
      <c r="A189" s="46"/>
      <c r="B189" s="114"/>
      <c r="C189" s="114"/>
      <c r="D189" s="191"/>
      <c r="E189" s="191"/>
      <c r="F189" s="116"/>
      <c r="G189" s="52"/>
      <c r="H189" s="55"/>
      <c r="I189" s="54"/>
      <c r="J189" s="55"/>
      <c r="K189" s="55"/>
      <c r="L189" s="117"/>
      <c r="M189" s="56"/>
      <c r="N189" s="117"/>
      <c r="O189" s="55"/>
      <c r="P189" s="55"/>
      <c r="Q189" s="55"/>
      <c r="R189" s="49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</row>
    <row r="190" spans="1:41" x14ac:dyDescent="0.25">
      <c r="A190" s="46"/>
      <c r="B190" s="114"/>
      <c r="C190" s="114"/>
      <c r="D190" s="191"/>
      <c r="E190" s="191"/>
      <c r="F190" s="116"/>
      <c r="G190" s="52"/>
      <c r="H190" s="55"/>
      <c r="I190" s="54"/>
      <c r="J190" s="55"/>
      <c r="K190" s="55"/>
      <c r="L190" s="117"/>
      <c r="M190" s="56"/>
      <c r="N190" s="117"/>
      <c r="O190" s="55"/>
      <c r="P190" s="55"/>
      <c r="Q190" s="55"/>
      <c r="R190" s="49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</row>
    <row r="191" spans="1:41" x14ac:dyDescent="0.25">
      <c r="A191" s="46"/>
      <c r="B191" s="114"/>
      <c r="C191" s="114"/>
      <c r="D191" s="191"/>
      <c r="E191" s="191"/>
      <c r="F191" s="116"/>
      <c r="G191" s="52"/>
      <c r="H191" s="55"/>
      <c r="I191" s="54"/>
      <c r="J191" s="55"/>
      <c r="K191" s="55"/>
      <c r="L191" s="117"/>
      <c r="M191" s="56"/>
      <c r="N191" s="117"/>
      <c r="O191" s="55"/>
      <c r="P191" s="55"/>
      <c r="Q191" s="55"/>
      <c r="R191" s="49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</row>
    <row r="192" spans="1:41" x14ac:dyDescent="0.25">
      <c r="A192" s="46"/>
      <c r="B192" s="114"/>
      <c r="C192" s="114"/>
      <c r="D192" s="191"/>
      <c r="E192" s="191"/>
      <c r="F192" s="116"/>
      <c r="G192" s="52"/>
      <c r="H192" s="55"/>
      <c r="I192" s="54"/>
      <c r="J192" s="55"/>
      <c r="K192" s="55"/>
      <c r="L192" s="117"/>
      <c r="M192" s="56"/>
      <c r="N192" s="117"/>
      <c r="O192" s="55"/>
      <c r="P192" s="55"/>
      <c r="Q192" s="55"/>
      <c r="R192" s="49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</row>
    <row r="193" spans="1:41" x14ac:dyDescent="0.25">
      <c r="A193" s="46"/>
      <c r="B193" s="114"/>
      <c r="C193" s="114"/>
      <c r="D193" s="191"/>
      <c r="E193" s="191"/>
      <c r="F193" s="116"/>
      <c r="G193" s="52"/>
      <c r="H193" s="55"/>
      <c r="I193" s="54"/>
      <c r="J193" s="55"/>
      <c r="K193" s="55"/>
      <c r="L193" s="117"/>
      <c r="M193" s="56"/>
      <c r="N193" s="117"/>
      <c r="O193" s="55"/>
      <c r="P193" s="55"/>
      <c r="Q193" s="55"/>
      <c r="R193" s="49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</row>
    <row r="194" spans="1:41" x14ac:dyDescent="0.25">
      <c r="A194" s="46"/>
      <c r="B194" s="114"/>
      <c r="C194" s="114"/>
      <c r="D194" s="191"/>
      <c r="E194" s="191"/>
      <c r="F194" s="116"/>
      <c r="G194" s="52"/>
      <c r="H194" s="55"/>
      <c r="I194" s="54"/>
      <c r="J194" s="55"/>
      <c r="K194" s="55"/>
      <c r="L194" s="117"/>
      <c r="M194" s="56"/>
      <c r="N194" s="117"/>
      <c r="O194" s="55"/>
      <c r="P194" s="55"/>
      <c r="Q194" s="55"/>
      <c r="R194" s="49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</row>
    <row r="195" spans="1:41" x14ac:dyDescent="0.25">
      <c r="A195" s="46"/>
      <c r="B195" s="114"/>
      <c r="C195" s="114"/>
      <c r="D195" s="191"/>
      <c r="E195" s="191"/>
      <c r="F195" s="116"/>
      <c r="G195" s="52"/>
      <c r="H195" s="55"/>
      <c r="I195" s="54"/>
      <c r="J195" s="55"/>
      <c r="K195" s="55"/>
      <c r="L195" s="117"/>
      <c r="M195" s="56"/>
      <c r="N195" s="117"/>
      <c r="O195" s="55"/>
      <c r="P195" s="55"/>
      <c r="Q195" s="55"/>
      <c r="R195" s="49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</row>
    <row r="196" spans="1:41" x14ac:dyDescent="0.25">
      <c r="A196" s="46"/>
      <c r="B196" s="114"/>
      <c r="C196" s="114"/>
      <c r="D196" s="191"/>
      <c r="E196" s="191"/>
      <c r="F196" s="116"/>
      <c r="G196" s="52"/>
      <c r="H196" s="55"/>
      <c r="I196" s="54"/>
      <c r="J196" s="55"/>
      <c r="K196" s="55"/>
      <c r="L196" s="117"/>
      <c r="M196" s="56"/>
      <c r="N196" s="117"/>
      <c r="O196" s="55"/>
      <c r="P196" s="55"/>
      <c r="Q196" s="55"/>
      <c r="R196" s="49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</row>
    <row r="197" spans="1:41" x14ac:dyDescent="0.25">
      <c r="A197" s="46"/>
      <c r="B197" s="114"/>
      <c r="C197" s="114"/>
      <c r="D197" s="191"/>
      <c r="E197" s="191"/>
      <c r="F197" s="116"/>
      <c r="G197" s="52"/>
      <c r="H197" s="55"/>
      <c r="I197" s="54"/>
      <c r="J197" s="55"/>
      <c r="K197" s="55"/>
      <c r="L197" s="117"/>
      <c r="M197" s="56"/>
      <c r="N197" s="117"/>
      <c r="O197" s="55"/>
      <c r="P197" s="55"/>
      <c r="Q197" s="55"/>
      <c r="R197" s="49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</row>
    <row r="198" spans="1:41" x14ac:dyDescent="0.25">
      <c r="A198" s="46"/>
      <c r="B198" s="114"/>
      <c r="C198" s="114"/>
      <c r="D198" s="191"/>
      <c r="E198" s="191"/>
      <c r="F198" s="116"/>
      <c r="G198" s="52"/>
      <c r="H198" s="55"/>
      <c r="I198" s="54"/>
      <c r="J198" s="55"/>
      <c r="K198" s="55"/>
      <c r="L198" s="117"/>
      <c r="M198" s="56"/>
      <c r="N198" s="117"/>
      <c r="O198" s="55"/>
      <c r="P198" s="55"/>
      <c r="Q198" s="55"/>
      <c r="R198" s="49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</row>
    <row r="199" spans="1:41" x14ac:dyDescent="0.25">
      <c r="A199" s="46"/>
      <c r="B199" s="114"/>
      <c r="C199" s="114"/>
      <c r="D199" s="191"/>
      <c r="E199" s="191"/>
      <c r="F199" s="116"/>
      <c r="G199" s="52"/>
      <c r="H199" s="55"/>
      <c r="I199" s="54"/>
      <c r="J199" s="55"/>
      <c r="K199" s="55"/>
      <c r="L199" s="117"/>
      <c r="M199" s="56"/>
      <c r="N199" s="117"/>
      <c r="O199" s="55"/>
      <c r="P199" s="55"/>
      <c r="Q199" s="55"/>
      <c r="R199" s="49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</row>
    <row r="200" spans="1:41" x14ac:dyDescent="0.25">
      <c r="A200" s="46"/>
      <c r="B200" s="114"/>
      <c r="C200" s="114"/>
      <c r="D200" s="191"/>
      <c r="E200" s="191"/>
      <c r="F200" s="116"/>
      <c r="G200" s="52"/>
      <c r="H200" s="55"/>
      <c r="I200" s="54"/>
      <c r="J200" s="55"/>
      <c r="K200" s="55"/>
      <c r="L200" s="117"/>
      <c r="M200" s="56"/>
      <c r="N200" s="117"/>
      <c r="O200" s="55"/>
      <c r="P200" s="55"/>
      <c r="Q200" s="55"/>
      <c r="R200" s="49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</row>
    <row r="201" spans="1:41" x14ac:dyDescent="0.25">
      <c r="A201" s="46"/>
      <c r="B201" s="114"/>
      <c r="C201" s="114"/>
      <c r="D201" s="191"/>
      <c r="E201" s="191"/>
      <c r="F201" s="116"/>
      <c r="G201" s="52"/>
      <c r="H201" s="55"/>
      <c r="I201" s="54"/>
      <c r="J201" s="55"/>
      <c r="K201" s="55"/>
      <c r="L201" s="117"/>
      <c r="M201" s="56"/>
      <c r="N201" s="117"/>
      <c r="O201" s="55"/>
      <c r="P201" s="55"/>
      <c r="Q201" s="55"/>
      <c r="R201" s="49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</row>
    <row r="202" spans="1:41" x14ac:dyDescent="0.25">
      <c r="A202" s="46"/>
      <c r="B202" s="114"/>
      <c r="C202" s="114"/>
      <c r="D202" s="191"/>
      <c r="E202" s="191"/>
      <c r="F202" s="116"/>
      <c r="G202" s="52"/>
      <c r="H202" s="55"/>
      <c r="I202" s="54"/>
      <c r="J202" s="55"/>
      <c r="K202" s="55"/>
      <c r="L202" s="117"/>
      <c r="M202" s="56"/>
      <c r="N202" s="117"/>
      <c r="O202" s="55"/>
      <c r="P202" s="55"/>
      <c r="Q202" s="55"/>
      <c r="R202" s="49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</row>
    <row r="203" spans="1:41" x14ac:dyDescent="0.25">
      <c r="A203" s="46"/>
      <c r="B203" s="114"/>
      <c r="C203" s="114"/>
      <c r="D203" s="191"/>
      <c r="E203" s="191"/>
      <c r="F203" s="116"/>
      <c r="G203" s="52"/>
      <c r="H203" s="55"/>
      <c r="I203" s="54"/>
      <c r="J203" s="55"/>
      <c r="K203" s="55"/>
      <c r="L203" s="117"/>
      <c r="M203" s="56"/>
      <c r="N203" s="117"/>
      <c r="O203" s="55"/>
      <c r="P203" s="55"/>
      <c r="Q203" s="55"/>
      <c r="R203" s="49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</row>
    <row r="204" spans="1:41" x14ac:dyDescent="0.25">
      <c r="A204" s="46"/>
      <c r="B204" s="114"/>
      <c r="C204" s="114"/>
      <c r="D204" s="191"/>
      <c r="E204" s="191"/>
      <c r="F204" s="116"/>
      <c r="G204" s="52"/>
      <c r="H204" s="55"/>
      <c r="I204" s="54"/>
      <c r="J204" s="55"/>
      <c r="K204" s="55"/>
      <c r="L204" s="117"/>
      <c r="M204" s="56"/>
      <c r="N204" s="117"/>
      <c r="O204" s="55"/>
      <c r="P204" s="55"/>
      <c r="Q204" s="55"/>
      <c r="R204" s="49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</row>
    <row r="205" spans="1:41" x14ac:dyDescent="0.25">
      <c r="A205" s="46"/>
      <c r="B205" s="114"/>
      <c r="C205" s="114"/>
      <c r="D205" s="191"/>
      <c r="E205" s="191"/>
      <c r="F205" s="116"/>
      <c r="G205" s="52"/>
      <c r="H205" s="55"/>
      <c r="I205" s="54"/>
      <c r="J205" s="55"/>
      <c r="K205" s="55"/>
      <c r="L205" s="117"/>
      <c r="M205" s="56"/>
      <c r="N205" s="117"/>
      <c r="O205" s="55"/>
      <c r="P205" s="55"/>
      <c r="Q205" s="55"/>
      <c r="R205" s="49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</row>
    <row r="206" spans="1:41" x14ac:dyDescent="0.25">
      <c r="A206" s="46"/>
      <c r="B206" s="114"/>
      <c r="C206" s="114"/>
      <c r="D206" s="191"/>
      <c r="E206" s="191"/>
      <c r="F206" s="116"/>
      <c r="G206" s="52"/>
      <c r="H206" s="55"/>
      <c r="I206" s="54"/>
      <c r="J206" s="55"/>
      <c r="K206" s="55"/>
      <c r="L206" s="117"/>
      <c r="M206" s="56"/>
      <c r="N206" s="117"/>
      <c r="O206" s="55"/>
      <c r="P206" s="55"/>
      <c r="Q206" s="55"/>
      <c r="R206" s="49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</row>
    <row r="207" spans="1:41" x14ac:dyDescent="0.25">
      <c r="A207" s="46"/>
      <c r="B207" s="114"/>
      <c r="C207" s="114"/>
      <c r="D207" s="191"/>
      <c r="E207" s="191"/>
      <c r="F207" s="116"/>
      <c r="G207" s="52"/>
      <c r="H207" s="55"/>
      <c r="I207" s="54"/>
      <c r="J207" s="55"/>
      <c r="K207" s="55"/>
      <c r="L207" s="117"/>
      <c r="M207" s="56"/>
      <c r="N207" s="117"/>
      <c r="O207" s="55"/>
      <c r="P207" s="55"/>
      <c r="Q207" s="55"/>
      <c r="R207" s="49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</row>
    <row r="208" spans="1:41" x14ac:dyDescent="0.25">
      <c r="A208" s="46"/>
      <c r="B208" s="114"/>
      <c r="C208" s="114"/>
      <c r="D208" s="191"/>
      <c r="E208" s="191"/>
      <c r="F208" s="116"/>
      <c r="G208" s="52"/>
      <c r="H208" s="55"/>
      <c r="I208" s="54"/>
      <c r="J208" s="55"/>
      <c r="K208" s="55"/>
      <c r="L208" s="117"/>
      <c r="M208" s="56"/>
      <c r="N208" s="117"/>
      <c r="O208" s="55"/>
      <c r="P208" s="55"/>
      <c r="Q208" s="55"/>
      <c r="R208" s="49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</row>
    <row r="209" spans="1:41" x14ac:dyDescent="0.25">
      <c r="A209" s="46"/>
      <c r="B209" s="114"/>
      <c r="C209" s="114"/>
      <c r="D209" s="191"/>
      <c r="E209" s="191"/>
      <c r="F209" s="116"/>
      <c r="G209" s="52"/>
      <c r="H209" s="55"/>
      <c r="I209" s="54"/>
      <c r="J209" s="55"/>
      <c r="K209" s="55"/>
      <c r="L209" s="117"/>
      <c r="M209" s="56"/>
      <c r="N209" s="117"/>
      <c r="O209" s="55"/>
      <c r="P209" s="55"/>
      <c r="Q209" s="55"/>
      <c r="R209" s="49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</row>
    <row r="210" spans="1:41" x14ac:dyDescent="0.25">
      <c r="A210" s="46"/>
      <c r="B210" s="114"/>
      <c r="C210" s="114"/>
      <c r="D210" s="191"/>
      <c r="E210" s="191"/>
      <c r="F210" s="116"/>
      <c r="G210" s="52"/>
      <c r="H210" s="55"/>
      <c r="I210" s="54"/>
      <c r="J210" s="55"/>
      <c r="K210" s="55"/>
      <c r="L210" s="117"/>
      <c r="M210" s="56"/>
      <c r="N210" s="117"/>
      <c r="O210" s="55"/>
      <c r="P210" s="55"/>
      <c r="Q210" s="55"/>
      <c r="R210" s="49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</row>
    <row r="211" spans="1:41" x14ac:dyDescent="0.25">
      <c r="A211" s="46"/>
      <c r="B211" s="114"/>
      <c r="C211" s="114"/>
      <c r="D211" s="191"/>
      <c r="E211" s="191"/>
      <c r="F211" s="116"/>
      <c r="G211" s="52"/>
      <c r="H211" s="55"/>
      <c r="I211" s="54"/>
      <c r="J211" s="55"/>
      <c r="K211" s="55"/>
      <c r="L211" s="117"/>
      <c r="M211" s="56"/>
      <c r="N211" s="117"/>
      <c r="O211" s="55"/>
      <c r="P211" s="55"/>
      <c r="Q211" s="55"/>
      <c r="R211" s="49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</row>
    <row r="212" spans="1:41" x14ac:dyDescent="0.25">
      <c r="A212" s="46"/>
      <c r="B212" s="114"/>
      <c r="C212" s="114"/>
      <c r="D212" s="191"/>
      <c r="E212" s="191"/>
      <c r="F212" s="116"/>
      <c r="G212" s="52"/>
      <c r="H212" s="55"/>
      <c r="I212" s="54"/>
      <c r="J212" s="55"/>
      <c r="K212" s="55"/>
      <c r="L212" s="117"/>
      <c r="M212" s="56"/>
      <c r="N212" s="117"/>
      <c r="O212" s="55"/>
      <c r="P212" s="55"/>
      <c r="Q212" s="55"/>
      <c r="R212" s="49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</row>
    <row r="213" spans="1:41" x14ac:dyDescent="0.25">
      <c r="A213" s="46"/>
      <c r="B213" s="114"/>
      <c r="C213" s="114"/>
      <c r="D213" s="191"/>
      <c r="E213" s="191"/>
      <c r="F213" s="116"/>
      <c r="G213" s="52"/>
      <c r="H213" s="55"/>
      <c r="I213" s="54"/>
      <c r="J213" s="55"/>
      <c r="K213" s="55"/>
      <c r="L213" s="117"/>
      <c r="M213" s="56"/>
      <c r="N213" s="117"/>
      <c r="O213" s="55"/>
      <c r="P213" s="55"/>
      <c r="Q213" s="55"/>
      <c r="R213" s="49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</row>
    <row r="214" spans="1:41" x14ac:dyDescent="0.25">
      <c r="A214" s="46"/>
      <c r="B214" s="114"/>
      <c r="C214" s="114"/>
      <c r="D214" s="191"/>
      <c r="E214" s="191"/>
      <c r="F214" s="116"/>
      <c r="G214" s="52"/>
      <c r="H214" s="55"/>
      <c r="I214" s="54"/>
      <c r="J214" s="55"/>
      <c r="K214" s="55"/>
      <c r="L214" s="117"/>
      <c r="M214" s="56"/>
      <c r="N214" s="117"/>
      <c r="O214" s="55"/>
      <c r="P214" s="55"/>
      <c r="Q214" s="55"/>
      <c r="R214" s="49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</row>
    <row r="215" spans="1:41" x14ac:dyDescent="0.25">
      <c r="A215" s="46"/>
      <c r="B215" s="114"/>
      <c r="C215" s="114"/>
      <c r="D215" s="191"/>
      <c r="E215" s="191"/>
      <c r="F215" s="116"/>
      <c r="G215" s="52"/>
      <c r="H215" s="55"/>
      <c r="I215" s="54"/>
      <c r="J215" s="55"/>
      <c r="K215" s="55"/>
      <c r="L215" s="117"/>
      <c r="M215" s="56"/>
      <c r="N215" s="117"/>
      <c r="O215" s="55"/>
      <c r="P215" s="55"/>
      <c r="Q215" s="55"/>
      <c r="R215" s="49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</row>
    <row r="216" spans="1:41" x14ac:dyDescent="0.25">
      <c r="A216" s="46"/>
      <c r="B216" s="114"/>
      <c r="C216" s="114"/>
      <c r="D216" s="191"/>
      <c r="E216" s="191"/>
      <c r="F216" s="116"/>
      <c r="G216" s="52"/>
      <c r="H216" s="55"/>
      <c r="I216" s="54"/>
      <c r="J216" s="55"/>
      <c r="K216" s="55"/>
      <c r="L216" s="117"/>
      <c r="M216" s="56"/>
      <c r="N216" s="117"/>
      <c r="O216" s="55"/>
      <c r="P216" s="55"/>
      <c r="Q216" s="55"/>
      <c r="R216" s="49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</row>
    <row r="217" spans="1:41" x14ac:dyDescent="0.25">
      <c r="A217" s="46"/>
      <c r="B217" s="114"/>
      <c r="C217" s="114"/>
      <c r="D217" s="191"/>
      <c r="E217" s="191"/>
      <c r="F217" s="116"/>
      <c r="G217" s="52"/>
      <c r="H217" s="55"/>
      <c r="I217" s="54"/>
      <c r="J217" s="55"/>
      <c r="K217" s="55"/>
      <c r="L217" s="117"/>
      <c r="M217" s="56"/>
      <c r="N217" s="117"/>
      <c r="O217" s="55"/>
      <c r="P217" s="55"/>
      <c r="Q217" s="55"/>
      <c r="R217" s="49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</row>
    <row r="218" spans="1:41" x14ac:dyDescent="0.25">
      <c r="A218" s="46"/>
      <c r="B218" s="114"/>
      <c r="C218" s="114"/>
      <c r="D218" s="191"/>
      <c r="E218" s="191"/>
      <c r="F218" s="116"/>
      <c r="G218" s="52"/>
      <c r="H218" s="55"/>
      <c r="I218" s="54"/>
      <c r="J218" s="55"/>
      <c r="K218" s="55"/>
      <c r="L218" s="117"/>
      <c r="M218" s="56"/>
      <c r="N218" s="117"/>
      <c r="O218" s="55"/>
      <c r="P218" s="55"/>
      <c r="Q218" s="55"/>
      <c r="R218" s="49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</row>
    <row r="219" spans="1:41" x14ac:dyDescent="0.25">
      <c r="A219" s="46"/>
      <c r="B219" s="114"/>
      <c r="C219" s="114"/>
      <c r="D219" s="191"/>
      <c r="E219" s="191"/>
      <c r="F219" s="116"/>
      <c r="G219" s="52"/>
      <c r="H219" s="55"/>
      <c r="I219" s="54"/>
      <c r="J219" s="55"/>
      <c r="K219" s="55"/>
      <c r="L219" s="117"/>
      <c r="M219" s="56"/>
      <c r="N219" s="117"/>
      <c r="O219" s="55"/>
      <c r="P219" s="55"/>
      <c r="Q219" s="55"/>
      <c r="R219" s="49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</row>
    <row r="220" spans="1:41" x14ac:dyDescent="0.25">
      <c r="A220" s="46"/>
      <c r="B220" s="114"/>
      <c r="C220" s="114"/>
      <c r="D220" s="191"/>
      <c r="E220" s="191"/>
      <c r="F220" s="116"/>
      <c r="G220" s="52"/>
      <c r="H220" s="55"/>
      <c r="I220" s="54"/>
      <c r="J220" s="55"/>
      <c r="K220" s="55"/>
      <c r="L220" s="117"/>
      <c r="M220" s="56"/>
      <c r="N220" s="117"/>
      <c r="O220" s="55"/>
      <c r="P220" s="55"/>
      <c r="Q220" s="55"/>
      <c r="R220" s="49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</row>
    <row r="221" spans="1:41" x14ac:dyDescent="0.25">
      <c r="A221" s="46"/>
      <c r="B221" s="114"/>
      <c r="C221" s="114"/>
      <c r="D221" s="191"/>
      <c r="E221" s="191"/>
      <c r="F221" s="116"/>
      <c r="G221" s="52"/>
      <c r="H221" s="55"/>
      <c r="I221" s="54"/>
      <c r="J221" s="55"/>
      <c r="K221" s="55"/>
      <c r="L221" s="117"/>
      <c r="M221" s="56"/>
      <c r="N221" s="117"/>
      <c r="O221" s="55"/>
      <c r="P221" s="55"/>
      <c r="Q221" s="55"/>
      <c r="R221" s="49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</row>
    <row r="222" spans="1:41" x14ac:dyDescent="0.25">
      <c r="A222" s="46"/>
      <c r="B222" s="114"/>
      <c r="C222" s="114"/>
      <c r="D222" s="191"/>
      <c r="E222" s="191"/>
      <c r="F222" s="116"/>
      <c r="G222" s="52"/>
      <c r="H222" s="55"/>
      <c r="I222" s="54"/>
      <c r="J222" s="55"/>
      <c r="K222" s="55"/>
      <c r="L222" s="117"/>
      <c r="M222" s="56"/>
      <c r="N222" s="117"/>
      <c r="O222" s="55"/>
      <c r="P222" s="55"/>
      <c r="Q222" s="55"/>
      <c r="R222" s="49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</row>
    <row r="223" spans="1:41" x14ac:dyDescent="0.25">
      <c r="A223" s="46"/>
      <c r="B223" s="114"/>
      <c r="C223" s="114"/>
      <c r="D223" s="191"/>
      <c r="E223" s="191"/>
      <c r="F223" s="116"/>
      <c r="G223" s="52"/>
      <c r="H223" s="55"/>
      <c r="I223" s="54"/>
      <c r="J223" s="55"/>
      <c r="K223" s="55"/>
      <c r="L223" s="117"/>
      <c r="M223" s="56"/>
      <c r="N223" s="117"/>
      <c r="O223" s="55"/>
      <c r="P223" s="55"/>
      <c r="Q223" s="55"/>
      <c r="R223" s="49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</row>
    <row r="224" spans="1:41" x14ac:dyDescent="0.25">
      <c r="A224" s="46"/>
      <c r="B224" s="114"/>
      <c r="C224" s="114"/>
      <c r="D224" s="191"/>
      <c r="E224" s="191"/>
      <c r="F224" s="116"/>
      <c r="G224" s="52"/>
      <c r="H224" s="55"/>
      <c r="I224" s="54"/>
      <c r="J224" s="55"/>
      <c r="K224" s="55"/>
      <c r="L224" s="117"/>
      <c r="M224" s="56"/>
      <c r="N224" s="117"/>
      <c r="O224" s="55"/>
      <c r="P224" s="55"/>
      <c r="Q224" s="55"/>
      <c r="R224" s="49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</row>
    <row r="225" spans="1:41" x14ac:dyDescent="0.25">
      <c r="A225" s="46"/>
      <c r="B225" s="114"/>
      <c r="C225" s="114"/>
      <c r="D225" s="191"/>
      <c r="E225" s="191"/>
      <c r="F225" s="116"/>
      <c r="G225" s="52"/>
      <c r="H225" s="55"/>
      <c r="I225" s="54"/>
      <c r="J225" s="55"/>
      <c r="K225" s="55"/>
      <c r="L225" s="117"/>
      <c r="M225" s="56"/>
      <c r="N225" s="117"/>
      <c r="O225" s="55"/>
      <c r="P225" s="55"/>
      <c r="Q225" s="55"/>
      <c r="R225" s="49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</row>
    <row r="226" spans="1:41" x14ac:dyDescent="0.25">
      <c r="A226" s="46"/>
      <c r="B226" s="114"/>
      <c r="C226" s="114"/>
      <c r="D226" s="191"/>
      <c r="E226" s="191"/>
      <c r="F226" s="116"/>
      <c r="G226" s="52"/>
      <c r="H226" s="55"/>
      <c r="I226" s="54"/>
      <c r="J226" s="55"/>
      <c r="K226" s="55"/>
      <c r="L226" s="117"/>
      <c r="M226" s="56"/>
      <c r="N226" s="117"/>
      <c r="O226" s="55"/>
      <c r="P226" s="55"/>
      <c r="Q226" s="55"/>
      <c r="R226" s="49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</row>
    <row r="227" spans="1:41" x14ac:dyDescent="0.25">
      <c r="A227" s="46"/>
      <c r="B227" s="114"/>
      <c r="C227" s="114"/>
      <c r="D227" s="191"/>
      <c r="E227" s="191"/>
      <c r="F227" s="116"/>
      <c r="G227" s="52"/>
      <c r="H227" s="55"/>
      <c r="I227" s="54"/>
      <c r="J227" s="55"/>
      <c r="K227" s="55"/>
      <c r="L227" s="117"/>
      <c r="M227" s="56"/>
      <c r="N227" s="117"/>
      <c r="O227" s="55"/>
      <c r="P227" s="55"/>
      <c r="Q227" s="55"/>
      <c r="R227" s="49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</row>
    <row r="228" spans="1:41" x14ac:dyDescent="0.25">
      <c r="A228" s="46"/>
      <c r="B228" s="114"/>
      <c r="C228" s="114"/>
      <c r="D228" s="191"/>
      <c r="E228" s="191"/>
      <c r="F228" s="116"/>
      <c r="G228" s="52"/>
      <c r="H228" s="55"/>
      <c r="I228" s="54"/>
      <c r="J228" s="55"/>
      <c r="K228" s="55"/>
      <c r="L228" s="117"/>
      <c r="M228" s="56"/>
      <c r="N228" s="117"/>
      <c r="O228" s="55"/>
      <c r="P228" s="55"/>
      <c r="Q228" s="55"/>
      <c r="R228" s="49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</row>
    <row r="229" spans="1:41" x14ac:dyDescent="0.25">
      <c r="A229" s="46"/>
      <c r="B229" s="114"/>
      <c r="C229" s="114"/>
      <c r="D229" s="191"/>
      <c r="E229" s="191"/>
      <c r="F229" s="116"/>
      <c r="G229" s="52"/>
      <c r="H229" s="55"/>
      <c r="I229" s="54"/>
      <c r="J229" s="55"/>
      <c r="K229" s="55"/>
      <c r="L229" s="117"/>
      <c r="M229" s="56"/>
      <c r="N229" s="117"/>
      <c r="O229" s="55"/>
      <c r="P229" s="55"/>
      <c r="Q229" s="55"/>
      <c r="R229" s="49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</row>
    <row r="230" spans="1:41" x14ac:dyDescent="0.25">
      <c r="A230" s="46"/>
      <c r="B230" s="114"/>
      <c r="C230" s="114"/>
      <c r="D230" s="191"/>
      <c r="E230" s="191"/>
      <c r="F230" s="116"/>
      <c r="G230" s="52"/>
      <c r="H230" s="55"/>
      <c r="I230" s="54"/>
      <c r="J230" s="55"/>
      <c r="K230" s="55"/>
      <c r="L230" s="117"/>
      <c r="M230" s="56"/>
      <c r="N230" s="117"/>
      <c r="O230" s="55"/>
      <c r="P230" s="55"/>
      <c r="Q230" s="55"/>
      <c r="R230" s="49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</row>
    <row r="231" spans="1:41" x14ac:dyDescent="0.25">
      <c r="A231" s="46"/>
      <c r="B231" s="114"/>
      <c r="C231" s="114"/>
      <c r="D231" s="191"/>
      <c r="E231" s="191"/>
      <c r="F231" s="116"/>
      <c r="G231" s="52"/>
      <c r="H231" s="55"/>
      <c r="I231" s="54"/>
      <c r="J231" s="55"/>
      <c r="K231" s="55"/>
      <c r="L231" s="117"/>
      <c r="M231" s="56"/>
      <c r="N231" s="117"/>
      <c r="O231" s="55"/>
      <c r="P231" s="55"/>
      <c r="Q231" s="55"/>
      <c r="R231" s="49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</row>
    <row r="232" spans="1:41" x14ac:dyDescent="0.25">
      <c r="A232" s="46"/>
      <c r="B232" s="114"/>
      <c r="C232" s="114"/>
      <c r="D232" s="191"/>
      <c r="E232" s="191"/>
      <c r="F232" s="116"/>
      <c r="G232" s="52"/>
      <c r="H232" s="55"/>
      <c r="I232" s="54"/>
      <c r="J232" s="55"/>
      <c r="K232" s="55"/>
      <c r="L232" s="117"/>
      <c r="M232" s="56"/>
      <c r="N232" s="117"/>
      <c r="O232" s="55"/>
      <c r="P232" s="55"/>
      <c r="Q232" s="55"/>
      <c r="R232" s="49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</row>
    <row r="233" spans="1:41" x14ac:dyDescent="0.25">
      <c r="A233" s="46"/>
      <c r="B233" s="114"/>
      <c r="C233" s="114"/>
      <c r="D233" s="191"/>
      <c r="E233" s="191"/>
      <c r="F233" s="116"/>
      <c r="G233" s="52"/>
      <c r="H233" s="55"/>
      <c r="I233" s="54"/>
      <c r="J233" s="55"/>
      <c r="K233" s="55"/>
      <c r="L233" s="117"/>
      <c r="M233" s="56"/>
      <c r="N233" s="117"/>
      <c r="O233" s="55"/>
      <c r="P233" s="55"/>
      <c r="Q233" s="55"/>
      <c r="R233" s="49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</row>
    <row r="234" spans="1:41" x14ac:dyDescent="0.25">
      <c r="A234" s="46"/>
      <c r="B234" s="114"/>
      <c r="C234" s="114"/>
      <c r="D234" s="191"/>
      <c r="E234" s="191"/>
      <c r="F234" s="116"/>
      <c r="G234" s="52"/>
      <c r="H234" s="55"/>
      <c r="I234" s="54"/>
      <c r="J234" s="55"/>
      <c r="K234" s="55"/>
      <c r="L234" s="117"/>
      <c r="M234" s="56"/>
      <c r="N234" s="117"/>
      <c r="O234" s="55"/>
      <c r="P234" s="55"/>
      <c r="Q234" s="55"/>
      <c r="R234" s="49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</row>
    <row r="235" spans="1:41" x14ac:dyDescent="0.25">
      <c r="A235" s="46"/>
      <c r="B235" s="114"/>
      <c r="C235" s="114"/>
      <c r="D235" s="191"/>
      <c r="E235" s="191"/>
      <c r="F235" s="116"/>
      <c r="G235" s="52"/>
      <c r="H235" s="55"/>
      <c r="I235" s="54"/>
      <c r="J235" s="55"/>
      <c r="K235" s="55"/>
      <c r="L235" s="117"/>
      <c r="M235" s="56"/>
      <c r="N235" s="117"/>
      <c r="O235" s="55"/>
      <c r="P235" s="55"/>
      <c r="Q235" s="55"/>
      <c r="R235" s="49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</row>
    <row r="236" spans="1:41" x14ac:dyDescent="0.25">
      <c r="A236" s="46"/>
      <c r="B236" s="114"/>
      <c r="C236" s="114"/>
      <c r="D236" s="191"/>
      <c r="E236" s="191"/>
      <c r="F236" s="116"/>
      <c r="G236" s="52"/>
      <c r="H236" s="55"/>
      <c r="I236" s="54"/>
      <c r="J236" s="55"/>
      <c r="K236" s="55"/>
      <c r="L236" s="117"/>
      <c r="M236" s="56"/>
      <c r="N236" s="117"/>
      <c r="O236" s="55"/>
      <c r="P236" s="55"/>
      <c r="Q236" s="55"/>
      <c r="R236" s="49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</row>
    <row r="237" spans="1:41" x14ac:dyDescent="0.25">
      <c r="A237" s="46"/>
      <c r="B237" s="114"/>
      <c r="C237" s="114"/>
      <c r="D237" s="191"/>
      <c r="E237" s="191"/>
      <c r="F237" s="116"/>
      <c r="G237" s="52"/>
      <c r="H237" s="55"/>
      <c r="I237" s="54"/>
      <c r="J237" s="55"/>
      <c r="K237" s="55"/>
      <c r="L237" s="117"/>
      <c r="M237" s="56"/>
      <c r="N237" s="117"/>
      <c r="O237" s="55"/>
      <c r="P237" s="55"/>
      <c r="Q237" s="55"/>
      <c r="R237" s="49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</row>
    <row r="238" spans="1:41" x14ac:dyDescent="0.25">
      <c r="A238" s="46"/>
      <c r="B238" s="114"/>
      <c r="C238" s="114"/>
      <c r="D238" s="191"/>
      <c r="E238" s="191"/>
      <c r="F238" s="116"/>
      <c r="G238" s="52"/>
      <c r="H238" s="55"/>
      <c r="I238" s="54"/>
      <c r="J238" s="55"/>
      <c r="K238" s="55"/>
      <c r="L238" s="117"/>
      <c r="M238" s="56"/>
      <c r="N238" s="117"/>
      <c r="O238" s="55"/>
      <c r="P238" s="55"/>
      <c r="Q238" s="55"/>
      <c r="R238" s="49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</row>
    <row r="239" spans="1:41" x14ac:dyDescent="0.25">
      <c r="A239" s="46"/>
      <c r="B239" s="114"/>
      <c r="C239" s="114"/>
      <c r="D239" s="191"/>
      <c r="E239" s="191"/>
      <c r="F239" s="116"/>
      <c r="G239" s="52"/>
      <c r="H239" s="55"/>
      <c r="I239" s="54"/>
      <c r="J239" s="55"/>
      <c r="K239" s="55"/>
      <c r="L239" s="117"/>
      <c r="M239" s="56"/>
      <c r="N239" s="117"/>
      <c r="O239" s="55"/>
      <c r="P239" s="55"/>
      <c r="Q239" s="55"/>
      <c r="R239" s="49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</row>
    <row r="240" spans="1:41" x14ac:dyDescent="0.25">
      <c r="A240" s="46"/>
      <c r="B240" s="114"/>
      <c r="C240" s="114"/>
      <c r="D240" s="191"/>
      <c r="E240" s="191"/>
      <c r="F240" s="116"/>
      <c r="G240" s="52"/>
      <c r="H240" s="55"/>
      <c r="I240" s="54"/>
      <c r="J240" s="55"/>
      <c r="K240" s="55"/>
      <c r="L240" s="117"/>
      <c r="M240" s="56"/>
      <c r="N240" s="117"/>
      <c r="O240" s="55"/>
      <c r="P240" s="55"/>
      <c r="Q240" s="55"/>
      <c r="R240" s="49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</row>
    <row r="241" spans="1:41" x14ac:dyDescent="0.25">
      <c r="A241" s="46"/>
      <c r="B241" s="114"/>
      <c r="C241" s="114"/>
      <c r="D241" s="191"/>
      <c r="E241" s="191"/>
      <c r="F241" s="116"/>
      <c r="G241" s="52"/>
      <c r="H241" s="55"/>
      <c r="I241" s="54"/>
      <c r="J241" s="55"/>
      <c r="K241" s="55"/>
      <c r="L241" s="117"/>
      <c r="M241" s="56"/>
      <c r="N241" s="117"/>
      <c r="O241" s="55"/>
      <c r="P241" s="55"/>
      <c r="Q241" s="55"/>
      <c r="R241" s="49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</row>
    <row r="242" spans="1:41" x14ac:dyDescent="0.25">
      <c r="A242" s="46"/>
      <c r="B242" s="114"/>
      <c r="C242" s="114"/>
      <c r="D242" s="191"/>
      <c r="E242" s="191"/>
      <c r="F242" s="116"/>
      <c r="G242" s="52"/>
      <c r="H242" s="55"/>
      <c r="I242" s="54"/>
      <c r="J242" s="55"/>
      <c r="K242" s="55"/>
      <c r="L242" s="117"/>
      <c r="M242" s="56"/>
      <c r="N242" s="117"/>
      <c r="O242" s="55"/>
      <c r="P242" s="55"/>
      <c r="Q242" s="55"/>
      <c r="R242" s="49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</row>
    <row r="243" spans="1:41" x14ac:dyDescent="0.25">
      <c r="A243" s="46"/>
      <c r="B243" s="114"/>
      <c r="C243" s="114"/>
      <c r="D243" s="191"/>
      <c r="E243" s="191"/>
      <c r="F243" s="116"/>
      <c r="G243" s="52"/>
      <c r="H243" s="55"/>
      <c r="I243" s="54"/>
      <c r="J243" s="55"/>
      <c r="K243" s="55"/>
      <c r="L243" s="117"/>
      <c r="M243" s="56"/>
      <c r="N243" s="117"/>
      <c r="O243" s="55"/>
      <c r="P243" s="55"/>
      <c r="Q243" s="55"/>
      <c r="R243" s="49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</row>
    <row r="244" spans="1:41" x14ac:dyDescent="0.25">
      <c r="A244" s="46"/>
      <c r="B244" s="114"/>
      <c r="C244" s="114"/>
      <c r="D244" s="191"/>
      <c r="E244" s="191"/>
      <c r="F244" s="116"/>
      <c r="G244" s="52"/>
      <c r="H244" s="55"/>
      <c r="I244" s="54"/>
      <c r="J244" s="55"/>
      <c r="K244" s="55"/>
      <c r="L244" s="117"/>
      <c r="M244" s="56"/>
      <c r="N244" s="117"/>
      <c r="O244" s="55"/>
      <c r="P244" s="55"/>
      <c r="Q244" s="55"/>
      <c r="R244" s="49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</row>
    <row r="245" spans="1:41" x14ac:dyDescent="0.25">
      <c r="A245" s="46"/>
      <c r="B245" s="114"/>
      <c r="C245" s="114"/>
      <c r="D245" s="191"/>
      <c r="E245" s="191"/>
      <c r="F245" s="116"/>
      <c r="G245" s="52"/>
      <c r="H245" s="55"/>
      <c r="I245" s="54"/>
      <c r="J245" s="55"/>
      <c r="K245" s="55"/>
      <c r="L245" s="117"/>
      <c r="M245" s="56"/>
      <c r="N245" s="117"/>
      <c r="O245" s="55"/>
      <c r="P245" s="55"/>
      <c r="Q245" s="55"/>
      <c r="R245" s="49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</row>
    <row r="246" spans="1:41" x14ac:dyDescent="0.25">
      <c r="A246" s="46"/>
      <c r="B246" s="114"/>
      <c r="C246" s="114"/>
      <c r="D246" s="191"/>
      <c r="E246" s="191"/>
      <c r="F246" s="116"/>
      <c r="G246" s="52"/>
      <c r="H246" s="55"/>
      <c r="I246" s="54"/>
      <c r="J246" s="55"/>
      <c r="K246" s="55"/>
      <c r="L246" s="117"/>
      <c r="M246" s="56"/>
      <c r="N246" s="117"/>
      <c r="O246" s="55"/>
      <c r="P246" s="55"/>
      <c r="Q246" s="55"/>
      <c r="R246" s="49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</row>
    <row r="247" spans="1:41" x14ac:dyDescent="0.25">
      <c r="A247" s="46"/>
      <c r="B247" s="114"/>
      <c r="C247" s="114"/>
      <c r="D247" s="191"/>
      <c r="E247" s="191"/>
      <c r="F247" s="116"/>
      <c r="G247" s="52"/>
      <c r="H247" s="55"/>
      <c r="I247" s="54"/>
      <c r="J247" s="55"/>
      <c r="K247" s="55"/>
      <c r="L247" s="117"/>
      <c r="M247" s="56"/>
      <c r="N247" s="117"/>
      <c r="O247" s="55"/>
      <c r="P247" s="55"/>
      <c r="Q247" s="55"/>
      <c r="R247" s="49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</row>
    <row r="248" spans="1:41" x14ac:dyDescent="0.25">
      <c r="A248" s="46"/>
      <c r="B248" s="114"/>
      <c r="C248" s="114"/>
      <c r="D248" s="191"/>
      <c r="E248" s="191"/>
      <c r="F248" s="116"/>
      <c r="G248" s="52"/>
      <c r="H248" s="55"/>
      <c r="I248" s="54"/>
      <c r="J248" s="55"/>
      <c r="K248" s="55"/>
      <c r="L248" s="117"/>
      <c r="M248" s="56"/>
      <c r="N248" s="117"/>
      <c r="O248" s="55"/>
      <c r="P248" s="55"/>
      <c r="Q248" s="55"/>
      <c r="R248" s="49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</row>
    <row r="249" spans="1:41" x14ac:dyDescent="0.25">
      <c r="A249" s="46"/>
      <c r="B249" s="114"/>
      <c r="C249" s="114"/>
      <c r="D249" s="191"/>
      <c r="E249" s="191"/>
      <c r="F249" s="116"/>
      <c r="G249" s="52"/>
      <c r="H249" s="55"/>
      <c r="I249" s="54"/>
      <c r="J249" s="55"/>
      <c r="K249" s="55"/>
      <c r="L249" s="117"/>
      <c r="M249" s="56"/>
      <c r="N249" s="117"/>
      <c r="O249" s="55"/>
      <c r="P249" s="55"/>
      <c r="Q249" s="55"/>
      <c r="R249" s="49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</row>
    <row r="250" spans="1:41" x14ac:dyDescent="0.25">
      <c r="A250" s="46"/>
      <c r="B250" s="114"/>
      <c r="C250" s="114"/>
      <c r="D250" s="191"/>
      <c r="E250" s="191"/>
      <c r="F250" s="116"/>
      <c r="G250" s="52"/>
      <c r="H250" s="55"/>
      <c r="I250" s="54"/>
      <c r="J250" s="55"/>
      <c r="K250" s="55"/>
      <c r="L250" s="117"/>
      <c r="M250" s="56"/>
      <c r="N250" s="117"/>
      <c r="O250" s="55"/>
      <c r="P250" s="55"/>
      <c r="Q250" s="55"/>
      <c r="R250" s="49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</row>
    <row r="251" spans="1:41" x14ac:dyDescent="0.25">
      <c r="A251" s="46"/>
      <c r="B251" s="114"/>
      <c r="C251" s="114"/>
      <c r="D251" s="191"/>
      <c r="E251" s="191"/>
      <c r="F251" s="116"/>
      <c r="G251" s="52"/>
      <c r="H251" s="55"/>
      <c r="I251" s="54"/>
      <c r="J251" s="55"/>
      <c r="K251" s="55"/>
      <c r="L251" s="117"/>
      <c r="M251" s="56"/>
      <c r="N251" s="117"/>
      <c r="O251" s="55"/>
      <c r="P251" s="55"/>
      <c r="Q251" s="55"/>
      <c r="R251" s="49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</row>
    <row r="252" spans="1:41" x14ac:dyDescent="0.25">
      <c r="A252" s="46"/>
      <c r="B252" s="114"/>
      <c r="C252" s="114"/>
      <c r="D252" s="191"/>
      <c r="E252" s="191"/>
      <c r="F252" s="116"/>
      <c r="G252" s="52"/>
      <c r="H252" s="55"/>
      <c r="I252" s="54"/>
      <c r="J252" s="55"/>
      <c r="K252" s="55"/>
      <c r="L252" s="117"/>
      <c r="M252" s="56"/>
      <c r="N252" s="117"/>
      <c r="O252" s="55"/>
      <c r="P252" s="55"/>
      <c r="Q252" s="55"/>
      <c r="R252" s="49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</row>
    <row r="253" spans="1:41" x14ac:dyDescent="0.25">
      <c r="A253" s="46"/>
      <c r="B253" s="114"/>
      <c r="C253" s="114"/>
      <c r="D253" s="191"/>
      <c r="E253" s="191"/>
      <c r="F253" s="116"/>
      <c r="G253" s="52"/>
      <c r="H253" s="55"/>
      <c r="I253" s="54"/>
      <c r="J253" s="55"/>
      <c r="K253" s="55"/>
      <c r="L253" s="117"/>
      <c r="M253" s="56"/>
      <c r="N253" s="117"/>
      <c r="O253" s="55"/>
      <c r="P253" s="55"/>
      <c r="Q253" s="55"/>
      <c r="R253" s="49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</row>
    <row r="254" spans="1:41" x14ac:dyDescent="0.25">
      <c r="A254" s="46"/>
      <c r="B254" s="114"/>
      <c r="C254" s="114"/>
      <c r="D254" s="191"/>
      <c r="E254" s="191"/>
      <c r="F254" s="116"/>
      <c r="G254" s="52"/>
      <c r="H254" s="55"/>
      <c r="I254" s="54"/>
      <c r="J254" s="55"/>
      <c r="K254" s="55"/>
      <c r="L254" s="117"/>
      <c r="M254" s="56"/>
      <c r="N254" s="117"/>
      <c r="O254" s="55"/>
      <c r="P254" s="55"/>
      <c r="Q254" s="55"/>
      <c r="R254" s="49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</row>
    <row r="255" spans="1:41" x14ac:dyDescent="0.25">
      <c r="A255" s="46"/>
      <c r="B255" s="114"/>
      <c r="C255" s="114"/>
      <c r="D255" s="191"/>
      <c r="E255" s="191"/>
      <c r="F255" s="116"/>
      <c r="G255" s="52"/>
      <c r="H255" s="55"/>
      <c r="I255" s="54"/>
      <c r="J255" s="55"/>
      <c r="K255" s="55"/>
      <c r="L255" s="117"/>
      <c r="M255" s="56"/>
      <c r="N255" s="117"/>
      <c r="O255" s="55"/>
      <c r="P255" s="55"/>
      <c r="Q255" s="55"/>
      <c r="R255" s="49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</row>
    <row r="256" spans="1:41" x14ac:dyDescent="0.25">
      <c r="A256" s="46"/>
      <c r="B256" s="114"/>
      <c r="C256" s="114"/>
      <c r="D256" s="191"/>
      <c r="E256" s="191"/>
      <c r="F256" s="116"/>
      <c r="G256" s="52"/>
      <c r="H256" s="55"/>
      <c r="I256" s="54"/>
      <c r="J256" s="55"/>
      <c r="K256" s="55"/>
      <c r="L256" s="117"/>
      <c r="M256" s="56"/>
      <c r="N256" s="117"/>
      <c r="O256" s="55"/>
      <c r="P256" s="55"/>
      <c r="Q256" s="55"/>
      <c r="R256" s="49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</row>
    <row r="257" spans="1:41" x14ac:dyDescent="0.25">
      <c r="A257" s="46"/>
      <c r="B257" s="114"/>
      <c r="C257" s="114"/>
      <c r="D257" s="191"/>
      <c r="E257" s="191"/>
      <c r="F257" s="116"/>
      <c r="G257" s="52"/>
      <c r="H257" s="55"/>
      <c r="I257" s="54"/>
      <c r="J257" s="55"/>
      <c r="K257" s="55"/>
      <c r="L257" s="117"/>
      <c r="M257" s="56"/>
      <c r="N257" s="117"/>
      <c r="O257" s="55"/>
      <c r="P257" s="55"/>
      <c r="Q257" s="55"/>
      <c r="R257" s="49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</row>
    <row r="258" spans="1:41" x14ac:dyDescent="0.25">
      <c r="A258" s="46"/>
      <c r="B258" s="114"/>
      <c r="C258" s="114"/>
      <c r="D258" s="191"/>
      <c r="E258" s="191"/>
      <c r="F258" s="116"/>
      <c r="G258" s="52"/>
      <c r="H258" s="55"/>
      <c r="I258" s="54"/>
      <c r="J258" s="55"/>
      <c r="K258" s="55"/>
      <c r="L258" s="117"/>
      <c r="M258" s="56"/>
      <c r="N258" s="117"/>
      <c r="O258" s="55"/>
      <c r="P258" s="55"/>
      <c r="Q258" s="55"/>
      <c r="R258" s="49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</row>
    <row r="259" spans="1:41" x14ac:dyDescent="0.25">
      <c r="A259" s="46"/>
      <c r="B259" s="114"/>
      <c r="C259" s="114"/>
      <c r="D259" s="191"/>
      <c r="E259" s="191"/>
      <c r="F259" s="116"/>
      <c r="G259" s="52"/>
      <c r="H259" s="55"/>
      <c r="I259" s="54"/>
      <c r="J259" s="55"/>
      <c r="K259" s="55"/>
      <c r="L259" s="117"/>
      <c r="M259" s="56"/>
      <c r="N259" s="117"/>
      <c r="O259" s="55"/>
      <c r="P259" s="55"/>
      <c r="Q259" s="55"/>
      <c r="R259" s="49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</row>
    <row r="260" spans="1:41" x14ac:dyDescent="0.25">
      <c r="A260" s="46"/>
      <c r="B260" s="114"/>
      <c r="C260" s="114"/>
      <c r="D260" s="191"/>
      <c r="E260" s="191"/>
      <c r="F260" s="116"/>
      <c r="G260" s="52"/>
      <c r="H260" s="55"/>
      <c r="I260" s="54"/>
      <c r="J260" s="55"/>
      <c r="K260" s="55"/>
      <c r="L260" s="117"/>
      <c r="M260" s="56"/>
      <c r="N260" s="117"/>
      <c r="O260" s="55"/>
      <c r="P260" s="55"/>
      <c r="Q260" s="55"/>
      <c r="R260" s="49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</row>
    <row r="261" spans="1:41" x14ac:dyDescent="0.25">
      <c r="A261" s="46"/>
      <c r="B261" s="114"/>
      <c r="C261" s="114"/>
      <c r="D261" s="191"/>
      <c r="E261" s="191"/>
      <c r="F261" s="116"/>
      <c r="G261" s="52"/>
      <c r="H261" s="55"/>
      <c r="I261" s="54"/>
      <c r="J261" s="55"/>
      <c r="K261" s="55"/>
      <c r="L261" s="117"/>
      <c r="M261" s="56"/>
      <c r="N261" s="117"/>
      <c r="O261" s="55"/>
      <c r="P261" s="55"/>
      <c r="Q261" s="55"/>
      <c r="R261" s="49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</row>
    <row r="262" spans="1:41" x14ac:dyDescent="0.25">
      <c r="A262" s="46"/>
      <c r="B262" s="114"/>
      <c r="C262" s="114"/>
      <c r="D262" s="191"/>
      <c r="E262" s="191"/>
      <c r="F262" s="116"/>
      <c r="G262" s="52"/>
      <c r="H262" s="55"/>
      <c r="I262" s="54"/>
      <c r="J262" s="55"/>
      <c r="K262" s="55"/>
      <c r="L262" s="117"/>
      <c r="M262" s="56"/>
      <c r="N262" s="117"/>
      <c r="O262" s="55"/>
      <c r="P262" s="55"/>
      <c r="Q262" s="55"/>
      <c r="R262" s="49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</row>
    <row r="263" spans="1:41" x14ac:dyDescent="0.25">
      <c r="A263" s="46"/>
      <c r="B263" s="114"/>
      <c r="C263" s="114"/>
      <c r="D263" s="191"/>
      <c r="E263" s="191"/>
      <c r="F263" s="116"/>
      <c r="G263" s="52"/>
      <c r="H263" s="55"/>
      <c r="I263" s="54"/>
      <c r="J263" s="55"/>
      <c r="K263" s="55"/>
      <c r="L263" s="117"/>
      <c r="M263" s="56"/>
      <c r="N263" s="117"/>
      <c r="O263" s="55"/>
      <c r="P263" s="55"/>
      <c r="Q263" s="55"/>
      <c r="R263" s="49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</row>
    <row r="264" spans="1:41" x14ac:dyDescent="0.25">
      <c r="A264" s="46"/>
      <c r="B264" s="114"/>
      <c r="C264" s="114"/>
      <c r="D264" s="191"/>
      <c r="E264" s="191"/>
      <c r="F264" s="116"/>
      <c r="G264" s="52"/>
      <c r="H264" s="55"/>
      <c r="I264" s="54"/>
      <c r="J264" s="55"/>
      <c r="K264" s="55"/>
      <c r="L264" s="117"/>
      <c r="M264" s="56"/>
      <c r="N264" s="117"/>
      <c r="O264" s="55"/>
      <c r="P264" s="55"/>
      <c r="Q264" s="55"/>
      <c r="R264" s="49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</row>
    <row r="265" spans="1:41" x14ac:dyDescent="0.25">
      <c r="A265" s="46"/>
      <c r="B265" s="114"/>
      <c r="C265" s="114"/>
      <c r="D265" s="191"/>
      <c r="E265" s="191"/>
      <c r="F265" s="116"/>
      <c r="G265" s="52"/>
      <c r="H265" s="55"/>
      <c r="I265" s="54"/>
      <c r="J265" s="55"/>
      <c r="K265" s="55"/>
      <c r="L265" s="117"/>
      <c r="M265" s="56"/>
      <c r="N265" s="117"/>
      <c r="O265" s="55"/>
      <c r="P265" s="55"/>
      <c r="Q265" s="55"/>
      <c r="R265" s="49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</row>
    <row r="266" spans="1:41" x14ac:dyDescent="0.25">
      <c r="A266" s="46"/>
      <c r="B266" s="114"/>
      <c r="C266" s="114"/>
      <c r="D266" s="191"/>
      <c r="E266" s="191"/>
      <c r="F266" s="116"/>
      <c r="G266" s="52"/>
      <c r="H266" s="55"/>
      <c r="I266" s="54"/>
      <c r="J266" s="55"/>
      <c r="K266" s="55"/>
      <c r="L266" s="117"/>
      <c r="M266" s="56"/>
      <c r="N266" s="117"/>
      <c r="O266" s="55"/>
      <c r="P266" s="55"/>
      <c r="Q266" s="55"/>
      <c r="R266" s="49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</row>
    <row r="267" spans="1:41" x14ac:dyDescent="0.25">
      <c r="A267" s="46"/>
      <c r="B267" s="114"/>
      <c r="C267" s="114"/>
      <c r="D267" s="191"/>
      <c r="E267" s="191"/>
      <c r="F267" s="116"/>
      <c r="G267" s="52"/>
      <c r="H267" s="55"/>
      <c r="I267" s="54"/>
      <c r="J267" s="55"/>
      <c r="K267" s="55"/>
      <c r="L267" s="117"/>
      <c r="M267" s="56"/>
      <c r="N267" s="117"/>
      <c r="O267" s="55"/>
      <c r="P267" s="55"/>
      <c r="Q267" s="55"/>
      <c r="R267" s="49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</row>
    <row r="268" spans="1:41" x14ac:dyDescent="0.25">
      <c r="A268" s="46"/>
      <c r="B268" s="114"/>
      <c r="C268" s="114"/>
      <c r="D268" s="191"/>
      <c r="E268" s="191"/>
      <c r="F268" s="116"/>
      <c r="G268" s="52"/>
      <c r="H268" s="55"/>
      <c r="I268" s="54"/>
      <c r="J268" s="55"/>
      <c r="K268" s="55"/>
      <c r="L268" s="117"/>
      <c r="M268" s="56"/>
      <c r="N268" s="117"/>
      <c r="O268" s="55"/>
      <c r="P268" s="55"/>
      <c r="Q268" s="55"/>
      <c r="R268" s="49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</row>
    <row r="269" spans="1:41" x14ac:dyDescent="0.25">
      <c r="A269" s="46"/>
      <c r="B269" s="114"/>
      <c r="C269" s="114"/>
      <c r="D269" s="191"/>
      <c r="E269" s="191"/>
      <c r="F269" s="116"/>
      <c r="G269" s="52"/>
      <c r="H269" s="55"/>
      <c r="I269" s="54"/>
      <c r="J269" s="55"/>
      <c r="K269" s="55"/>
      <c r="L269" s="117"/>
      <c r="M269" s="56"/>
      <c r="N269" s="117"/>
      <c r="O269" s="55"/>
      <c r="P269" s="55"/>
      <c r="Q269" s="55"/>
      <c r="R269" s="49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</row>
    <row r="270" spans="1:41" x14ac:dyDescent="0.25">
      <c r="A270" s="46"/>
      <c r="B270" s="114"/>
      <c r="C270" s="114"/>
      <c r="D270" s="191"/>
      <c r="E270" s="191"/>
      <c r="F270" s="116"/>
      <c r="G270" s="52"/>
      <c r="H270" s="55"/>
      <c r="I270" s="54"/>
      <c r="J270" s="55"/>
      <c r="K270" s="55"/>
      <c r="L270" s="117"/>
      <c r="M270" s="56"/>
      <c r="N270" s="117"/>
      <c r="O270" s="55"/>
      <c r="P270" s="55"/>
      <c r="Q270" s="55"/>
      <c r="R270" s="49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</row>
    <row r="271" spans="1:41" x14ac:dyDescent="0.25">
      <c r="A271" s="46"/>
      <c r="B271" s="114"/>
      <c r="C271" s="114"/>
      <c r="D271" s="191"/>
      <c r="E271" s="191"/>
      <c r="F271" s="116"/>
      <c r="G271" s="52"/>
      <c r="H271" s="55"/>
      <c r="I271" s="54"/>
      <c r="J271" s="55"/>
      <c r="K271" s="55"/>
      <c r="L271" s="117"/>
      <c r="M271" s="56"/>
      <c r="N271" s="117"/>
      <c r="O271" s="55"/>
      <c r="P271" s="55"/>
      <c r="Q271" s="55"/>
      <c r="R271" s="49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</row>
    <row r="272" spans="1:41" x14ac:dyDescent="0.25">
      <c r="A272" s="46"/>
      <c r="B272" s="114"/>
      <c r="C272" s="114"/>
      <c r="D272" s="191"/>
      <c r="E272" s="191"/>
      <c r="F272" s="116"/>
      <c r="G272" s="52"/>
      <c r="H272" s="55"/>
      <c r="I272" s="54"/>
      <c r="J272" s="55"/>
      <c r="K272" s="55"/>
      <c r="L272" s="117"/>
      <c r="M272" s="56"/>
      <c r="N272" s="117"/>
      <c r="O272" s="55"/>
      <c r="P272" s="55"/>
      <c r="Q272" s="55"/>
      <c r="R272" s="49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</row>
    <row r="273" spans="1:41" x14ac:dyDescent="0.25">
      <c r="A273" s="46"/>
      <c r="B273" s="114"/>
      <c r="C273" s="114"/>
      <c r="D273" s="191"/>
      <c r="E273" s="191"/>
      <c r="F273" s="116"/>
      <c r="G273" s="52"/>
      <c r="H273" s="55"/>
      <c r="I273" s="54"/>
      <c r="J273" s="55"/>
      <c r="K273" s="55"/>
      <c r="L273" s="117"/>
      <c r="M273" s="56"/>
      <c r="N273" s="117"/>
      <c r="O273" s="55"/>
      <c r="P273" s="55"/>
      <c r="Q273" s="55"/>
      <c r="R273" s="49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</row>
    <row r="274" spans="1:41" x14ac:dyDescent="0.25">
      <c r="A274" s="46"/>
      <c r="B274" s="114"/>
      <c r="C274" s="114"/>
      <c r="D274" s="191"/>
      <c r="E274" s="191"/>
      <c r="F274" s="116"/>
      <c r="G274" s="52"/>
      <c r="H274" s="55"/>
      <c r="I274" s="54"/>
      <c r="J274" s="55"/>
      <c r="K274" s="55"/>
      <c r="L274" s="117"/>
      <c r="M274" s="56"/>
      <c r="N274" s="117"/>
      <c r="O274" s="55"/>
      <c r="P274" s="55"/>
      <c r="Q274" s="55"/>
      <c r="R274" s="49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</row>
    <row r="275" spans="1:41" x14ac:dyDescent="0.25">
      <c r="A275" s="46"/>
      <c r="B275" s="114"/>
      <c r="C275" s="114"/>
      <c r="D275" s="191"/>
      <c r="E275" s="191"/>
      <c r="F275" s="116"/>
      <c r="G275" s="52"/>
      <c r="H275" s="55"/>
      <c r="I275" s="54"/>
      <c r="J275" s="55"/>
      <c r="K275" s="55"/>
      <c r="L275" s="117"/>
      <c r="M275" s="56"/>
      <c r="N275" s="117"/>
      <c r="O275" s="55"/>
      <c r="P275" s="55"/>
      <c r="Q275" s="55"/>
      <c r="R275" s="49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</row>
    <row r="276" spans="1:41" x14ac:dyDescent="0.25">
      <c r="A276" s="46"/>
      <c r="B276" s="114"/>
      <c r="C276" s="114"/>
      <c r="D276" s="191"/>
      <c r="E276" s="191"/>
      <c r="F276" s="116"/>
      <c r="G276" s="52"/>
      <c r="H276" s="55"/>
      <c r="I276" s="54"/>
      <c r="J276" s="55"/>
      <c r="K276" s="55"/>
      <c r="L276" s="117"/>
      <c r="M276" s="56"/>
      <c r="N276" s="117"/>
      <c r="O276" s="55"/>
      <c r="P276" s="55"/>
      <c r="Q276" s="55"/>
      <c r="R276" s="49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</row>
    <row r="277" spans="1:41" x14ac:dyDescent="0.25">
      <c r="A277" s="46"/>
      <c r="B277" s="114"/>
      <c r="C277" s="114"/>
      <c r="D277" s="191"/>
      <c r="E277" s="191"/>
      <c r="F277" s="116"/>
      <c r="G277" s="52"/>
      <c r="H277" s="55"/>
      <c r="I277" s="54"/>
      <c r="J277" s="55"/>
      <c r="K277" s="55"/>
      <c r="L277" s="117"/>
      <c r="M277" s="56"/>
      <c r="N277" s="117"/>
      <c r="O277" s="55"/>
      <c r="P277" s="55"/>
      <c r="Q277" s="55"/>
      <c r="R277" s="49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</row>
    <row r="278" spans="1:41" x14ac:dyDescent="0.25">
      <c r="A278" s="46"/>
      <c r="B278" s="114"/>
      <c r="C278" s="114"/>
      <c r="D278" s="191"/>
      <c r="E278" s="191"/>
      <c r="F278" s="116"/>
      <c r="G278" s="52"/>
      <c r="H278" s="55"/>
      <c r="I278" s="54"/>
      <c r="J278" s="55"/>
      <c r="K278" s="55"/>
      <c r="L278" s="117"/>
      <c r="M278" s="56"/>
      <c r="N278" s="117"/>
      <c r="O278" s="55"/>
      <c r="P278" s="55"/>
      <c r="Q278" s="55"/>
      <c r="R278" s="49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</row>
    <row r="279" spans="1:41" x14ac:dyDescent="0.25">
      <c r="A279" s="46"/>
      <c r="B279" s="114"/>
      <c r="C279" s="114"/>
      <c r="D279" s="191"/>
      <c r="E279" s="191"/>
      <c r="F279" s="116"/>
      <c r="G279" s="52"/>
      <c r="H279" s="55"/>
      <c r="I279" s="54"/>
      <c r="J279" s="55"/>
      <c r="K279" s="55"/>
      <c r="L279" s="117"/>
      <c r="M279" s="56"/>
      <c r="N279" s="117"/>
      <c r="O279" s="55"/>
      <c r="P279" s="55"/>
      <c r="Q279" s="55"/>
      <c r="R279" s="49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</row>
    <row r="280" spans="1:41" x14ac:dyDescent="0.25">
      <c r="A280" s="46"/>
      <c r="B280" s="114"/>
      <c r="C280" s="114"/>
      <c r="D280" s="191"/>
      <c r="E280" s="191"/>
      <c r="F280" s="116"/>
      <c r="G280" s="52"/>
      <c r="H280" s="55"/>
      <c r="I280" s="54"/>
      <c r="J280" s="55"/>
      <c r="K280" s="55"/>
      <c r="L280" s="117"/>
      <c r="M280" s="56"/>
      <c r="N280" s="117"/>
      <c r="O280" s="55"/>
      <c r="P280" s="55"/>
      <c r="Q280" s="55"/>
      <c r="R280" s="49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</row>
    <row r="281" spans="1:41" x14ac:dyDescent="0.25">
      <c r="A281" s="46"/>
      <c r="B281" s="114"/>
      <c r="C281" s="114"/>
      <c r="D281" s="191"/>
      <c r="E281" s="191"/>
      <c r="F281" s="116"/>
      <c r="G281" s="52"/>
      <c r="H281" s="55"/>
      <c r="I281" s="54"/>
      <c r="J281" s="55"/>
      <c r="K281" s="55"/>
      <c r="L281" s="117"/>
      <c r="M281" s="56"/>
      <c r="N281" s="117"/>
      <c r="O281" s="55"/>
      <c r="P281" s="55"/>
      <c r="Q281" s="55"/>
      <c r="R281" s="49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</row>
    <row r="282" spans="1:41" x14ac:dyDescent="0.25">
      <c r="A282" s="46"/>
      <c r="B282" s="114"/>
      <c r="C282" s="114"/>
      <c r="D282" s="191"/>
      <c r="E282" s="191"/>
      <c r="F282" s="116"/>
      <c r="G282" s="52"/>
      <c r="H282" s="55"/>
      <c r="I282" s="54"/>
      <c r="J282" s="55"/>
      <c r="K282" s="55"/>
      <c r="L282" s="117"/>
      <c r="M282" s="56"/>
      <c r="N282" s="117"/>
      <c r="O282" s="55"/>
      <c r="P282" s="55"/>
      <c r="Q282" s="55"/>
      <c r="R282" s="49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</row>
    <row r="283" spans="1:41" x14ac:dyDescent="0.25">
      <c r="A283" s="46"/>
      <c r="B283" s="114"/>
      <c r="C283" s="114"/>
      <c r="D283" s="191"/>
      <c r="E283" s="191"/>
      <c r="F283" s="116"/>
      <c r="G283" s="52"/>
      <c r="H283" s="55"/>
      <c r="I283" s="54"/>
      <c r="J283" s="55"/>
      <c r="K283" s="55"/>
      <c r="L283" s="117"/>
      <c r="M283" s="56"/>
      <c r="N283" s="117"/>
      <c r="O283" s="55"/>
      <c r="P283" s="55"/>
      <c r="Q283" s="55"/>
      <c r="R283" s="49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</row>
    <row r="284" spans="1:41" x14ac:dyDescent="0.25">
      <c r="A284" s="46"/>
      <c r="B284" s="114"/>
      <c r="C284" s="114"/>
      <c r="D284" s="191"/>
      <c r="E284" s="191"/>
      <c r="F284" s="116"/>
      <c r="G284" s="52"/>
      <c r="H284" s="55"/>
      <c r="I284" s="54"/>
      <c r="J284" s="55"/>
      <c r="K284" s="55"/>
      <c r="L284" s="117"/>
      <c r="M284" s="56"/>
      <c r="N284" s="117"/>
      <c r="O284" s="55"/>
      <c r="P284" s="55"/>
      <c r="Q284" s="55"/>
      <c r="R284" s="49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</row>
    <row r="285" spans="1:41" x14ac:dyDescent="0.25">
      <c r="A285" s="46"/>
      <c r="B285" s="114"/>
      <c r="C285" s="114"/>
      <c r="D285" s="191"/>
      <c r="E285" s="191"/>
      <c r="F285" s="116"/>
      <c r="G285" s="52"/>
      <c r="H285" s="55"/>
      <c r="I285" s="54"/>
      <c r="J285" s="55"/>
      <c r="K285" s="55"/>
      <c r="L285" s="117"/>
      <c r="M285" s="56"/>
      <c r="N285" s="117"/>
      <c r="O285" s="55"/>
      <c r="P285" s="55"/>
      <c r="Q285" s="55"/>
      <c r="R285" s="49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</row>
    <row r="286" spans="1:41" x14ac:dyDescent="0.25">
      <c r="A286" s="46"/>
      <c r="B286" s="114"/>
      <c r="C286" s="114"/>
      <c r="D286" s="191"/>
      <c r="E286" s="191"/>
      <c r="F286" s="116"/>
      <c r="G286" s="52"/>
      <c r="H286" s="55"/>
      <c r="I286" s="54"/>
      <c r="J286" s="55"/>
      <c r="K286" s="55"/>
      <c r="L286" s="117"/>
      <c r="M286" s="56"/>
      <c r="N286" s="117"/>
      <c r="O286" s="55"/>
      <c r="P286" s="55"/>
      <c r="Q286" s="55"/>
      <c r="R286" s="49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</row>
    <row r="287" spans="1:41" x14ac:dyDescent="0.25">
      <c r="A287" s="46"/>
      <c r="B287" s="114"/>
      <c r="C287" s="114"/>
      <c r="D287" s="191"/>
      <c r="E287" s="191"/>
      <c r="F287" s="116"/>
      <c r="G287" s="52"/>
      <c r="H287" s="55"/>
      <c r="I287" s="54"/>
      <c r="J287" s="55"/>
      <c r="K287" s="55"/>
      <c r="L287" s="117"/>
      <c r="M287" s="56"/>
      <c r="N287" s="117"/>
      <c r="O287" s="55"/>
      <c r="P287" s="55"/>
      <c r="Q287" s="55"/>
      <c r="R287" s="49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</row>
    <row r="288" spans="1:41" x14ac:dyDescent="0.25">
      <c r="A288" s="46"/>
      <c r="B288" s="114"/>
      <c r="C288" s="114"/>
      <c r="D288" s="191"/>
      <c r="E288" s="191"/>
      <c r="F288" s="116"/>
      <c r="G288" s="52"/>
      <c r="H288" s="55"/>
      <c r="I288" s="54"/>
      <c r="J288" s="55"/>
      <c r="K288" s="55"/>
      <c r="L288" s="117"/>
      <c r="M288" s="56"/>
      <c r="N288" s="117"/>
      <c r="O288" s="55"/>
      <c r="P288" s="55"/>
      <c r="Q288" s="55"/>
      <c r="R288" s="49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</row>
    <row r="289" spans="1:41" x14ac:dyDescent="0.25">
      <c r="A289" s="46"/>
      <c r="B289" s="114"/>
      <c r="C289" s="114"/>
      <c r="D289" s="191"/>
      <c r="E289" s="191"/>
      <c r="F289" s="116"/>
      <c r="G289" s="52"/>
      <c r="H289" s="55"/>
      <c r="I289" s="54"/>
      <c r="J289" s="55"/>
      <c r="K289" s="55"/>
      <c r="L289" s="117"/>
      <c r="M289" s="56"/>
      <c r="N289" s="117"/>
      <c r="O289" s="55"/>
      <c r="P289" s="55"/>
      <c r="Q289" s="55"/>
      <c r="R289" s="49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</row>
    <row r="290" spans="1:41" x14ac:dyDescent="0.25">
      <c r="A290" s="46"/>
      <c r="B290" s="114"/>
      <c r="C290" s="114"/>
      <c r="D290" s="191"/>
      <c r="E290" s="191"/>
      <c r="F290" s="116"/>
      <c r="G290" s="52"/>
      <c r="H290" s="55"/>
      <c r="I290" s="54"/>
      <c r="J290" s="55"/>
      <c r="K290" s="55"/>
      <c r="L290" s="117"/>
      <c r="M290" s="56"/>
      <c r="N290" s="117"/>
      <c r="O290" s="55"/>
      <c r="P290" s="55"/>
      <c r="Q290" s="55"/>
      <c r="R290" s="49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</row>
    <row r="291" spans="1:41" x14ac:dyDescent="0.25">
      <c r="A291" s="46"/>
      <c r="B291" s="114"/>
      <c r="C291" s="114"/>
      <c r="D291" s="191"/>
      <c r="E291" s="191"/>
      <c r="F291" s="116"/>
      <c r="G291" s="52"/>
      <c r="H291" s="55"/>
      <c r="I291" s="54"/>
      <c r="J291" s="55"/>
      <c r="K291" s="55"/>
      <c r="L291" s="117"/>
      <c r="M291" s="56"/>
      <c r="N291" s="117"/>
      <c r="O291" s="55"/>
      <c r="P291" s="55"/>
      <c r="Q291" s="55"/>
      <c r="R291" s="49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</row>
    <row r="292" spans="1:41" x14ac:dyDescent="0.25">
      <c r="A292" s="46"/>
      <c r="B292" s="114"/>
      <c r="C292" s="114"/>
      <c r="D292" s="191"/>
      <c r="E292" s="191"/>
      <c r="F292" s="116"/>
      <c r="G292" s="52"/>
      <c r="H292" s="55"/>
      <c r="I292" s="54"/>
      <c r="J292" s="55"/>
      <c r="K292" s="55"/>
      <c r="L292" s="117"/>
      <c r="M292" s="56"/>
      <c r="N292" s="117"/>
      <c r="O292" s="55"/>
      <c r="P292" s="55"/>
      <c r="Q292" s="55"/>
      <c r="R292" s="49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</row>
    <row r="293" spans="1:41" x14ac:dyDescent="0.25">
      <c r="A293" s="46"/>
      <c r="B293" s="114"/>
      <c r="C293" s="114"/>
      <c r="D293" s="191"/>
      <c r="E293" s="191"/>
      <c r="F293" s="116"/>
      <c r="G293" s="52"/>
      <c r="H293" s="55"/>
      <c r="I293" s="54"/>
      <c r="J293" s="55"/>
      <c r="K293" s="55"/>
      <c r="L293" s="117"/>
      <c r="M293" s="56"/>
      <c r="N293" s="117"/>
      <c r="O293" s="55"/>
      <c r="P293" s="55"/>
      <c r="Q293" s="55"/>
      <c r="R293" s="49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</row>
    <row r="294" spans="1:41" x14ac:dyDescent="0.25">
      <c r="A294" s="46"/>
      <c r="B294" s="114"/>
      <c r="C294" s="114"/>
      <c r="D294" s="191"/>
      <c r="E294" s="191"/>
      <c r="F294" s="116"/>
      <c r="G294" s="52"/>
      <c r="H294" s="55"/>
      <c r="I294" s="54"/>
      <c r="J294" s="55"/>
      <c r="K294" s="55"/>
      <c r="L294" s="117"/>
      <c r="M294" s="56"/>
      <c r="N294" s="117"/>
      <c r="O294" s="55"/>
      <c r="P294" s="55"/>
      <c r="Q294" s="55"/>
      <c r="R294" s="49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</row>
    <row r="295" spans="1:41" x14ac:dyDescent="0.25">
      <c r="A295" s="46"/>
      <c r="B295" s="114"/>
      <c r="C295" s="114"/>
      <c r="D295" s="191"/>
      <c r="E295" s="191"/>
      <c r="F295" s="116"/>
      <c r="G295" s="52"/>
      <c r="H295" s="55"/>
      <c r="I295" s="54"/>
      <c r="J295" s="55"/>
      <c r="K295" s="55"/>
      <c r="L295" s="117"/>
      <c r="M295" s="56"/>
      <c r="N295" s="117"/>
      <c r="O295" s="55"/>
      <c r="P295" s="55"/>
      <c r="Q295" s="55"/>
      <c r="R295" s="49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</row>
    <row r="296" spans="1:41" x14ac:dyDescent="0.25">
      <c r="A296" s="46"/>
      <c r="B296" s="114"/>
      <c r="C296" s="114"/>
      <c r="D296" s="191"/>
      <c r="E296" s="191"/>
      <c r="F296" s="116"/>
      <c r="G296" s="52"/>
      <c r="H296" s="55"/>
      <c r="I296" s="54"/>
      <c r="J296" s="55"/>
      <c r="K296" s="55"/>
      <c r="L296" s="117"/>
      <c r="M296" s="56"/>
      <c r="N296" s="117"/>
      <c r="O296" s="55"/>
      <c r="P296" s="55"/>
      <c r="Q296" s="55"/>
      <c r="R296" s="49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</row>
    <row r="297" spans="1:41" x14ac:dyDescent="0.25">
      <c r="A297" s="46"/>
      <c r="B297" s="114"/>
      <c r="C297" s="114"/>
      <c r="D297" s="191"/>
      <c r="E297" s="191"/>
      <c r="F297" s="116"/>
      <c r="G297" s="52"/>
      <c r="H297" s="55"/>
      <c r="I297" s="54"/>
      <c r="J297" s="55"/>
      <c r="K297" s="55"/>
      <c r="L297" s="117"/>
      <c r="M297" s="56"/>
      <c r="N297" s="117"/>
      <c r="O297" s="55"/>
      <c r="P297" s="55"/>
      <c r="Q297" s="55"/>
      <c r="R297" s="49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</row>
    <row r="298" spans="1:41" x14ac:dyDescent="0.25">
      <c r="A298" s="46"/>
      <c r="B298" s="114"/>
      <c r="C298" s="114"/>
      <c r="D298" s="191"/>
      <c r="E298" s="191"/>
      <c r="F298" s="116"/>
      <c r="G298" s="52"/>
      <c r="H298" s="55"/>
      <c r="I298" s="54"/>
      <c r="J298" s="55"/>
      <c r="K298" s="55"/>
      <c r="L298" s="117"/>
      <c r="M298" s="56"/>
      <c r="N298" s="117"/>
      <c r="O298" s="55"/>
      <c r="P298" s="55"/>
      <c r="Q298" s="55"/>
      <c r="R298" s="49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</row>
    <row r="299" spans="1:41" x14ac:dyDescent="0.25">
      <c r="A299" s="46"/>
      <c r="B299" s="114"/>
      <c r="C299" s="114"/>
      <c r="D299" s="191"/>
      <c r="E299" s="191"/>
      <c r="F299" s="116"/>
      <c r="G299" s="52"/>
      <c r="H299" s="55"/>
      <c r="I299" s="54"/>
      <c r="J299" s="55"/>
      <c r="K299" s="55"/>
      <c r="L299" s="117"/>
      <c r="M299" s="56"/>
      <c r="N299" s="117"/>
      <c r="O299" s="55"/>
      <c r="P299" s="55"/>
      <c r="Q299" s="55"/>
      <c r="R299" s="49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</row>
    <row r="300" spans="1:41" x14ac:dyDescent="0.25">
      <c r="A300" s="46"/>
      <c r="B300" s="114"/>
      <c r="C300" s="114"/>
      <c r="D300" s="191"/>
      <c r="E300" s="191"/>
      <c r="F300" s="116"/>
      <c r="G300" s="52"/>
      <c r="H300" s="55"/>
      <c r="I300" s="54"/>
      <c r="J300" s="55"/>
      <c r="K300" s="55"/>
      <c r="L300" s="117"/>
      <c r="M300" s="56"/>
      <c r="N300" s="117"/>
      <c r="O300" s="55"/>
      <c r="P300" s="55"/>
      <c r="Q300" s="55"/>
      <c r="R300" s="49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</row>
    <row r="301" spans="1:41" x14ac:dyDescent="0.25">
      <c r="A301" s="46"/>
      <c r="B301" s="114"/>
      <c r="C301" s="114"/>
      <c r="D301" s="191"/>
      <c r="E301" s="191"/>
      <c r="F301" s="116"/>
      <c r="G301" s="52"/>
      <c r="H301" s="55"/>
      <c r="I301" s="54"/>
      <c r="J301" s="55"/>
      <c r="K301" s="55"/>
      <c r="L301" s="117"/>
      <c r="M301" s="56"/>
      <c r="N301" s="117"/>
      <c r="O301" s="55"/>
      <c r="P301" s="55"/>
      <c r="Q301" s="55"/>
      <c r="R301" s="49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</row>
    <row r="302" spans="1:41" x14ac:dyDescent="0.25">
      <c r="A302" s="46"/>
      <c r="B302" s="114"/>
      <c r="C302" s="114"/>
      <c r="D302" s="191"/>
      <c r="E302" s="191"/>
      <c r="F302" s="116"/>
      <c r="G302" s="52"/>
      <c r="H302" s="55"/>
      <c r="I302" s="54"/>
      <c r="J302" s="55"/>
      <c r="K302" s="55"/>
      <c r="L302" s="117"/>
      <c r="M302" s="56"/>
      <c r="N302" s="117"/>
      <c r="O302" s="55"/>
      <c r="P302" s="55"/>
      <c r="Q302" s="55"/>
      <c r="R302" s="49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</row>
    <row r="303" spans="1:41" x14ac:dyDescent="0.25">
      <c r="A303" s="46"/>
      <c r="B303" s="114"/>
      <c r="C303" s="114"/>
      <c r="D303" s="191"/>
      <c r="E303" s="191"/>
      <c r="F303" s="116"/>
      <c r="G303" s="52"/>
      <c r="H303" s="55"/>
      <c r="I303" s="54"/>
      <c r="J303" s="55"/>
      <c r="K303" s="55"/>
      <c r="L303" s="117"/>
      <c r="M303" s="56"/>
      <c r="N303" s="117"/>
      <c r="O303" s="55"/>
      <c r="P303" s="55"/>
      <c r="Q303" s="55"/>
      <c r="R303" s="49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</row>
    <row r="304" spans="1:41" x14ac:dyDescent="0.25">
      <c r="A304" s="46"/>
      <c r="B304" s="114"/>
      <c r="C304" s="114"/>
      <c r="D304" s="191"/>
      <c r="E304" s="191"/>
      <c r="F304" s="116"/>
      <c r="G304" s="52"/>
      <c r="H304" s="55"/>
      <c r="I304" s="54"/>
      <c r="J304" s="55"/>
      <c r="K304" s="55"/>
      <c r="L304" s="117"/>
      <c r="M304" s="56"/>
      <c r="N304" s="117"/>
      <c r="O304" s="55"/>
      <c r="P304" s="55"/>
      <c r="Q304" s="55"/>
      <c r="R304" s="49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</row>
    <row r="305" spans="1:41" x14ac:dyDescent="0.25">
      <c r="A305" s="46"/>
      <c r="B305" s="114"/>
      <c r="C305" s="114"/>
      <c r="D305" s="191"/>
      <c r="E305" s="191"/>
      <c r="F305" s="116"/>
      <c r="G305" s="52"/>
      <c r="H305" s="55"/>
      <c r="I305" s="54"/>
      <c r="J305" s="55"/>
      <c r="K305" s="55"/>
      <c r="L305" s="117"/>
      <c r="M305" s="56"/>
      <c r="N305" s="117"/>
      <c r="O305" s="55"/>
      <c r="P305" s="55"/>
      <c r="Q305" s="55"/>
      <c r="R305" s="49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</row>
    <row r="306" spans="1:41" x14ac:dyDescent="0.25">
      <c r="A306" s="46"/>
      <c r="B306" s="114"/>
      <c r="C306" s="114"/>
      <c r="D306" s="191"/>
      <c r="E306" s="191"/>
      <c r="F306" s="116"/>
      <c r="G306" s="52"/>
      <c r="H306" s="55"/>
      <c r="I306" s="54"/>
      <c r="J306" s="55"/>
      <c r="K306" s="55"/>
      <c r="L306" s="117"/>
      <c r="M306" s="56"/>
      <c r="N306" s="117"/>
      <c r="O306" s="55"/>
      <c r="P306" s="55"/>
      <c r="Q306" s="55"/>
      <c r="R306" s="49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</row>
    <row r="307" spans="1:41" x14ac:dyDescent="0.25">
      <c r="A307" s="46"/>
      <c r="B307" s="114"/>
      <c r="C307" s="114"/>
      <c r="D307" s="191"/>
      <c r="E307" s="191"/>
      <c r="F307" s="116"/>
      <c r="G307" s="52"/>
      <c r="H307" s="55"/>
      <c r="I307" s="54"/>
      <c r="J307" s="55"/>
      <c r="K307" s="55"/>
      <c r="L307" s="117"/>
      <c r="M307" s="56"/>
      <c r="N307" s="117"/>
      <c r="O307" s="55"/>
      <c r="P307" s="55"/>
      <c r="Q307" s="55"/>
      <c r="R307" s="49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</row>
    <row r="308" spans="1:41" x14ac:dyDescent="0.25">
      <c r="A308" s="46"/>
      <c r="B308" s="114"/>
      <c r="C308" s="114"/>
      <c r="D308" s="191"/>
      <c r="E308" s="191"/>
      <c r="F308" s="116"/>
      <c r="G308" s="52"/>
      <c r="H308" s="55"/>
      <c r="I308" s="54"/>
      <c r="J308" s="55"/>
      <c r="K308" s="55"/>
      <c r="L308" s="117"/>
      <c r="M308" s="56"/>
      <c r="N308" s="117"/>
      <c r="O308" s="55"/>
      <c r="P308" s="55"/>
      <c r="Q308" s="55"/>
      <c r="R308" s="49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</row>
    <row r="309" spans="1:41" x14ac:dyDescent="0.25">
      <c r="A309" s="46"/>
      <c r="B309" s="114"/>
      <c r="C309" s="114"/>
      <c r="D309" s="191"/>
      <c r="E309" s="191"/>
      <c r="F309" s="116"/>
      <c r="G309" s="52"/>
      <c r="H309" s="55"/>
      <c r="I309" s="54"/>
      <c r="J309" s="55"/>
      <c r="K309" s="55"/>
      <c r="L309" s="117"/>
      <c r="M309" s="56"/>
      <c r="N309" s="117"/>
      <c r="O309" s="55"/>
      <c r="P309" s="55"/>
      <c r="Q309" s="55"/>
      <c r="R309" s="49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</row>
    <row r="310" spans="1:41" x14ac:dyDescent="0.25">
      <c r="A310" s="46"/>
      <c r="B310" s="114"/>
      <c r="C310" s="114"/>
      <c r="D310" s="191"/>
      <c r="E310" s="191"/>
      <c r="F310" s="116"/>
      <c r="G310" s="52"/>
      <c r="H310" s="55"/>
      <c r="I310" s="54"/>
      <c r="J310" s="55"/>
      <c r="K310" s="55"/>
      <c r="L310" s="117"/>
      <c r="M310" s="56"/>
      <c r="N310" s="117"/>
      <c r="O310" s="55"/>
      <c r="P310" s="55"/>
      <c r="Q310" s="55"/>
      <c r="R310" s="49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</row>
    <row r="311" spans="1:41" x14ac:dyDescent="0.25">
      <c r="A311" s="46"/>
      <c r="B311" s="114"/>
      <c r="C311" s="114"/>
      <c r="D311" s="191"/>
      <c r="E311" s="191"/>
      <c r="F311" s="116"/>
      <c r="G311" s="52"/>
      <c r="H311" s="55"/>
      <c r="I311" s="54"/>
      <c r="J311" s="55"/>
      <c r="K311" s="55"/>
      <c r="L311" s="117"/>
      <c r="M311" s="56"/>
      <c r="N311" s="117"/>
      <c r="O311" s="55"/>
      <c r="P311" s="55"/>
      <c r="Q311" s="55"/>
      <c r="R311" s="49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</row>
    <row r="312" spans="1:41" x14ac:dyDescent="0.25">
      <c r="A312" s="46"/>
      <c r="B312" s="114"/>
      <c r="C312" s="114"/>
      <c r="D312" s="191"/>
      <c r="E312" s="191"/>
      <c r="F312" s="116"/>
      <c r="G312" s="52"/>
      <c r="H312" s="55"/>
      <c r="I312" s="54"/>
      <c r="J312" s="55"/>
      <c r="K312" s="55"/>
      <c r="L312" s="117"/>
      <c r="M312" s="56"/>
      <c r="N312" s="117"/>
      <c r="O312" s="55"/>
      <c r="P312" s="55"/>
      <c r="Q312" s="55"/>
      <c r="R312" s="49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</row>
    <row r="313" spans="1:41" x14ac:dyDescent="0.25">
      <c r="A313" s="46"/>
      <c r="B313" s="114"/>
      <c r="C313" s="114"/>
      <c r="D313" s="191"/>
      <c r="E313" s="191"/>
      <c r="F313" s="116"/>
      <c r="G313" s="52"/>
      <c r="H313" s="55"/>
      <c r="I313" s="54"/>
      <c r="J313" s="55"/>
      <c r="K313" s="55"/>
      <c r="L313" s="117"/>
      <c r="M313" s="56"/>
      <c r="N313" s="117"/>
      <c r="O313" s="55"/>
      <c r="P313" s="55"/>
      <c r="Q313" s="55"/>
      <c r="R313" s="49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</row>
    <row r="314" spans="1:41" x14ac:dyDescent="0.25">
      <c r="A314" s="46"/>
      <c r="B314" s="114"/>
      <c r="C314" s="114"/>
      <c r="D314" s="191"/>
      <c r="E314" s="191"/>
      <c r="F314" s="116"/>
      <c r="G314" s="52"/>
      <c r="H314" s="55"/>
      <c r="I314" s="54"/>
      <c r="J314" s="55"/>
      <c r="K314" s="55"/>
      <c r="L314" s="117"/>
      <c r="M314" s="56"/>
      <c r="N314" s="117"/>
      <c r="O314" s="55"/>
      <c r="P314" s="55"/>
      <c r="Q314" s="55"/>
      <c r="R314" s="49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</row>
    <row r="315" spans="1:41" x14ac:dyDescent="0.25">
      <c r="A315" s="46"/>
      <c r="B315" s="114"/>
      <c r="C315" s="114"/>
      <c r="D315" s="191"/>
      <c r="E315" s="191"/>
      <c r="F315" s="116"/>
      <c r="G315" s="52"/>
      <c r="H315" s="55"/>
      <c r="I315" s="54"/>
      <c r="J315" s="55"/>
      <c r="K315" s="55"/>
      <c r="L315" s="117"/>
      <c r="M315" s="56"/>
      <c r="N315" s="117"/>
      <c r="O315" s="55"/>
      <c r="P315" s="55"/>
      <c r="Q315" s="55"/>
      <c r="R315" s="49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</row>
    <row r="316" spans="1:41" x14ac:dyDescent="0.25">
      <c r="A316" s="46"/>
      <c r="B316" s="114"/>
      <c r="C316" s="114"/>
      <c r="D316" s="191"/>
      <c r="E316" s="191"/>
      <c r="F316" s="116"/>
      <c r="G316" s="52"/>
      <c r="H316" s="55"/>
      <c r="I316" s="54"/>
      <c r="J316" s="55"/>
      <c r="K316" s="55"/>
      <c r="L316" s="117"/>
      <c r="M316" s="56"/>
      <c r="N316" s="117"/>
      <c r="O316" s="55"/>
      <c r="P316" s="55"/>
      <c r="Q316" s="55"/>
      <c r="R316" s="49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</row>
    <row r="317" spans="1:41" x14ac:dyDescent="0.25">
      <c r="A317" s="46"/>
      <c r="B317" s="114"/>
      <c r="C317" s="114"/>
      <c r="D317" s="191"/>
      <c r="E317" s="191"/>
      <c r="F317" s="116"/>
      <c r="G317" s="52"/>
      <c r="H317" s="55"/>
      <c r="I317" s="54"/>
      <c r="J317" s="55"/>
      <c r="K317" s="55"/>
      <c r="L317" s="117"/>
      <c r="M317" s="56"/>
      <c r="N317" s="117"/>
      <c r="O317" s="55"/>
      <c r="P317" s="55"/>
      <c r="Q317" s="55"/>
      <c r="R317" s="49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</row>
    <row r="318" spans="1:41" x14ac:dyDescent="0.25">
      <c r="A318" s="46"/>
      <c r="B318" s="114"/>
      <c r="C318" s="114"/>
      <c r="D318" s="191"/>
      <c r="E318" s="191"/>
      <c r="F318" s="116"/>
      <c r="G318" s="52"/>
      <c r="H318" s="55"/>
      <c r="I318" s="54"/>
      <c r="J318" s="55"/>
      <c r="K318" s="55"/>
      <c r="L318" s="117"/>
      <c r="M318" s="56"/>
      <c r="N318" s="117"/>
      <c r="O318" s="55"/>
      <c r="P318" s="55"/>
      <c r="Q318" s="55"/>
      <c r="R318" s="49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</row>
    <row r="319" spans="1:41" x14ac:dyDescent="0.25">
      <c r="A319" s="46"/>
      <c r="B319" s="114"/>
      <c r="C319" s="114"/>
      <c r="D319" s="191"/>
      <c r="E319" s="191"/>
      <c r="F319" s="116"/>
      <c r="G319" s="52"/>
      <c r="H319" s="55"/>
      <c r="I319" s="54"/>
      <c r="J319" s="55"/>
      <c r="K319" s="55"/>
      <c r="L319" s="117"/>
      <c r="M319" s="56"/>
      <c r="N319" s="117"/>
      <c r="O319" s="55"/>
      <c r="P319" s="55"/>
      <c r="Q319" s="55"/>
      <c r="R319" s="49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</row>
    <row r="320" spans="1:41" x14ac:dyDescent="0.25">
      <c r="A320" s="46"/>
      <c r="B320" s="114"/>
      <c r="C320" s="114"/>
      <c r="D320" s="191"/>
      <c r="E320" s="191"/>
      <c r="F320" s="116"/>
      <c r="G320" s="52"/>
      <c r="H320" s="55"/>
      <c r="I320" s="54"/>
      <c r="J320" s="55"/>
      <c r="K320" s="55"/>
      <c r="L320" s="117"/>
      <c r="M320" s="56"/>
      <c r="N320" s="117"/>
      <c r="O320" s="55"/>
      <c r="P320" s="55"/>
      <c r="Q320" s="55"/>
      <c r="R320" s="49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</row>
    <row r="321" spans="1:41" x14ac:dyDescent="0.25">
      <c r="A321" s="46"/>
      <c r="B321" s="114"/>
      <c r="C321" s="114"/>
      <c r="D321" s="191"/>
      <c r="E321" s="191"/>
      <c r="F321" s="116"/>
      <c r="G321" s="52"/>
      <c r="H321" s="55"/>
      <c r="I321" s="54"/>
      <c r="J321" s="55"/>
      <c r="K321" s="55"/>
      <c r="L321" s="117"/>
      <c r="M321" s="56"/>
      <c r="N321" s="117"/>
      <c r="O321" s="55"/>
      <c r="P321" s="55"/>
      <c r="Q321" s="55"/>
      <c r="R321" s="49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</row>
    <row r="322" spans="1:41" x14ac:dyDescent="0.25">
      <c r="A322" s="46"/>
      <c r="B322" s="114"/>
      <c r="C322" s="114"/>
      <c r="D322" s="191"/>
      <c r="E322" s="191"/>
      <c r="F322" s="116"/>
      <c r="G322" s="52"/>
      <c r="H322" s="55"/>
      <c r="I322" s="54"/>
      <c r="J322" s="55"/>
      <c r="K322" s="55"/>
      <c r="L322" s="117"/>
      <c r="M322" s="56"/>
      <c r="N322" s="117"/>
      <c r="O322" s="55"/>
      <c r="P322" s="55"/>
      <c r="Q322" s="55"/>
      <c r="R322" s="49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</row>
    <row r="323" spans="1:41" x14ac:dyDescent="0.25">
      <c r="A323" s="46"/>
      <c r="B323" s="114"/>
      <c r="C323" s="114"/>
      <c r="D323" s="191"/>
      <c r="E323" s="191"/>
      <c r="F323" s="116"/>
      <c r="G323" s="52"/>
      <c r="H323" s="55"/>
      <c r="I323" s="54"/>
      <c r="J323" s="55"/>
      <c r="K323" s="55"/>
      <c r="L323" s="117"/>
      <c r="M323" s="56"/>
      <c r="N323" s="117"/>
      <c r="O323" s="55"/>
      <c r="P323" s="55"/>
      <c r="Q323" s="55"/>
      <c r="R323" s="49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</row>
    <row r="324" spans="1:41" x14ac:dyDescent="0.25">
      <c r="A324" s="46"/>
      <c r="B324" s="114"/>
      <c r="C324" s="114"/>
      <c r="D324" s="191"/>
      <c r="E324" s="191"/>
      <c r="F324" s="116"/>
      <c r="G324" s="52"/>
      <c r="H324" s="55"/>
      <c r="I324" s="54"/>
      <c r="J324" s="55"/>
      <c r="K324" s="55"/>
      <c r="L324" s="117"/>
      <c r="M324" s="56"/>
      <c r="N324" s="117"/>
      <c r="O324" s="55"/>
      <c r="P324" s="55"/>
      <c r="Q324" s="55"/>
      <c r="R324" s="49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</row>
    <row r="325" spans="1:41" x14ac:dyDescent="0.25">
      <c r="A325" s="46"/>
      <c r="B325" s="114"/>
      <c r="C325" s="114"/>
      <c r="D325" s="191"/>
      <c r="E325" s="191"/>
      <c r="F325" s="116"/>
      <c r="G325" s="52"/>
      <c r="H325" s="55"/>
      <c r="I325" s="54"/>
      <c r="J325" s="55"/>
      <c r="K325" s="55"/>
      <c r="L325" s="117"/>
      <c r="M325" s="56"/>
      <c r="N325" s="117"/>
      <c r="O325" s="55"/>
      <c r="P325" s="55"/>
      <c r="Q325" s="55"/>
      <c r="R325" s="49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</row>
    <row r="326" spans="1:41" x14ac:dyDescent="0.25">
      <c r="A326" s="46"/>
      <c r="B326" s="114"/>
      <c r="C326" s="114"/>
      <c r="D326" s="191"/>
      <c r="E326" s="191"/>
      <c r="F326" s="116"/>
      <c r="G326" s="52"/>
      <c r="H326" s="55"/>
      <c r="I326" s="54"/>
      <c r="J326" s="55"/>
      <c r="K326" s="55"/>
      <c r="L326" s="117"/>
      <c r="M326" s="56"/>
      <c r="N326" s="117"/>
      <c r="O326" s="55"/>
      <c r="P326" s="55"/>
      <c r="Q326" s="55"/>
      <c r="R326" s="49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</row>
    <row r="327" spans="1:41" x14ac:dyDescent="0.25">
      <c r="A327" s="46"/>
      <c r="B327" s="114"/>
      <c r="C327" s="114"/>
      <c r="D327" s="191"/>
      <c r="E327" s="191"/>
      <c r="F327" s="116"/>
      <c r="G327" s="52"/>
      <c r="H327" s="55"/>
      <c r="I327" s="54"/>
      <c r="J327" s="55"/>
      <c r="K327" s="55"/>
      <c r="L327" s="117"/>
      <c r="M327" s="56"/>
      <c r="N327" s="117"/>
      <c r="O327" s="55"/>
      <c r="P327" s="55"/>
      <c r="Q327" s="55"/>
      <c r="R327" s="49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</row>
    <row r="328" spans="1:41" x14ac:dyDescent="0.25">
      <c r="A328" s="46"/>
      <c r="B328" s="114"/>
      <c r="C328" s="114"/>
      <c r="D328" s="191"/>
      <c r="E328" s="191"/>
      <c r="F328" s="116"/>
      <c r="G328" s="52"/>
      <c r="H328" s="55"/>
      <c r="I328" s="54"/>
      <c r="J328" s="55"/>
      <c r="K328" s="55"/>
      <c r="L328" s="117"/>
      <c r="M328" s="56"/>
      <c r="N328" s="117"/>
      <c r="O328" s="55"/>
      <c r="P328" s="55"/>
      <c r="Q328" s="55"/>
      <c r="R328" s="49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</row>
    <row r="329" spans="1:41" x14ac:dyDescent="0.25">
      <c r="A329" s="46"/>
      <c r="B329" s="114"/>
      <c r="C329" s="114"/>
      <c r="D329" s="191"/>
      <c r="E329" s="191"/>
      <c r="F329" s="116"/>
      <c r="G329" s="52"/>
      <c r="H329" s="55"/>
      <c r="I329" s="54"/>
      <c r="J329" s="55"/>
      <c r="K329" s="55"/>
      <c r="L329" s="117"/>
      <c r="M329" s="56"/>
      <c r="N329" s="117"/>
      <c r="O329" s="55"/>
      <c r="P329" s="55"/>
      <c r="Q329" s="55"/>
      <c r="R329" s="49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</row>
    <row r="330" spans="1:41" x14ac:dyDescent="0.25">
      <c r="A330" s="46"/>
      <c r="B330" s="114"/>
      <c r="C330" s="114"/>
      <c r="D330" s="191"/>
      <c r="E330" s="191"/>
      <c r="F330" s="116"/>
      <c r="G330" s="52"/>
      <c r="H330" s="55"/>
      <c r="I330" s="54"/>
      <c r="J330" s="55"/>
      <c r="K330" s="55"/>
      <c r="L330" s="117"/>
      <c r="M330" s="56"/>
      <c r="N330" s="117"/>
      <c r="O330" s="55"/>
      <c r="P330" s="55"/>
      <c r="Q330" s="55"/>
      <c r="R330" s="49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</row>
    <row r="331" spans="1:41" x14ac:dyDescent="0.25">
      <c r="A331" s="46"/>
      <c r="B331" s="114"/>
      <c r="C331" s="114"/>
      <c r="D331" s="191"/>
      <c r="E331" s="191"/>
      <c r="F331" s="116"/>
      <c r="G331" s="52"/>
      <c r="H331" s="55"/>
      <c r="I331" s="54"/>
      <c r="J331" s="55"/>
      <c r="K331" s="55"/>
      <c r="L331" s="117"/>
      <c r="M331" s="56"/>
      <c r="N331" s="117"/>
      <c r="O331" s="55"/>
      <c r="P331" s="55"/>
      <c r="Q331" s="55"/>
      <c r="R331" s="49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</row>
    <row r="332" spans="1:41" x14ac:dyDescent="0.25">
      <c r="A332" s="46"/>
      <c r="B332" s="114"/>
      <c r="C332" s="114"/>
      <c r="D332" s="191"/>
      <c r="E332" s="191"/>
      <c r="F332" s="116"/>
      <c r="G332" s="52"/>
      <c r="H332" s="55"/>
      <c r="I332" s="54"/>
      <c r="J332" s="55"/>
      <c r="K332" s="55"/>
      <c r="L332" s="117"/>
      <c r="M332" s="56"/>
      <c r="N332" s="117"/>
      <c r="O332" s="55"/>
      <c r="P332" s="55"/>
      <c r="Q332" s="55"/>
      <c r="R332" s="49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</row>
    <row r="333" spans="1:41" x14ac:dyDescent="0.25">
      <c r="A333" s="46"/>
      <c r="B333" s="114"/>
      <c r="C333" s="114"/>
      <c r="D333" s="191"/>
      <c r="E333" s="191"/>
      <c r="F333" s="116"/>
      <c r="G333" s="52"/>
      <c r="H333" s="55"/>
      <c r="I333" s="54"/>
      <c r="J333" s="55"/>
      <c r="K333" s="55"/>
      <c r="L333" s="117"/>
      <c r="M333" s="56"/>
      <c r="N333" s="117"/>
      <c r="O333" s="55"/>
      <c r="P333" s="55"/>
      <c r="Q333" s="55"/>
      <c r="R333" s="49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</row>
    <row r="334" spans="1:41" x14ac:dyDescent="0.25">
      <c r="A334" s="46"/>
      <c r="B334" s="114"/>
      <c r="C334" s="114"/>
      <c r="D334" s="191"/>
      <c r="E334" s="191"/>
      <c r="F334" s="116"/>
      <c r="G334" s="52"/>
      <c r="H334" s="55"/>
      <c r="I334" s="54"/>
      <c r="J334" s="55"/>
      <c r="K334" s="55"/>
      <c r="L334" s="117"/>
      <c r="M334" s="56"/>
      <c r="N334" s="117"/>
      <c r="O334" s="55"/>
      <c r="P334" s="55"/>
      <c r="Q334" s="55"/>
      <c r="R334" s="49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</row>
    <row r="335" spans="1:41" x14ac:dyDescent="0.25">
      <c r="A335" s="46"/>
      <c r="B335" s="114"/>
      <c r="C335" s="114"/>
      <c r="D335" s="191"/>
      <c r="E335" s="191"/>
      <c r="F335" s="116"/>
      <c r="G335" s="52"/>
      <c r="H335" s="55"/>
      <c r="I335" s="54"/>
      <c r="J335" s="55"/>
      <c r="K335" s="55"/>
      <c r="L335" s="117"/>
      <c r="M335" s="56"/>
      <c r="N335" s="117"/>
      <c r="O335" s="55"/>
      <c r="P335" s="55"/>
      <c r="Q335" s="55"/>
      <c r="R335" s="49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</row>
    <row r="336" spans="1:41" x14ac:dyDescent="0.25">
      <c r="A336" s="46"/>
      <c r="B336" s="114"/>
      <c r="C336" s="114"/>
      <c r="D336" s="191"/>
      <c r="E336" s="191"/>
      <c r="F336" s="116"/>
      <c r="G336" s="52"/>
      <c r="H336" s="55"/>
      <c r="I336" s="54"/>
      <c r="J336" s="55"/>
      <c r="K336" s="55"/>
      <c r="L336" s="117"/>
      <c r="M336" s="56"/>
      <c r="N336" s="117"/>
      <c r="O336" s="55"/>
      <c r="P336" s="55"/>
      <c r="Q336" s="55"/>
      <c r="R336" s="49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</row>
    <row r="337" spans="1:41" x14ac:dyDescent="0.25">
      <c r="A337" s="46"/>
      <c r="B337" s="114"/>
      <c r="C337" s="114"/>
      <c r="D337" s="191"/>
      <c r="E337" s="191"/>
      <c r="F337" s="116"/>
      <c r="G337" s="52"/>
      <c r="H337" s="55"/>
      <c r="I337" s="54"/>
      <c r="J337" s="55"/>
      <c r="K337" s="55"/>
      <c r="L337" s="117"/>
      <c r="M337" s="56"/>
      <c r="N337" s="117"/>
      <c r="O337" s="55"/>
      <c r="P337" s="55"/>
      <c r="Q337" s="55"/>
      <c r="R337" s="49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</row>
    <row r="338" spans="1:41" x14ac:dyDescent="0.25">
      <c r="A338" s="46"/>
      <c r="B338" s="114"/>
      <c r="C338" s="114"/>
      <c r="D338" s="191"/>
      <c r="E338" s="191"/>
      <c r="F338" s="116"/>
      <c r="G338" s="52"/>
      <c r="H338" s="55"/>
      <c r="I338" s="54"/>
      <c r="J338" s="55"/>
      <c r="K338" s="55"/>
      <c r="L338" s="117"/>
      <c r="M338" s="56"/>
      <c r="N338" s="117"/>
      <c r="O338" s="55"/>
      <c r="P338" s="55"/>
      <c r="Q338" s="55"/>
      <c r="R338" s="49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</row>
    <row r="339" spans="1:41" x14ac:dyDescent="0.25">
      <c r="A339" s="46"/>
      <c r="B339" s="114"/>
      <c r="C339" s="114"/>
      <c r="D339" s="191"/>
      <c r="E339" s="191"/>
      <c r="F339" s="116"/>
      <c r="G339" s="52"/>
      <c r="H339" s="55"/>
      <c r="I339" s="54"/>
      <c r="J339" s="55"/>
      <c r="K339" s="55"/>
      <c r="L339" s="117"/>
      <c r="M339" s="56"/>
      <c r="N339" s="117"/>
      <c r="O339" s="55"/>
      <c r="P339" s="55"/>
      <c r="Q339" s="55"/>
      <c r="R339" s="49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</row>
    <row r="340" spans="1:41" x14ac:dyDescent="0.25">
      <c r="A340" s="46"/>
      <c r="B340" s="114"/>
      <c r="C340" s="114"/>
      <c r="D340" s="191"/>
      <c r="E340" s="191"/>
      <c r="F340" s="116"/>
      <c r="G340" s="52"/>
      <c r="H340" s="55"/>
      <c r="I340" s="54"/>
      <c r="J340" s="55"/>
      <c r="K340" s="55"/>
      <c r="L340" s="117"/>
      <c r="M340" s="56"/>
      <c r="N340" s="117"/>
      <c r="O340" s="55"/>
      <c r="P340" s="55"/>
      <c r="Q340" s="55"/>
      <c r="R340" s="49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</row>
    <row r="341" spans="1:41" x14ac:dyDescent="0.25">
      <c r="A341" s="46"/>
      <c r="B341" s="114"/>
      <c r="C341" s="114"/>
      <c r="D341" s="191"/>
      <c r="E341" s="191"/>
      <c r="F341" s="116"/>
      <c r="G341" s="52"/>
      <c r="H341" s="55"/>
      <c r="I341" s="54"/>
      <c r="J341" s="55"/>
      <c r="K341" s="55"/>
      <c r="L341" s="117"/>
      <c r="M341" s="56"/>
      <c r="N341" s="117"/>
      <c r="O341" s="55"/>
      <c r="P341" s="55"/>
      <c r="Q341" s="55"/>
      <c r="R341" s="49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</row>
    <row r="342" spans="1:41" x14ac:dyDescent="0.25">
      <c r="A342" s="46"/>
      <c r="B342" s="114"/>
      <c r="C342" s="114"/>
      <c r="D342" s="191"/>
      <c r="E342" s="191"/>
      <c r="F342" s="116"/>
      <c r="G342" s="52"/>
      <c r="H342" s="55"/>
      <c r="I342" s="54"/>
      <c r="J342" s="55"/>
      <c r="K342" s="55"/>
      <c r="L342" s="117"/>
      <c r="M342" s="56"/>
      <c r="N342" s="117"/>
      <c r="O342" s="55"/>
      <c r="P342" s="55"/>
      <c r="Q342" s="55"/>
      <c r="R342" s="49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</row>
    <row r="343" spans="1:41" x14ac:dyDescent="0.25">
      <c r="A343" s="46"/>
      <c r="B343" s="114"/>
      <c r="C343" s="114"/>
      <c r="D343" s="191"/>
      <c r="E343" s="191"/>
      <c r="F343" s="116"/>
      <c r="G343" s="52"/>
      <c r="H343" s="55"/>
      <c r="I343" s="54"/>
      <c r="J343" s="55"/>
      <c r="K343" s="55"/>
      <c r="L343" s="117"/>
      <c r="M343" s="56"/>
      <c r="N343" s="117"/>
      <c r="O343" s="55"/>
      <c r="P343" s="55"/>
      <c r="Q343" s="55"/>
      <c r="R343" s="49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</row>
    <row r="344" spans="1:41" x14ac:dyDescent="0.25">
      <c r="A344" s="46"/>
      <c r="B344" s="114"/>
      <c r="C344" s="114"/>
      <c r="D344" s="191"/>
      <c r="E344" s="191"/>
      <c r="F344" s="116"/>
      <c r="G344" s="52"/>
      <c r="H344" s="55"/>
      <c r="I344" s="54"/>
      <c r="J344" s="55"/>
      <c r="K344" s="55"/>
      <c r="L344" s="117"/>
      <c r="M344" s="56"/>
      <c r="N344" s="117"/>
      <c r="O344" s="55"/>
      <c r="P344" s="55"/>
      <c r="Q344" s="55"/>
      <c r="R344" s="49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</row>
    <row r="345" spans="1:41" x14ac:dyDescent="0.25">
      <c r="A345" s="46"/>
      <c r="B345" s="114"/>
      <c r="C345" s="114"/>
      <c r="D345" s="191"/>
      <c r="E345" s="191"/>
      <c r="F345" s="116"/>
      <c r="G345" s="52"/>
      <c r="H345" s="55"/>
      <c r="I345" s="54"/>
      <c r="J345" s="55"/>
      <c r="K345" s="55"/>
      <c r="L345" s="117"/>
      <c r="M345" s="56"/>
      <c r="N345" s="117"/>
      <c r="O345" s="55"/>
      <c r="P345" s="55"/>
      <c r="Q345" s="55"/>
      <c r="R345" s="49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</row>
    <row r="346" spans="1:41" x14ac:dyDescent="0.25">
      <c r="A346" s="46"/>
      <c r="B346" s="114"/>
      <c r="C346" s="114"/>
      <c r="D346" s="191"/>
      <c r="E346" s="191"/>
      <c r="F346" s="116"/>
      <c r="G346" s="52"/>
      <c r="H346" s="55"/>
      <c r="I346" s="54"/>
      <c r="J346" s="55"/>
      <c r="K346" s="55"/>
      <c r="L346" s="117"/>
      <c r="M346" s="56"/>
      <c r="N346" s="117"/>
      <c r="O346" s="55"/>
      <c r="P346" s="55"/>
      <c r="Q346" s="55"/>
      <c r="R346" s="49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</row>
    <row r="347" spans="1:41" x14ac:dyDescent="0.25">
      <c r="A347" s="46"/>
      <c r="B347" s="114"/>
      <c r="C347" s="114"/>
      <c r="D347" s="191"/>
      <c r="E347" s="191"/>
      <c r="F347" s="116"/>
      <c r="G347" s="52"/>
      <c r="H347" s="55"/>
      <c r="I347" s="54"/>
      <c r="J347" s="55"/>
      <c r="K347" s="55"/>
      <c r="L347" s="117"/>
      <c r="M347" s="56"/>
      <c r="N347" s="117"/>
      <c r="O347" s="55"/>
      <c r="P347" s="55"/>
      <c r="Q347" s="55"/>
      <c r="R347" s="49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</row>
    <row r="348" spans="1:41" x14ac:dyDescent="0.25">
      <c r="A348" s="46"/>
      <c r="B348" s="114"/>
      <c r="C348" s="114"/>
      <c r="D348" s="191"/>
      <c r="E348" s="191"/>
      <c r="F348" s="116"/>
      <c r="G348" s="52"/>
      <c r="H348" s="55"/>
      <c r="I348" s="54"/>
      <c r="J348" s="55"/>
      <c r="K348" s="55"/>
      <c r="L348" s="117"/>
      <c r="M348" s="56"/>
      <c r="N348" s="117"/>
      <c r="O348" s="55"/>
      <c r="P348" s="55"/>
      <c r="Q348" s="55"/>
      <c r="R348" s="49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</row>
    <row r="349" spans="1:41" x14ac:dyDescent="0.25">
      <c r="A349" s="46"/>
      <c r="B349" s="114"/>
      <c r="C349" s="114"/>
      <c r="D349" s="191"/>
      <c r="E349" s="191"/>
      <c r="F349" s="116"/>
      <c r="G349" s="52"/>
      <c r="H349" s="55"/>
      <c r="I349" s="54"/>
      <c r="J349" s="55"/>
      <c r="K349" s="55"/>
      <c r="L349" s="117"/>
      <c r="M349" s="56"/>
      <c r="N349" s="117"/>
      <c r="O349" s="55"/>
      <c r="P349" s="55"/>
      <c r="Q349" s="55"/>
      <c r="R349" s="49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</row>
    <row r="350" spans="1:41" x14ac:dyDescent="0.25">
      <c r="A350" s="46"/>
      <c r="B350" s="114"/>
      <c r="C350" s="114"/>
      <c r="D350" s="191"/>
      <c r="E350" s="191"/>
      <c r="F350" s="116"/>
      <c r="G350" s="52"/>
      <c r="H350" s="55"/>
      <c r="I350" s="54"/>
      <c r="J350" s="55"/>
      <c r="K350" s="55"/>
      <c r="L350" s="117"/>
      <c r="M350" s="56"/>
      <c r="N350" s="117"/>
      <c r="O350" s="55"/>
      <c r="P350" s="55"/>
      <c r="Q350" s="55"/>
      <c r="R350" s="49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</row>
    <row r="351" spans="1:41" x14ac:dyDescent="0.25">
      <c r="A351" s="46"/>
      <c r="B351" s="114"/>
      <c r="C351" s="114"/>
      <c r="D351" s="191"/>
      <c r="E351" s="191"/>
      <c r="F351" s="116"/>
      <c r="G351" s="52"/>
      <c r="H351" s="55"/>
      <c r="I351" s="54"/>
      <c r="J351" s="55"/>
      <c r="K351" s="55"/>
      <c r="L351" s="117"/>
      <c r="M351" s="56"/>
      <c r="N351" s="117"/>
      <c r="O351" s="55"/>
      <c r="P351" s="55"/>
      <c r="Q351" s="55"/>
      <c r="R351" s="49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</row>
    <row r="352" spans="1:41" x14ac:dyDescent="0.25">
      <c r="A352" s="46"/>
      <c r="B352" s="114"/>
      <c r="C352" s="114"/>
      <c r="D352" s="191"/>
      <c r="E352" s="191"/>
      <c r="F352" s="116"/>
      <c r="G352" s="52"/>
      <c r="H352" s="55"/>
      <c r="I352" s="54"/>
      <c r="J352" s="55"/>
      <c r="K352" s="55"/>
      <c r="L352" s="117"/>
      <c r="M352" s="56"/>
      <c r="N352" s="117"/>
      <c r="O352" s="55"/>
      <c r="P352" s="55"/>
      <c r="Q352" s="55"/>
      <c r="R352" s="49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</row>
    <row r="353" spans="1:41" x14ac:dyDescent="0.25">
      <c r="A353" s="46"/>
      <c r="B353" s="114"/>
      <c r="C353" s="114"/>
      <c r="D353" s="191"/>
      <c r="E353" s="191"/>
      <c r="F353" s="116"/>
      <c r="G353" s="52"/>
      <c r="H353" s="55"/>
      <c r="I353" s="54"/>
      <c r="J353" s="55"/>
      <c r="K353" s="55"/>
      <c r="L353" s="117"/>
      <c r="M353" s="56"/>
      <c r="N353" s="117"/>
      <c r="O353" s="55"/>
      <c r="P353" s="55"/>
      <c r="Q353" s="55"/>
      <c r="R353" s="49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</row>
    <row r="354" spans="1:41" x14ac:dyDescent="0.25">
      <c r="A354" s="46"/>
      <c r="B354" s="114"/>
      <c r="C354" s="114"/>
      <c r="D354" s="191"/>
      <c r="E354" s="191"/>
      <c r="F354" s="116"/>
      <c r="G354" s="52"/>
      <c r="H354" s="55"/>
      <c r="I354" s="54"/>
      <c r="J354" s="55"/>
      <c r="K354" s="55"/>
      <c r="L354" s="117"/>
      <c r="M354" s="56"/>
      <c r="N354" s="117"/>
      <c r="O354" s="55"/>
      <c r="P354" s="55"/>
      <c r="Q354" s="55"/>
      <c r="R354" s="49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</row>
    <row r="355" spans="1:41" x14ac:dyDescent="0.25">
      <c r="A355" s="46"/>
      <c r="B355" s="114"/>
      <c r="C355" s="114"/>
      <c r="D355" s="191"/>
      <c r="E355" s="191"/>
      <c r="F355" s="116"/>
      <c r="G355" s="52"/>
      <c r="H355" s="55"/>
      <c r="I355" s="54"/>
      <c r="J355" s="55"/>
      <c r="K355" s="55"/>
      <c r="L355" s="117"/>
      <c r="M355" s="56"/>
      <c r="N355" s="117"/>
      <c r="O355" s="55"/>
      <c r="P355" s="55"/>
      <c r="Q355" s="55"/>
      <c r="R355" s="49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</row>
    <row r="356" spans="1:41" x14ac:dyDescent="0.25">
      <c r="A356" s="46"/>
      <c r="B356" s="114"/>
      <c r="C356" s="114"/>
      <c r="D356" s="191"/>
      <c r="E356" s="191"/>
      <c r="F356" s="116"/>
      <c r="G356" s="52"/>
      <c r="H356" s="55"/>
      <c r="I356" s="54"/>
      <c r="J356" s="55"/>
      <c r="K356" s="55"/>
      <c r="L356" s="117"/>
      <c r="M356" s="56"/>
      <c r="N356" s="117"/>
      <c r="O356" s="55"/>
      <c r="P356" s="55"/>
      <c r="Q356" s="55"/>
      <c r="R356" s="49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</row>
    <row r="357" spans="1:41" x14ac:dyDescent="0.25">
      <c r="A357" s="46"/>
      <c r="B357" s="114"/>
      <c r="C357" s="114"/>
      <c r="D357" s="191"/>
      <c r="E357" s="191"/>
      <c r="F357" s="116"/>
      <c r="G357" s="52"/>
      <c r="H357" s="55"/>
      <c r="I357" s="54"/>
      <c r="J357" s="55"/>
      <c r="K357" s="55"/>
      <c r="L357" s="117"/>
      <c r="M357" s="56"/>
      <c r="N357" s="117"/>
      <c r="O357" s="55"/>
      <c r="P357" s="55"/>
      <c r="Q357" s="55"/>
      <c r="R357" s="49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</row>
    <row r="358" spans="1:41" x14ac:dyDescent="0.25">
      <c r="A358" s="46"/>
      <c r="B358" s="114"/>
      <c r="C358" s="114"/>
      <c r="D358" s="191"/>
      <c r="E358" s="191"/>
      <c r="F358" s="116"/>
      <c r="G358" s="52"/>
      <c r="H358" s="55"/>
      <c r="I358" s="54"/>
      <c r="J358" s="55"/>
      <c r="K358" s="55"/>
      <c r="L358" s="117"/>
      <c r="M358" s="56"/>
      <c r="N358" s="117"/>
      <c r="O358" s="55"/>
      <c r="P358" s="55"/>
      <c r="Q358" s="55"/>
      <c r="R358" s="49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</row>
    <row r="359" spans="1:41" x14ac:dyDescent="0.25">
      <c r="A359" s="46"/>
      <c r="B359" s="114"/>
      <c r="C359" s="114"/>
      <c r="D359" s="191"/>
      <c r="E359" s="191"/>
      <c r="F359" s="116"/>
      <c r="G359" s="52"/>
      <c r="H359" s="55"/>
      <c r="I359" s="54"/>
      <c r="J359" s="55"/>
      <c r="K359" s="55"/>
      <c r="L359" s="117"/>
      <c r="M359" s="56"/>
      <c r="N359" s="117"/>
      <c r="O359" s="55"/>
      <c r="P359" s="55"/>
      <c r="Q359" s="55"/>
      <c r="R359" s="49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</row>
    <row r="360" spans="1:41" x14ac:dyDescent="0.25">
      <c r="A360" s="46"/>
      <c r="B360" s="114"/>
      <c r="C360" s="114"/>
      <c r="D360" s="191"/>
      <c r="E360" s="191"/>
      <c r="F360" s="116"/>
      <c r="G360" s="52"/>
      <c r="H360" s="55"/>
      <c r="I360" s="54"/>
      <c r="J360" s="55"/>
      <c r="K360" s="55"/>
      <c r="L360" s="117"/>
      <c r="M360" s="56"/>
      <c r="N360" s="117"/>
      <c r="O360" s="55"/>
      <c r="P360" s="55"/>
      <c r="Q360" s="55"/>
      <c r="R360" s="49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</row>
    <row r="361" spans="1:41" x14ac:dyDescent="0.25">
      <c r="A361" s="46"/>
      <c r="B361" s="114"/>
      <c r="C361" s="114"/>
      <c r="D361" s="191"/>
      <c r="E361" s="191"/>
      <c r="F361" s="116"/>
      <c r="G361" s="52"/>
      <c r="H361" s="55"/>
      <c r="I361" s="54"/>
      <c r="J361" s="55"/>
      <c r="K361" s="55"/>
      <c r="L361" s="117"/>
      <c r="M361" s="56"/>
      <c r="N361" s="117"/>
      <c r="O361" s="55"/>
      <c r="P361" s="55"/>
      <c r="Q361" s="55"/>
      <c r="R361" s="49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</row>
    <row r="362" spans="1:41" x14ac:dyDescent="0.25">
      <c r="A362" s="46"/>
      <c r="B362" s="114"/>
      <c r="C362" s="114"/>
      <c r="D362" s="191"/>
      <c r="E362" s="191"/>
      <c r="F362" s="116"/>
      <c r="G362" s="52"/>
      <c r="H362" s="55"/>
      <c r="I362" s="54"/>
      <c r="J362" s="55"/>
      <c r="K362" s="55"/>
      <c r="L362" s="117"/>
      <c r="M362" s="56"/>
      <c r="N362" s="117"/>
      <c r="O362" s="55"/>
      <c r="P362" s="55"/>
      <c r="Q362" s="55"/>
      <c r="R362" s="49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</row>
    <row r="363" spans="1:41" x14ac:dyDescent="0.25">
      <c r="A363" s="46"/>
      <c r="B363" s="114"/>
      <c r="C363" s="114"/>
      <c r="D363" s="191"/>
      <c r="E363" s="191"/>
      <c r="F363" s="116"/>
      <c r="G363" s="52"/>
      <c r="H363" s="55"/>
      <c r="I363" s="54"/>
      <c r="J363" s="55"/>
      <c r="K363" s="55"/>
      <c r="L363" s="117"/>
      <c r="M363" s="56"/>
      <c r="N363" s="117"/>
      <c r="O363" s="55"/>
      <c r="P363" s="55"/>
      <c r="Q363" s="55"/>
      <c r="R363" s="49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</row>
    <row r="364" spans="1:41" x14ac:dyDescent="0.25">
      <c r="A364" s="46"/>
      <c r="B364" s="114"/>
      <c r="C364" s="114"/>
      <c r="D364" s="191"/>
      <c r="E364" s="191"/>
      <c r="F364" s="116"/>
      <c r="G364" s="52"/>
      <c r="H364" s="55"/>
      <c r="I364" s="54"/>
      <c r="J364" s="55"/>
      <c r="K364" s="55"/>
      <c r="L364" s="117"/>
      <c r="M364" s="56"/>
      <c r="N364" s="117"/>
      <c r="O364" s="55"/>
      <c r="P364" s="55"/>
      <c r="Q364" s="55"/>
      <c r="R364" s="49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</row>
    <row r="365" spans="1:41" x14ac:dyDescent="0.25">
      <c r="A365" s="46"/>
      <c r="B365" s="114"/>
      <c r="C365" s="114"/>
      <c r="D365" s="191"/>
      <c r="E365" s="191"/>
      <c r="F365" s="116"/>
      <c r="G365" s="52"/>
      <c r="H365" s="55"/>
      <c r="I365" s="54"/>
      <c r="J365" s="55"/>
      <c r="K365" s="55"/>
      <c r="L365" s="117"/>
      <c r="M365" s="56"/>
      <c r="N365" s="117"/>
      <c r="O365" s="55"/>
      <c r="P365" s="55"/>
      <c r="Q365" s="55"/>
      <c r="R365" s="49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</row>
    <row r="366" spans="1:41" x14ac:dyDescent="0.25">
      <c r="A366" s="46"/>
      <c r="B366" s="114"/>
      <c r="C366" s="114"/>
      <c r="D366" s="191"/>
      <c r="E366" s="191"/>
      <c r="F366" s="116"/>
      <c r="G366" s="52"/>
      <c r="H366" s="55"/>
      <c r="I366" s="54"/>
      <c r="J366" s="55"/>
      <c r="K366" s="55"/>
      <c r="L366" s="117"/>
      <c r="M366" s="56"/>
      <c r="N366" s="117"/>
      <c r="O366" s="55"/>
      <c r="P366" s="55"/>
      <c r="Q366" s="55"/>
      <c r="R366" s="49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</row>
    <row r="367" spans="1:41" x14ac:dyDescent="0.25">
      <c r="A367" s="46"/>
      <c r="B367" s="114"/>
      <c r="C367" s="114"/>
      <c r="D367" s="191"/>
      <c r="E367" s="191"/>
      <c r="F367" s="116"/>
      <c r="G367" s="52"/>
      <c r="H367" s="55"/>
      <c r="I367" s="54"/>
      <c r="J367" s="55"/>
      <c r="K367" s="55"/>
      <c r="L367" s="117"/>
      <c r="M367" s="56"/>
      <c r="N367" s="117"/>
      <c r="O367" s="55"/>
      <c r="P367" s="55"/>
      <c r="Q367" s="55"/>
      <c r="R367" s="49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</row>
    <row r="368" spans="1:41" x14ac:dyDescent="0.25">
      <c r="A368" s="46"/>
      <c r="B368" s="114"/>
      <c r="C368" s="114"/>
      <c r="D368" s="191"/>
      <c r="E368" s="191"/>
      <c r="F368" s="116"/>
      <c r="G368" s="52"/>
      <c r="H368" s="55"/>
      <c r="I368" s="54"/>
      <c r="J368" s="55"/>
      <c r="K368" s="55"/>
      <c r="L368" s="117"/>
      <c r="M368" s="56"/>
      <c r="N368" s="117"/>
      <c r="O368" s="55"/>
      <c r="P368" s="55"/>
      <c r="Q368" s="55"/>
      <c r="R368" s="49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</row>
    <row r="369" spans="1:41" x14ac:dyDescent="0.25">
      <c r="A369" s="46"/>
      <c r="B369" s="114"/>
      <c r="C369" s="114"/>
      <c r="D369" s="191"/>
      <c r="E369" s="191"/>
      <c r="F369" s="116"/>
      <c r="G369" s="52"/>
      <c r="H369" s="55"/>
      <c r="I369" s="54"/>
      <c r="J369" s="55"/>
      <c r="K369" s="55"/>
      <c r="L369" s="117"/>
      <c r="M369" s="56"/>
      <c r="N369" s="117"/>
      <c r="O369" s="55"/>
      <c r="P369" s="55"/>
      <c r="Q369" s="55"/>
      <c r="R369" s="49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</row>
    <row r="370" spans="1:41" x14ac:dyDescent="0.25">
      <c r="A370" s="46"/>
      <c r="B370" s="114"/>
      <c r="C370" s="114"/>
      <c r="D370" s="191"/>
      <c r="E370" s="191"/>
      <c r="F370" s="116"/>
      <c r="G370" s="52"/>
      <c r="H370" s="55"/>
      <c r="I370" s="54"/>
      <c r="J370" s="55"/>
      <c r="K370" s="55"/>
      <c r="L370" s="117"/>
      <c r="M370" s="56"/>
      <c r="N370" s="117"/>
      <c r="O370" s="55"/>
      <c r="P370" s="55"/>
      <c r="Q370" s="55"/>
      <c r="R370" s="49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</row>
    <row r="371" spans="1:41" x14ac:dyDescent="0.25">
      <c r="A371" s="46"/>
      <c r="B371" s="114"/>
      <c r="C371" s="114"/>
      <c r="D371" s="191"/>
      <c r="E371" s="191"/>
      <c r="F371" s="116"/>
      <c r="G371" s="52"/>
      <c r="H371" s="55"/>
      <c r="I371" s="54"/>
      <c r="J371" s="55"/>
      <c r="K371" s="55"/>
      <c r="L371" s="117"/>
      <c r="M371" s="56"/>
      <c r="N371" s="117"/>
      <c r="O371" s="55"/>
      <c r="P371" s="55"/>
      <c r="Q371" s="55"/>
      <c r="R371" s="49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</row>
    <row r="372" spans="1:41" x14ac:dyDescent="0.25">
      <c r="A372" s="46"/>
      <c r="B372" s="114"/>
      <c r="C372" s="114"/>
      <c r="D372" s="191"/>
      <c r="E372" s="191"/>
      <c r="F372" s="116"/>
      <c r="G372" s="52"/>
      <c r="H372" s="55"/>
      <c r="I372" s="54"/>
      <c r="J372" s="55"/>
      <c r="K372" s="55"/>
      <c r="L372" s="117"/>
      <c r="M372" s="56"/>
      <c r="N372" s="117"/>
      <c r="O372" s="55"/>
      <c r="P372" s="55"/>
      <c r="Q372" s="55"/>
      <c r="R372" s="49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</row>
    <row r="373" spans="1:41" x14ac:dyDescent="0.25">
      <c r="A373" s="46"/>
      <c r="B373" s="114"/>
      <c r="C373" s="114"/>
      <c r="D373" s="191"/>
      <c r="E373" s="191"/>
      <c r="F373" s="116"/>
      <c r="G373" s="52"/>
      <c r="H373" s="55"/>
      <c r="I373" s="54"/>
      <c r="J373" s="55"/>
      <c r="K373" s="55"/>
      <c r="L373" s="117"/>
      <c r="M373" s="56"/>
      <c r="N373" s="117"/>
      <c r="O373" s="55"/>
      <c r="P373" s="55"/>
      <c r="Q373" s="55"/>
      <c r="R373" s="49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</row>
    <row r="374" spans="1:41" x14ac:dyDescent="0.25">
      <c r="A374" s="46"/>
      <c r="B374" s="114"/>
      <c r="C374" s="114"/>
      <c r="D374" s="191"/>
      <c r="E374" s="191"/>
      <c r="F374" s="116"/>
      <c r="G374" s="52"/>
      <c r="H374" s="55"/>
      <c r="I374" s="54"/>
      <c r="J374" s="55"/>
      <c r="K374" s="55"/>
      <c r="L374" s="117"/>
      <c r="M374" s="56"/>
      <c r="N374" s="117"/>
      <c r="O374" s="55"/>
      <c r="P374" s="55"/>
      <c r="Q374" s="55"/>
      <c r="R374" s="49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</row>
    <row r="375" spans="1:41" x14ac:dyDescent="0.25">
      <c r="A375" s="46"/>
      <c r="B375" s="114"/>
      <c r="C375" s="114"/>
      <c r="D375" s="191"/>
      <c r="E375" s="191"/>
      <c r="F375" s="116"/>
      <c r="G375" s="52"/>
      <c r="H375" s="55"/>
      <c r="I375" s="54"/>
      <c r="J375" s="55"/>
      <c r="K375" s="55"/>
      <c r="L375" s="117"/>
      <c r="M375" s="56"/>
      <c r="N375" s="117"/>
      <c r="O375" s="55"/>
      <c r="P375" s="55"/>
      <c r="Q375" s="55"/>
      <c r="R375" s="49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</row>
    <row r="376" spans="1:41" x14ac:dyDescent="0.25">
      <c r="A376" s="46"/>
      <c r="B376" s="114"/>
      <c r="C376" s="114"/>
      <c r="D376" s="191"/>
      <c r="E376" s="191"/>
      <c r="F376" s="116"/>
      <c r="G376" s="52"/>
      <c r="H376" s="55"/>
      <c r="I376" s="54"/>
      <c r="J376" s="55"/>
      <c r="K376" s="55"/>
      <c r="L376" s="117"/>
      <c r="M376" s="56"/>
      <c r="N376" s="117"/>
      <c r="O376" s="55"/>
      <c r="P376" s="55"/>
      <c r="Q376" s="55"/>
      <c r="R376" s="49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</row>
    <row r="377" spans="1:41" x14ac:dyDescent="0.25">
      <c r="A377" s="46"/>
      <c r="B377" s="114"/>
      <c r="C377" s="114"/>
      <c r="D377" s="191"/>
      <c r="E377" s="191"/>
      <c r="F377" s="116"/>
      <c r="G377" s="52"/>
      <c r="H377" s="55"/>
      <c r="I377" s="54"/>
      <c r="J377" s="55"/>
      <c r="K377" s="55"/>
      <c r="L377" s="117"/>
      <c r="M377" s="56"/>
      <c r="N377" s="117"/>
      <c r="O377" s="55"/>
      <c r="P377" s="55"/>
      <c r="Q377" s="55"/>
      <c r="R377" s="49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</row>
    <row r="378" spans="1:41" x14ac:dyDescent="0.25">
      <c r="A378" s="46"/>
      <c r="B378" s="114"/>
      <c r="C378" s="114"/>
      <c r="D378" s="191"/>
      <c r="E378" s="191"/>
      <c r="F378" s="116"/>
      <c r="G378" s="52"/>
      <c r="H378" s="55"/>
      <c r="I378" s="54"/>
      <c r="J378" s="55"/>
      <c r="K378" s="55"/>
      <c r="L378" s="117"/>
      <c r="M378" s="56"/>
      <c r="N378" s="117"/>
      <c r="O378" s="55"/>
      <c r="P378" s="55"/>
      <c r="Q378" s="55"/>
      <c r="R378" s="49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</row>
    <row r="379" spans="1:41" x14ac:dyDescent="0.25">
      <c r="A379" s="46"/>
      <c r="B379" s="114"/>
      <c r="C379" s="114"/>
      <c r="D379" s="191"/>
      <c r="E379" s="191"/>
      <c r="F379" s="116"/>
      <c r="G379" s="52"/>
      <c r="H379" s="55"/>
      <c r="I379" s="54"/>
      <c r="J379" s="55"/>
      <c r="K379" s="55"/>
      <c r="L379" s="117"/>
      <c r="M379" s="56"/>
      <c r="N379" s="117"/>
      <c r="O379" s="55"/>
      <c r="P379" s="55"/>
      <c r="Q379" s="55"/>
      <c r="R379" s="49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</row>
    <row r="380" spans="1:41" x14ac:dyDescent="0.25">
      <c r="A380" s="46"/>
      <c r="B380" s="114"/>
      <c r="C380" s="114"/>
      <c r="D380" s="191"/>
      <c r="E380" s="191"/>
      <c r="F380" s="116"/>
      <c r="G380" s="52"/>
      <c r="H380" s="55"/>
      <c r="I380" s="54"/>
      <c r="J380" s="55"/>
      <c r="K380" s="55"/>
      <c r="L380" s="117"/>
      <c r="M380" s="56"/>
      <c r="N380" s="117"/>
      <c r="O380" s="55"/>
      <c r="P380" s="55"/>
      <c r="Q380" s="55"/>
      <c r="R380" s="49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</row>
    <row r="381" spans="1:41" x14ac:dyDescent="0.25">
      <c r="A381" s="46"/>
      <c r="B381" s="114"/>
      <c r="C381" s="114"/>
      <c r="D381" s="191"/>
      <c r="E381" s="191"/>
      <c r="F381" s="116"/>
      <c r="G381" s="52"/>
      <c r="H381" s="55"/>
      <c r="I381" s="54"/>
      <c r="J381" s="55"/>
      <c r="K381" s="55"/>
      <c r="L381" s="117"/>
      <c r="M381" s="56"/>
      <c r="N381" s="117"/>
      <c r="O381" s="55"/>
      <c r="P381" s="55"/>
      <c r="Q381" s="55"/>
      <c r="R381" s="49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</row>
    <row r="382" spans="1:41" x14ac:dyDescent="0.25">
      <c r="A382" s="46"/>
      <c r="B382" s="114"/>
      <c r="C382" s="114"/>
      <c r="D382" s="191"/>
      <c r="E382" s="191"/>
      <c r="F382" s="116"/>
      <c r="G382" s="52"/>
      <c r="H382" s="55"/>
      <c r="I382" s="54"/>
      <c r="J382" s="55"/>
      <c r="K382" s="55"/>
      <c r="L382" s="117"/>
      <c r="M382" s="56"/>
      <c r="N382" s="117"/>
      <c r="O382" s="55"/>
      <c r="P382" s="55"/>
      <c r="Q382" s="55"/>
      <c r="R382" s="49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</row>
    <row r="383" spans="1:41" x14ac:dyDescent="0.25">
      <c r="A383" s="46"/>
      <c r="B383" s="114"/>
      <c r="C383" s="114"/>
      <c r="D383" s="191"/>
      <c r="E383" s="191"/>
      <c r="F383" s="116"/>
      <c r="G383" s="52"/>
      <c r="H383" s="55"/>
      <c r="I383" s="54"/>
      <c r="J383" s="55"/>
      <c r="K383" s="55"/>
      <c r="L383" s="117"/>
      <c r="M383" s="56"/>
      <c r="N383" s="117"/>
      <c r="O383" s="55"/>
      <c r="P383" s="55"/>
      <c r="Q383" s="55"/>
      <c r="R383" s="49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</row>
    <row r="384" spans="1:41" x14ac:dyDescent="0.25">
      <c r="A384" s="46"/>
      <c r="B384" s="114"/>
      <c r="C384" s="114"/>
      <c r="D384" s="191"/>
      <c r="E384" s="191"/>
      <c r="F384" s="116"/>
      <c r="G384" s="52"/>
      <c r="H384" s="55"/>
      <c r="I384" s="54"/>
      <c r="J384" s="55"/>
      <c r="K384" s="55"/>
      <c r="L384" s="117"/>
      <c r="M384" s="56"/>
      <c r="N384" s="117"/>
      <c r="O384" s="55"/>
      <c r="P384" s="55"/>
      <c r="Q384" s="55"/>
      <c r="R384" s="49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</row>
    <row r="385" spans="1:41" x14ac:dyDescent="0.25">
      <c r="A385" s="46"/>
      <c r="B385" s="114"/>
      <c r="C385" s="114"/>
      <c r="D385" s="191"/>
      <c r="E385" s="191"/>
      <c r="F385" s="116"/>
      <c r="G385" s="52"/>
      <c r="H385" s="55"/>
      <c r="I385" s="54"/>
      <c r="J385" s="55"/>
      <c r="K385" s="55"/>
      <c r="L385" s="117"/>
      <c r="M385" s="56"/>
      <c r="N385" s="117"/>
      <c r="O385" s="55"/>
      <c r="P385" s="55"/>
      <c r="Q385" s="55"/>
      <c r="R385" s="49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</row>
    <row r="386" spans="1:41" x14ac:dyDescent="0.25">
      <c r="A386" s="46"/>
      <c r="B386" s="114"/>
      <c r="C386" s="114"/>
      <c r="D386" s="191"/>
      <c r="E386" s="191"/>
      <c r="F386" s="116"/>
      <c r="G386" s="52"/>
      <c r="H386" s="55"/>
      <c r="I386" s="54"/>
      <c r="J386" s="55"/>
      <c r="K386" s="55"/>
      <c r="L386" s="117"/>
      <c r="M386" s="56"/>
      <c r="N386" s="117"/>
      <c r="O386" s="55"/>
      <c r="P386" s="55"/>
      <c r="Q386" s="55"/>
      <c r="R386" s="49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</row>
    <row r="387" spans="1:41" x14ac:dyDescent="0.25">
      <c r="A387" s="46"/>
      <c r="B387" s="114"/>
      <c r="C387" s="114"/>
      <c r="D387" s="191"/>
      <c r="E387" s="191"/>
      <c r="F387" s="116"/>
      <c r="G387" s="52"/>
      <c r="H387" s="55"/>
      <c r="I387" s="54"/>
      <c r="J387" s="55"/>
      <c r="K387" s="55"/>
      <c r="L387" s="117"/>
      <c r="M387" s="56"/>
      <c r="N387" s="117"/>
      <c r="O387" s="55"/>
      <c r="P387" s="55"/>
      <c r="Q387" s="55"/>
      <c r="R387" s="49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</row>
    <row r="388" spans="1:41" x14ac:dyDescent="0.25">
      <c r="A388" s="46"/>
      <c r="B388" s="114"/>
      <c r="C388" s="114"/>
      <c r="D388" s="191"/>
      <c r="E388" s="191"/>
      <c r="F388" s="116"/>
      <c r="G388" s="52"/>
      <c r="H388" s="55"/>
      <c r="I388" s="54"/>
      <c r="J388" s="55"/>
      <c r="K388" s="55"/>
      <c r="L388" s="117"/>
      <c r="M388" s="56"/>
      <c r="N388" s="117"/>
      <c r="O388" s="55"/>
      <c r="P388" s="55"/>
      <c r="Q388" s="55"/>
      <c r="R388" s="49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</row>
    <row r="389" spans="1:41" x14ac:dyDescent="0.25">
      <c r="A389" s="46"/>
      <c r="B389" s="114"/>
      <c r="C389" s="114"/>
      <c r="D389" s="191"/>
      <c r="E389" s="191"/>
      <c r="F389" s="116"/>
      <c r="G389" s="52"/>
      <c r="H389" s="55"/>
      <c r="I389" s="54"/>
      <c r="J389" s="55"/>
      <c r="K389" s="55"/>
      <c r="L389" s="117"/>
      <c r="M389" s="56"/>
      <c r="N389" s="117"/>
      <c r="O389" s="55"/>
      <c r="P389" s="55"/>
      <c r="Q389" s="55"/>
      <c r="R389" s="49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</row>
    <row r="390" spans="1:41" x14ac:dyDescent="0.25">
      <c r="A390" s="46"/>
      <c r="B390" s="114"/>
      <c r="C390" s="114"/>
      <c r="D390" s="191"/>
      <c r="E390" s="191"/>
      <c r="F390" s="116"/>
      <c r="G390" s="52"/>
      <c r="H390" s="55"/>
      <c r="I390" s="54"/>
      <c r="J390" s="55"/>
      <c r="K390" s="55"/>
      <c r="L390" s="117"/>
      <c r="M390" s="56"/>
      <c r="N390" s="117"/>
      <c r="O390" s="55"/>
      <c r="P390" s="55"/>
      <c r="Q390" s="55"/>
      <c r="R390" s="49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</row>
    <row r="391" spans="1:41" x14ac:dyDescent="0.25">
      <c r="A391" s="46"/>
      <c r="B391" s="114"/>
      <c r="C391" s="114"/>
      <c r="D391" s="191"/>
      <c r="E391" s="191"/>
      <c r="F391" s="116"/>
      <c r="G391" s="52"/>
      <c r="H391" s="55"/>
      <c r="I391" s="54"/>
      <c r="J391" s="55"/>
      <c r="K391" s="55"/>
      <c r="L391" s="117"/>
      <c r="M391" s="56"/>
      <c r="N391" s="117"/>
      <c r="O391" s="55"/>
      <c r="P391" s="55"/>
      <c r="Q391" s="55"/>
      <c r="R391" s="49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</row>
    <row r="392" spans="1:41" x14ac:dyDescent="0.25">
      <c r="A392" s="46"/>
      <c r="B392" s="114"/>
      <c r="C392" s="114"/>
      <c r="D392" s="191"/>
      <c r="E392" s="191"/>
      <c r="F392" s="116"/>
      <c r="G392" s="52"/>
      <c r="H392" s="55"/>
      <c r="I392" s="54"/>
      <c r="J392" s="55"/>
      <c r="K392" s="55"/>
      <c r="L392" s="117"/>
      <c r="M392" s="56"/>
      <c r="N392" s="117"/>
      <c r="O392" s="55"/>
      <c r="P392" s="55"/>
      <c r="Q392" s="55"/>
      <c r="R392" s="49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</row>
    <row r="393" spans="1:41" x14ac:dyDescent="0.25">
      <c r="A393" s="46"/>
      <c r="B393" s="114"/>
      <c r="C393" s="114"/>
      <c r="D393" s="191"/>
      <c r="E393" s="191"/>
      <c r="F393" s="116"/>
      <c r="G393" s="52"/>
      <c r="H393" s="55"/>
      <c r="I393" s="54"/>
      <c r="J393" s="55"/>
      <c r="K393" s="55"/>
      <c r="L393" s="117"/>
      <c r="M393" s="56"/>
      <c r="N393" s="117"/>
      <c r="O393" s="55"/>
      <c r="P393" s="55"/>
      <c r="Q393" s="55"/>
      <c r="R393" s="49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</row>
    <row r="394" spans="1:41" x14ac:dyDescent="0.25">
      <c r="A394" s="46"/>
      <c r="B394" s="114"/>
      <c r="C394" s="114"/>
      <c r="D394" s="191"/>
      <c r="E394" s="191"/>
      <c r="F394" s="116"/>
      <c r="G394" s="52"/>
      <c r="H394" s="55"/>
      <c r="I394" s="54"/>
      <c r="J394" s="55"/>
      <c r="K394" s="55"/>
      <c r="L394" s="117"/>
      <c r="M394" s="56"/>
      <c r="N394" s="117"/>
      <c r="O394" s="55"/>
      <c r="P394" s="55"/>
      <c r="Q394" s="55"/>
      <c r="R394" s="49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</row>
    <row r="395" spans="1:41" x14ac:dyDescent="0.25">
      <c r="A395" s="46"/>
      <c r="B395" s="114"/>
      <c r="C395" s="114"/>
      <c r="D395" s="191"/>
      <c r="E395" s="191"/>
      <c r="F395" s="116"/>
      <c r="G395" s="52"/>
      <c r="H395" s="55"/>
      <c r="I395" s="54"/>
      <c r="J395" s="55"/>
      <c r="K395" s="55"/>
      <c r="L395" s="117"/>
      <c r="M395" s="56"/>
      <c r="N395" s="117"/>
      <c r="O395" s="55"/>
      <c r="P395" s="55"/>
      <c r="Q395" s="55"/>
      <c r="R395" s="49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</row>
    <row r="396" spans="1:41" x14ac:dyDescent="0.25">
      <c r="A396" s="46"/>
      <c r="B396" s="114"/>
      <c r="C396" s="114"/>
      <c r="D396" s="191"/>
      <c r="E396" s="191"/>
      <c r="F396" s="116"/>
      <c r="G396" s="52"/>
      <c r="H396" s="55"/>
      <c r="I396" s="54"/>
      <c r="J396" s="55"/>
      <c r="K396" s="55"/>
      <c r="L396" s="117"/>
      <c r="M396" s="56"/>
      <c r="N396" s="117"/>
      <c r="O396" s="55"/>
      <c r="P396" s="55"/>
      <c r="Q396" s="55"/>
      <c r="R396" s="49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</row>
    <row r="397" spans="1:41" x14ac:dyDescent="0.25">
      <c r="A397" s="46"/>
      <c r="B397" s="114"/>
      <c r="C397" s="114"/>
      <c r="D397" s="191"/>
      <c r="E397" s="191"/>
      <c r="F397" s="116"/>
      <c r="G397" s="52"/>
      <c r="H397" s="55"/>
      <c r="I397" s="54"/>
      <c r="J397" s="55"/>
      <c r="K397" s="55"/>
      <c r="L397" s="117"/>
      <c r="M397" s="56"/>
      <c r="N397" s="117"/>
      <c r="O397" s="55"/>
      <c r="P397" s="55"/>
      <c r="Q397" s="55"/>
      <c r="R397" s="49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</row>
    <row r="398" spans="1:41" x14ac:dyDescent="0.25">
      <c r="A398" s="46"/>
      <c r="B398" s="114"/>
      <c r="C398" s="114"/>
      <c r="D398" s="191"/>
      <c r="E398" s="191"/>
      <c r="F398" s="116"/>
      <c r="G398" s="52"/>
      <c r="H398" s="55"/>
      <c r="I398" s="54"/>
      <c r="J398" s="55"/>
      <c r="K398" s="55"/>
      <c r="L398" s="117"/>
      <c r="M398" s="56"/>
      <c r="N398" s="117"/>
      <c r="O398" s="55"/>
      <c r="P398" s="55"/>
      <c r="Q398" s="55"/>
      <c r="R398" s="49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</row>
    <row r="399" spans="1:41" x14ac:dyDescent="0.25">
      <c r="A399" s="46"/>
      <c r="B399" s="114"/>
      <c r="C399" s="114"/>
      <c r="D399" s="191"/>
      <c r="E399" s="191"/>
      <c r="F399" s="116"/>
      <c r="G399" s="52"/>
      <c r="H399" s="55"/>
      <c r="I399" s="54"/>
      <c r="J399" s="55"/>
      <c r="K399" s="55"/>
      <c r="L399" s="117"/>
      <c r="M399" s="56"/>
      <c r="N399" s="117"/>
      <c r="O399" s="55"/>
      <c r="P399" s="55"/>
      <c r="Q399" s="55"/>
      <c r="R399" s="49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</row>
    <row r="400" spans="1:41" x14ac:dyDescent="0.25">
      <c r="A400" s="46"/>
      <c r="B400" s="114"/>
      <c r="C400" s="114"/>
      <c r="D400" s="191"/>
      <c r="E400" s="191"/>
      <c r="F400" s="116"/>
      <c r="G400" s="52"/>
      <c r="H400" s="55"/>
      <c r="I400" s="54"/>
      <c r="J400" s="55"/>
      <c r="K400" s="55"/>
      <c r="L400" s="117"/>
      <c r="M400" s="56"/>
      <c r="N400" s="117"/>
      <c r="O400" s="55"/>
      <c r="P400" s="55"/>
      <c r="Q400" s="55"/>
      <c r="R400" s="49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</row>
    <row r="401" spans="1:41" x14ac:dyDescent="0.25">
      <c r="A401" s="46"/>
      <c r="B401" s="114"/>
      <c r="C401" s="114"/>
      <c r="D401" s="191"/>
      <c r="E401" s="191"/>
      <c r="F401" s="116"/>
      <c r="G401" s="52"/>
      <c r="H401" s="55"/>
      <c r="I401" s="54"/>
      <c r="J401" s="55"/>
      <c r="K401" s="55"/>
      <c r="L401" s="117"/>
      <c r="M401" s="56"/>
      <c r="N401" s="117"/>
      <c r="O401" s="55"/>
      <c r="P401" s="55"/>
      <c r="Q401" s="55"/>
      <c r="R401" s="49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</row>
    <row r="402" spans="1:41" x14ac:dyDescent="0.25">
      <c r="A402" s="46"/>
      <c r="B402" s="114"/>
      <c r="C402" s="114"/>
      <c r="D402" s="191"/>
      <c r="E402" s="191"/>
      <c r="F402" s="116"/>
      <c r="G402" s="52"/>
      <c r="H402" s="55"/>
      <c r="I402" s="54"/>
      <c r="J402" s="55"/>
      <c r="K402" s="55"/>
      <c r="L402" s="117"/>
      <c r="M402" s="56"/>
      <c r="N402" s="117"/>
      <c r="O402" s="55"/>
      <c r="P402" s="55"/>
      <c r="Q402" s="55"/>
      <c r="R402" s="49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</row>
    <row r="403" spans="1:41" x14ac:dyDescent="0.25">
      <c r="A403" s="46"/>
      <c r="B403" s="114"/>
      <c r="C403" s="114"/>
      <c r="D403" s="191"/>
      <c r="E403" s="191"/>
      <c r="F403" s="116"/>
      <c r="G403" s="52"/>
      <c r="H403" s="55"/>
      <c r="I403" s="54"/>
      <c r="J403" s="55"/>
      <c r="K403" s="55"/>
      <c r="L403" s="117"/>
      <c r="M403" s="56"/>
      <c r="N403" s="117"/>
      <c r="O403" s="55"/>
      <c r="P403" s="55"/>
      <c r="Q403" s="55"/>
      <c r="R403" s="49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</row>
    <row r="404" spans="1:41" x14ac:dyDescent="0.25">
      <c r="A404" s="46"/>
      <c r="B404" s="114"/>
      <c r="C404" s="114"/>
      <c r="D404" s="191"/>
      <c r="E404" s="191"/>
      <c r="F404" s="116"/>
      <c r="G404" s="52"/>
      <c r="H404" s="55"/>
      <c r="I404" s="54"/>
      <c r="J404" s="55"/>
      <c r="K404" s="55"/>
      <c r="L404" s="117"/>
      <c r="M404" s="56"/>
      <c r="N404" s="117"/>
      <c r="O404" s="55"/>
      <c r="P404" s="55"/>
      <c r="Q404" s="55"/>
      <c r="R404" s="49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</row>
    <row r="405" spans="1:41" x14ac:dyDescent="0.25">
      <c r="A405" s="46"/>
      <c r="B405" s="114"/>
      <c r="C405" s="114"/>
      <c r="D405" s="191"/>
      <c r="E405" s="191"/>
      <c r="F405" s="116"/>
      <c r="G405" s="52"/>
      <c r="H405" s="55"/>
      <c r="I405" s="54"/>
      <c r="J405" s="55"/>
      <c r="K405" s="55"/>
      <c r="L405" s="117"/>
      <c r="M405" s="56"/>
      <c r="N405" s="117"/>
      <c r="O405" s="55"/>
      <c r="P405" s="55"/>
      <c r="Q405" s="55"/>
      <c r="R405" s="49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</row>
    <row r="406" spans="1:41" x14ac:dyDescent="0.25">
      <c r="A406" s="46"/>
      <c r="B406" s="114"/>
      <c r="C406" s="114"/>
      <c r="D406" s="191"/>
      <c r="E406" s="191"/>
      <c r="F406" s="116"/>
      <c r="G406" s="52"/>
      <c r="H406" s="55"/>
      <c r="I406" s="54"/>
      <c r="J406" s="55"/>
      <c r="K406" s="55"/>
      <c r="L406" s="117"/>
      <c r="M406" s="56"/>
      <c r="N406" s="117"/>
      <c r="O406" s="55"/>
      <c r="P406" s="55"/>
      <c r="Q406" s="55"/>
      <c r="R406" s="49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</row>
    <row r="407" spans="1:41" x14ac:dyDescent="0.25">
      <c r="A407" s="46"/>
      <c r="B407" s="114"/>
      <c r="C407" s="114"/>
      <c r="D407" s="191"/>
      <c r="E407" s="191"/>
      <c r="F407" s="116"/>
      <c r="G407" s="52"/>
      <c r="H407" s="55"/>
      <c r="I407" s="54"/>
      <c r="J407" s="55"/>
      <c r="K407" s="55"/>
      <c r="L407" s="117"/>
      <c r="M407" s="56"/>
      <c r="N407" s="117"/>
      <c r="O407" s="55"/>
      <c r="P407" s="55"/>
      <c r="Q407" s="55"/>
      <c r="R407" s="49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</row>
    <row r="408" spans="1:41" x14ac:dyDescent="0.25">
      <c r="A408" s="46"/>
      <c r="B408" s="114"/>
      <c r="C408" s="114"/>
      <c r="D408" s="191"/>
      <c r="E408" s="191"/>
      <c r="F408" s="116"/>
      <c r="G408" s="52"/>
      <c r="H408" s="55"/>
      <c r="I408" s="54"/>
      <c r="J408" s="55"/>
      <c r="K408" s="55"/>
      <c r="L408" s="117"/>
      <c r="M408" s="56"/>
      <c r="N408" s="117"/>
      <c r="O408" s="55"/>
      <c r="P408" s="55"/>
      <c r="Q408" s="55"/>
      <c r="R408" s="49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</row>
    <row r="409" spans="1:41" x14ac:dyDescent="0.25">
      <c r="A409" s="46"/>
      <c r="B409" s="114"/>
      <c r="C409" s="114"/>
      <c r="D409" s="191"/>
      <c r="E409" s="191"/>
      <c r="F409" s="116"/>
      <c r="G409" s="52"/>
      <c r="H409" s="55"/>
      <c r="I409" s="54"/>
      <c r="J409" s="55"/>
      <c r="K409" s="55"/>
      <c r="L409" s="117"/>
      <c r="M409" s="56"/>
      <c r="N409" s="117"/>
      <c r="O409" s="55"/>
      <c r="P409" s="55"/>
      <c r="Q409" s="55"/>
      <c r="R409" s="49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</row>
    <row r="410" spans="1:41" x14ac:dyDescent="0.25">
      <c r="A410" s="46"/>
      <c r="B410" s="114"/>
      <c r="C410" s="114"/>
      <c r="D410" s="191"/>
      <c r="E410" s="191"/>
      <c r="F410" s="116"/>
      <c r="G410" s="52"/>
      <c r="H410" s="55"/>
      <c r="I410" s="54"/>
      <c r="J410" s="55"/>
      <c r="K410" s="55"/>
      <c r="L410" s="117"/>
      <c r="M410" s="56"/>
      <c r="N410" s="117"/>
      <c r="O410" s="55"/>
      <c r="P410" s="55"/>
      <c r="Q410" s="55"/>
      <c r="R410" s="49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</row>
    <row r="411" spans="1:41" x14ac:dyDescent="0.25">
      <c r="A411" s="46"/>
      <c r="B411" s="114"/>
      <c r="C411" s="114"/>
      <c r="D411" s="191"/>
      <c r="E411" s="191"/>
      <c r="F411" s="116"/>
      <c r="G411" s="52"/>
      <c r="H411" s="55"/>
      <c r="I411" s="54"/>
      <c r="J411" s="55"/>
      <c r="K411" s="55"/>
      <c r="L411" s="117"/>
      <c r="M411" s="56"/>
      <c r="N411" s="117"/>
      <c r="O411" s="55"/>
      <c r="P411" s="55"/>
      <c r="Q411" s="55"/>
      <c r="R411" s="49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</row>
    <row r="412" spans="1:41" x14ac:dyDescent="0.25">
      <c r="A412" s="46"/>
      <c r="B412" s="114"/>
      <c r="C412" s="114"/>
      <c r="D412" s="191"/>
      <c r="E412" s="191"/>
      <c r="F412" s="116"/>
      <c r="G412" s="52"/>
      <c r="H412" s="55"/>
      <c r="I412" s="54"/>
      <c r="J412" s="55"/>
      <c r="K412" s="55"/>
      <c r="L412" s="117"/>
      <c r="M412" s="56"/>
      <c r="N412" s="117"/>
      <c r="O412" s="55"/>
      <c r="P412" s="55"/>
      <c r="Q412" s="55"/>
      <c r="R412" s="49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</row>
    <row r="413" spans="1:41" x14ac:dyDescent="0.25">
      <c r="A413" s="46"/>
      <c r="B413" s="114"/>
      <c r="C413" s="114"/>
      <c r="D413" s="191"/>
      <c r="E413" s="191"/>
      <c r="F413" s="116"/>
      <c r="G413" s="52"/>
      <c r="H413" s="55"/>
      <c r="I413" s="54"/>
      <c r="J413" s="55"/>
      <c r="K413" s="55"/>
      <c r="L413" s="117"/>
      <c r="M413" s="56"/>
      <c r="N413" s="117"/>
      <c r="O413" s="55"/>
      <c r="P413" s="55"/>
      <c r="Q413" s="55"/>
      <c r="R413" s="49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</row>
    <row r="414" spans="1:41" x14ac:dyDescent="0.25">
      <c r="A414" s="46"/>
      <c r="B414" s="114"/>
      <c r="C414" s="114"/>
      <c r="D414" s="191"/>
      <c r="E414" s="191"/>
      <c r="F414" s="116"/>
      <c r="G414" s="52"/>
      <c r="H414" s="55"/>
      <c r="I414" s="54"/>
      <c r="J414" s="55"/>
      <c r="K414" s="55"/>
      <c r="L414" s="117"/>
      <c r="M414" s="56"/>
      <c r="N414" s="117"/>
      <c r="O414" s="55"/>
      <c r="P414" s="55"/>
      <c r="Q414" s="55"/>
      <c r="R414" s="49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</row>
    <row r="415" spans="1:41" x14ac:dyDescent="0.25">
      <c r="A415" s="46"/>
      <c r="B415" s="114"/>
      <c r="C415" s="114"/>
      <c r="D415" s="191"/>
      <c r="E415" s="191"/>
      <c r="F415" s="116"/>
      <c r="G415" s="52"/>
      <c r="H415" s="55"/>
      <c r="I415" s="54"/>
      <c r="J415" s="55"/>
      <c r="K415" s="55"/>
      <c r="L415" s="117"/>
      <c r="M415" s="56"/>
      <c r="N415" s="117"/>
      <c r="O415" s="55"/>
      <c r="P415" s="55"/>
      <c r="Q415" s="55"/>
      <c r="R415" s="49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</row>
    <row r="416" spans="1:41" x14ac:dyDescent="0.25">
      <c r="A416" s="46"/>
      <c r="B416" s="114"/>
      <c r="C416" s="114"/>
      <c r="D416" s="191"/>
      <c r="E416" s="191"/>
      <c r="F416" s="116"/>
      <c r="G416" s="52"/>
      <c r="H416" s="55"/>
      <c r="I416" s="54"/>
      <c r="J416" s="55"/>
      <c r="K416" s="55"/>
      <c r="L416" s="117"/>
      <c r="M416" s="56"/>
      <c r="N416" s="117"/>
      <c r="O416" s="55"/>
      <c r="P416" s="55"/>
      <c r="Q416" s="55"/>
      <c r="R416" s="49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</row>
    <row r="417" spans="1:41" x14ac:dyDescent="0.25">
      <c r="A417" s="46"/>
      <c r="B417" s="114"/>
      <c r="C417" s="114"/>
      <c r="D417" s="191"/>
      <c r="E417" s="191"/>
      <c r="F417" s="116"/>
      <c r="G417" s="52"/>
      <c r="H417" s="55"/>
      <c r="I417" s="54"/>
      <c r="J417" s="55"/>
      <c r="K417" s="55"/>
      <c r="L417" s="117"/>
      <c r="M417" s="56"/>
      <c r="N417" s="117"/>
      <c r="O417" s="55"/>
      <c r="P417" s="55"/>
      <c r="Q417" s="55"/>
      <c r="R417" s="49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</row>
    <row r="418" spans="1:41" x14ac:dyDescent="0.25">
      <c r="A418" s="46"/>
      <c r="B418" s="114"/>
      <c r="C418" s="114"/>
      <c r="D418" s="191"/>
      <c r="E418" s="191"/>
      <c r="F418" s="116"/>
      <c r="G418" s="52"/>
      <c r="H418" s="55"/>
      <c r="I418" s="54"/>
      <c r="J418" s="55"/>
      <c r="K418" s="55"/>
      <c r="L418" s="117"/>
      <c r="M418" s="56"/>
      <c r="N418" s="117"/>
      <c r="O418" s="55"/>
      <c r="P418" s="55"/>
      <c r="Q418" s="55"/>
      <c r="R418" s="49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</row>
    <row r="419" spans="1:41" x14ac:dyDescent="0.25">
      <c r="A419" s="46"/>
      <c r="B419" s="114"/>
      <c r="C419" s="114"/>
      <c r="D419" s="191"/>
      <c r="E419" s="191"/>
      <c r="F419" s="116"/>
      <c r="G419" s="52"/>
      <c r="H419" s="55"/>
      <c r="I419" s="54"/>
      <c r="J419" s="55"/>
      <c r="K419" s="55"/>
      <c r="L419" s="117"/>
      <c r="M419" s="56"/>
      <c r="N419" s="117"/>
      <c r="O419" s="55"/>
      <c r="P419" s="55"/>
      <c r="Q419" s="55"/>
      <c r="R419" s="49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</row>
    <row r="420" spans="1:41" x14ac:dyDescent="0.25">
      <c r="A420" s="46"/>
      <c r="B420" s="114"/>
      <c r="C420" s="114"/>
      <c r="D420" s="191"/>
      <c r="E420" s="191"/>
      <c r="F420" s="116"/>
      <c r="G420" s="52"/>
      <c r="H420" s="55"/>
      <c r="I420" s="54"/>
      <c r="J420" s="55"/>
      <c r="K420" s="55"/>
      <c r="L420" s="117"/>
      <c r="M420" s="56"/>
      <c r="N420" s="117"/>
      <c r="O420" s="55"/>
      <c r="P420" s="55"/>
      <c r="Q420" s="55"/>
      <c r="R420" s="49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</row>
    <row r="421" spans="1:41" x14ac:dyDescent="0.25">
      <c r="A421" s="46"/>
      <c r="B421" s="114"/>
      <c r="C421" s="114"/>
      <c r="D421" s="191"/>
      <c r="E421" s="191"/>
      <c r="F421" s="116"/>
      <c r="G421" s="52"/>
      <c r="H421" s="55"/>
      <c r="I421" s="54"/>
      <c r="J421" s="55"/>
      <c r="K421" s="55"/>
      <c r="L421" s="117"/>
      <c r="M421" s="56"/>
      <c r="N421" s="117"/>
      <c r="O421" s="55"/>
      <c r="P421" s="55"/>
      <c r="Q421" s="55"/>
      <c r="R421" s="49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</row>
    <row r="422" spans="1:41" x14ac:dyDescent="0.25">
      <c r="A422" s="46"/>
      <c r="B422" s="114"/>
      <c r="C422" s="114"/>
      <c r="D422" s="191"/>
      <c r="E422" s="191"/>
      <c r="F422" s="116"/>
      <c r="G422" s="52"/>
      <c r="H422" s="55"/>
      <c r="I422" s="54"/>
      <c r="J422" s="55"/>
      <c r="K422" s="55"/>
      <c r="L422" s="117"/>
      <c r="M422" s="56"/>
      <c r="N422" s="117"/>
      <c r="O422" s="55"/>
      <c r="P422" s="55"/>
      <c r="Q422" s="55"/>
      <c r="R422" s="49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</row>
    <row r="423" spans="1:41" x14ac:dyDescent="0.25">
      <c r="A423" s="46"/>
      <c r="B423" s="114"/>
      <c r="C423" s="114"/>
      <c r="D423" s="191"/>
      <c r="E423" s="191"/>
      <c r="F423" s="116"/>
      <c r="G423" s="52"/>
      <c r="H423" s="55"/>
      <c r="I423" s="54"/>
      <c r="J423" s="55"/>
      <c r="K423" s="55"/>
      <c r="L423" s="117"/>
      <c r="M423" s="56"/>
      <c r="N423" s="117"/>
      <c r="O423" s="55"/>
      <c r="P423" s="55"/>
      <c r="Q423" s="55"/>
      <c r="R423" s="49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</row>
    <row r="424" spans="1:41" x14ac:dyDescent="0.25">
      <c r="A424" s="46"/>
      <c r="B424" s="114"/>
      <c r="C424" s="114"/>
      <c r="D424" s="191"/>
      <c r="E424" s="191"/>
      <c r="F424" s="116"/>
      <c r="G424" s="52"/>
      <c r="H424" s="55"/>
      <c r="I424" s="54"/>
      <c r="J424" s="55"/>
      <c r="K424" s="55"/>
      <c r="L424" s="117"/>
      <c r="M424" s="56"/>
      <c r="N424" s="117"/>
      <c r="O424" s="55"/>
      <c r="P424" s="55"/>
      <c r="Q424" s="55"/>
      <c r="R424" s="49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</row>
    <row r="425" spans="1:41" x14ac:dyDescent="0.25">
      <c r="A425" s="46"/>
      <c r="B425" s="114"/>
      <c r="C425" s="114"/>
      <c r="D425" s="191"/>
      <c r="E425" s="191"/>
      <c r="F425" s="116"/>
      <c r="G425" s="52"/>
      <c r="H425" s="55"/>
      <c r="I425" s="54"/>
      <c r="J425" s="55"/>
      <c r="K425" s="55"/>
      <c r="L425" s="117"/>
      <c r="M425" s="56"/>
      <c r="N425" s="117"/>
      <c r="O425" s="55"/>
      <c r="P425" s="55"/>
      <c r="Q425" s="55"/>
      <c r="R425" s="49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</row>
    <row r="426" spans="1:41" x14ac:dyDescent="0.25">
      <c r="A426" s="46"/>
      <c r="B426" s="114"/>
      <c r="C426" s="114"/>
      <c r="D426" s="191"/>
      <c r="E426" s="191"/>
      <c r="F426" s="116"/>
      <c r="G426" s="52"/>
      <c r="H426" s="55"/>
      <c r="I426" s="54"/>
      <c r="J426" s="55"/>
      <c r="K426" s="55"/>
      <c r="L426" s="117"/>
      <c r="M426" s="56"/>
      <c r="N426" s="117"/>
      <c r="O426" s="55"/>
      <c r="P426" s="55"/>
      <c r="Q426" s="55"/>
      <c r="R426" s="49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</row>
    <row r="427" spans="1:41" x14ac:dyDescent="0.25">
      <c r="A427" s="46"/>
      <c r="B427" s="114"/>
      <c r="C427" s="114"/>
      <c r="D427" s="191"/>
      <c r="E427" s="191"/>
      <c r="F427" s="116"/>
      <c r="G427" s="52"/>
      <c r="H427" s="55"/>
      <c r="I427" s="54"/>
      <c r="J427" s="55"/>
      <c r="K427" s="55"/>
      <c r="L427" s="117"/>
      <c r="M427" s="56"/>
      <c r="N427" s="117"/>
      <c r="O427" s="55"/>
      <c r="P427" s="55"/>
      <c r="Q427" s="55"/>
      <c r="R427" s="49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</row>
    <row r="428" spans="1:41" x14ac:dyDescent="0.25">
      <c r="A428" s="46"/>
      <c r="B428" s="114"/>
      <c r="C428" s="114"/>
      <c r="D428" s="191"/>
      <c r="E428" s="191"/>
      <c r="F428" s="116"/>
      <c r="G428" s="52"/>
      <c r="H428" s="55"/>
      <c r="I428" s="54"/>
      <c r="J428" s="55"/>
      <c r="K428" s="55"/>
      <c r="L428" s="117"/>
      <c r="M428" s="56"/>
      <c r="N428" s="117"/>
      <c r="O428" s="55"/>
      <c r="P428" s="55"/>
      <c r="Q428" s="55"/>
      <c r="R428" s="49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</row>
    <row r="429" spans="1:41" x14ac:dyDescent="0.25">
      <c r="A429" s="46"/>
      <c r="B429" s="114"/>
      <c r="C429" s="114"/>
      <c r="D429" s="191"/>
      <c r="E429" s="191"/>
      <c r="F429" s="116"/>
      <c r="G429" s="52"/>
      <c r="H429" s="55"/>
      <c r="I429" s="54"/>
      <c r="J429" s="55"/>
      <c r="K429" s="55"/>
      <c r="L429" s="117"/>
      <c r="M429" s="56"/>
      <c r="N429" s="117"/>
      <c r="O429" s="55"/>
      <c r="P429" s="55"/>
      <c r="Q429" s="55"/>
      <c r="R429" s="49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</row>
    <row r="430" spans="1:41" x14ac:dyDescent="0.25">
      <c r="A430" s="46"/>
      <c r="B430" s="114"/>
      <c r="C430" s="114"/>
      <c r="D430" s="191"/>
      <c r="E430" s="191"/>
      <c r="F430" s="116"/>
      <c r="G430" s="52"/>
      <c r="H430" s="55"/>
      <c r="I430" s="54"/>
      <c r="J430" s="55"/>
      <c r="K430" s="55"/>
      <c r="L430" s="117"/>
      <c r="M430" s="56"/>
      <c r="N430" s="117"/>
      <c r="O430" s="55"/>
      <c r="P430" s="55"/>
      <c r="Q430" s="55"/>
      <c r="R430" s="49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</row>
    <row r="431" spans="1:41" x14ac:dyDescent="0.25">
      <c r="A431" s="46"/>
      <c r="B431" s="114"/>
      <c r="C431" s="114"/>
      <c r="D431" s="191"/>
      <c r="E431" s="191"/>
      <c r="F431" s="116"/>
      <c r="G431" s="52"/>
      <c r="H431" s="55"/>
      <c r="I431" s="54"/>
      <c r="J431" s="55"/>
      <c r="K431" s="55"/>
      <c r="L431" s="117"/>
      <c r="M431" s="56"/>
      <c r="N431" s="117"/>
      <c r="O431" s="55"/>
      <c r="P431" s="55"/>
      <c r="Q431" s="55"/>
      <c r="R431" s="49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</row>
    <row r="432" spans="1:41" x14ac:dyDescent="0.25">
      <c r="A432" s="46"/>
      <c r="B432" s="114"/>
      <c r="C432" s="114"/>
      <c r="D432" s="191"/>
      <c r="E432" s="191"/>
      <c r="F432" s="116"/>
      <c r="G432" s="52"/>
      <c r="H432" s="55"/>
      <c r="I432" s="54"/>
      <c r="J432" s="55"/>
      <c r="K432" s="55"/>
      <c r="L432" s="117"/>
      <c r="M432" s="56"/>
      <c r="N432" s="117"/>
      <c r="O432" s="55"/>
      <c r="P432" s="55"/>
      <c r="Q432" s="55"/>
      <c r="R432" s="49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</row>
    <row r="433" spans="1:41" x14ac:dyDescent="0.25">
      <c r="A433" s="46"/>
      <c r="B433" s="114"/>
      <c r="C433" s="114"/>
      <c r="D433" s="191"/>
      <c r="E433" s="191"/>
      <c r="F433" s="116"/>
      <c r="G433" s="52"/>
      <c r="H433" s="55"/>
      <c r="I433" s="54"/>
      <c r="J433" s="55"/>
      <c r="K433" s="55"/>
      <c r="L433" s="117"/>
      <c r="M433" s="56"/>
      <c r="N433" s="117"/>
      <c r="O433" s="55"/>
      <c r="P433" s="55"/>
      <c r="Q433" s="55"/>
      <c r="R433" s="49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</row>
    <row r="434" spans="1:41" x14ac:dyDescent="0.25">
      <c r="A434" s="46"/>
      <c r="B434" s="114"/>
      <c r="C434" s="114"/>
      <c r="D434" s="191"/>
      <c r="E434" s="191"/>
      <c r="F434" s="116"/>
      <c r="G434" s="52"/>
      <c r="H434" s="55"/>
      <c r="I434" s="54"/>
      <c r="J434" s="55"/>
      <c r="K434" s="55"/>
      <c r="L434" s="117"/>
      <c r="M434" s="56"/>
      <c r="N434" s="117"/>
      <c r="O434" s="55"/>
      <c r="P434" s="55"/>
      <c r="Q434" s="55"/>
      <c r="R434" s="49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</row>
    <row r="435" spans="1:41" x14ac:dyDescent="0.25">
      <c r="A435" s="46"/>
      <c r="B435" s="114"/>
      <c r="C435" s="114"/>
      <c r="D435" s="191"/>
      <c r="E435" s="191"/>
      <c r="F435" s="116"/>
      <c r="G435" s="52"/>
      <c r="H435" s="55"/>
      <c r="I435" s="54"/>
      <c r="J435" s="55"/>
      <c r="K435" s="55"/>
      <c r="L435" s="117"/>
      <c r="M435" s="56"/>
      <c r="N435" s="117"/>
      <c r="O435" s="55"/>
      <c r="P435" s="55"/>
      <c r="Q435" s="55"/>
      <c r="R435" s="49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</row>
    <row r="436" spans="1:41" x14ac:dyDescent="0.25">
      <c r="A436" s="46"/>
      <c r="B436" s="114"/>
      <c r="C436" s="114"/>
      <c r="D436" s="191"/>
      <c r="E436" s="191"/>
      <c r="F436" s="116"/>
      <c r="G436" s="52"/>
      <c r="H436" s="55"/>
      <c r="I436" s="54"/>
      <c r="J436" s="55"/>
      <c r="K436" s="55"/>
      <c r="L436" s="117"/>
      <c r="M436" s="56"/>
      <c r="N436" s="117"/>
      <c r="O436" s="55"/>
      <c r="P436" s="55"/>
      <c r="Q436" s="55"/>
      <c r="R436" s="49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</row>
    <row r="437" spans="1:41" x14ac:dyDescent="0.25">
      <c r="A437" s="46"/>
      <c r="B437" s="114"/>
      <c r="C437" s="114"/>
      <c r="D437" s="191"/>
      <c r="E437" s="191"/>
      <c r="F437" s="116"/>
      <c r="G437" s="52"/>
      <c r="H437" s="55"/>
      <c r="I437" s="54"/>
      <c r="J437" s="55"/>
      <c r="K437" s="55"/>
      <c r="L437" s="117"/>
      <c r="M437" s="56"/>
      <c r="N437" s="117"/>
      <c r="O437" s="55"/>
      <c r="P437" s="55"/>
      <c r="Q437" s="55"/>
      <c r="R437" s="49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</row>
    <row r="438" spans="1:41" x14ac:dyDescent="0.25">
      <c r="A438" s="46"/>
      <c r="B438" s="114"/>
      <c r="C438" s="114"/>
      <c r="D438" s="191"/>
      <c r="E438" s="191"/>
      <c r="F438" s="116"/>
      <c r="G438" s="52"/>
      <c r="H438" s="55"/>
      <c r="I438" s="54"/>
      <c r="J438" s="55"/>
      <c r="K438" s="55"/>
      <c r="L438" s="117"/>
      <c r="M438" s="56"/>
      <c r="N438" s="117"/>
      <c r="O438" s="55"/>
      <c r="P438" s="55"/>
      <c r="Q438" s="55"/>
      <c r="R438" s="49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</row>
    <row r="439" spans="1:41" x14ac:dyDescent="0.25">
      <c r="A439" s="46"/>
      <c r="B439" s="114"/>
      <c r="C439" s="114"/>
      <c r="D439" s="191"/>
      <c r="E439" s="191"/>
      <c r="F439" s="116"/>
      <c r="G439" s="52"/>
      <c r="H439" s="55"/>
      <c r="I439" s="54"/>
      <c r="J439" s="55"/>
      <c r="K439" s="55"/>
      <c r="L439" s="117"/>
      <c r="M439" s="56"/>
      <c r="N439" s="117"/>
      <c r="O439" s="55"/>
      <c r="P439" s="55"/>
      <c r="Q439" s="55"/>
      <c r="R439" s="49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</row>
    <row r="440" spans="1:41" x14ac:dyDescent="0.25">
      <c r="A440" s="46"/>
      <c r="B440" s="114"/>
      <c r="C440" s="114"/>
      <c r="D440" s="191"/>
      <c r="E440" s="191"/>
      <c r="F440" s="116"/>
      <c r="G440" s="52"/>
      <c r="H440" s="55"/>
      <c r="I440" s="54"/>
      <c r="J440" s="55"/>
      <c r="K440" s="55"/>
      <c r="L440" s="117"/>
      <c r="M440" s="56"/>
      <c r="N440" s="117"/>
      <c r="O440" s="55"/>
      <c r="P440" s="55"/>
      <c r="Q440" s="55"/>
      <c r="R440" s="49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</row>
    <row r="441" spans="1:41" x14ac:dyDescent="0.25">
      <c r="A441" s="46"/>
      <c r="B441" s="114"/>
      <c r="C441" s="114"/>
      <c r="D441" s="191"/>
      <c r="E441" s="191"/>
      <c r="F441" s="116"/>
      <c r="G441" s="52"/>
      <c r="H441" s="55"/>
      <c r="I441" s="54"/>
      <c r="J441" s="55"/>
      <c r="K441" s="55"/>
      <c r="L441" s="117"/>
      <c r="M441" s="56"/>
      <c r="N441" s="117"/>
      <c r="O441" s="55"/>
      <c r="P441" s="55"/>
      <c r="Q441" s="55"/>
      <c r="R441" s="49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</row>
    <row r="442" spans="1:41" x14ac:dyDescent="0.25">
      <c r="A442" s="46"/>
      <c r="B442" s="114"/>
      <c r="C442" s="114"/>
      <c r="D442" s="191"/>
      <c r="E442" s="191"/>
      <c r="F442" s="116"/>
      <c r="G442" s="52"/>
      <c r="H442" s="55"/>
      <c r="I442" s="54"/>
      <c r="J442" s="55"/>
      <c r="K442" s="55"/>
      <c r="L442" s="117"/>
      <c r="M442" s="56"/>
      <c r="N442" s="117"/>
      <c r="O442" s="55"/>
      <c r="P442" s="55"/>
      <c r="Q442" s="55"/>
      <c r="R442" s="49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</row>
    <row r="443" spans="1:41" x14ac:dyDescent="0.25">
      <c r="A443" s="46"/>
      <c r="B443" s="114"/>
      <c r="C443" s="114"/>
      <c r="D443" s="191"/>
      <c r="E443" s="191"/>
      <c r="F443" s="116"/>
      <c r="G443" s="52"/>
      <c r="H443" s="55"/>
      <c r="I443" s="54"/>
      <c r="J443" s="55"/>
      <c r="K443" s="55"/>
      <c r="L443" s="117"/>
      <c r="M443" s="56"/>
      <c r="N443" s="117"/>
      <c r="O443" s="55"/>
      <c r="P443" s="55"/>
      <c r="Q443" s="55"/>
      <c r="R443" s="49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</row>
    <row r="444" spans="1:41" x14ac:dyDescent="0.25">
      <c r="A444" s="46"/>
      <c r="B444" s="114"/>
      <c r="C444" s="114"/>
      <c r="D444" s="191"/>
      <c r="E444" s="191"/>
      <c r="F444" s="116"/>
      <c r="G444" s="52"/>
      <c r="H444" s="55"/>
      <c r="I444" s="54"/>
      <c r="J444" s="55"/>
      <c r="K444" s="55"/>
      <c r="L444" s="117"/>
      <c r="M444" s="56"/>
      <c r="N444" s="117"/>
      <c r="O444" s="55"/>
      <c r="P444" s="55"/>
      <c r="Q444" s="55"/>
      <c r="R444" s="49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</row>
    <row r="445" spans="1:41" x14ac:dyDescent="0.25">
      <c r="A445" s="46"/>
      <c r="B445" s="114"/>
      <c r="C445" s="114"/>
      <c r="D445" s="191"/>
      <c r="E445" s="191"/>
      <c r="F445" s="116"/>
      <c r="G445" s="52"/>
      <c r="H445" s="55"/>
      <c r="I445" s="54"/>
      <c r="J445" s="55"/>
      <c r="K445" s="55"/>
      <c r="L445" s="117"/>
      <c r="M445" s="56"/>
      <c r="N445" s="117"/>
      <c r="O445" s="55"/>
      <c r="P445" s="55"/>
      <c r="Q445" s="55"/>
      <c r="R445" s="49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</row>
    <row r="446" spans="1:41" x14ac:dyDescent="0.25">
      <c r="A446" s="46"/>
      <c r="B446" s="114"/>
      <c r="C446" s="114"/>
      <c r="D446" s="191"/>
      <c r="E446" s="191"/>
      <c r="F446" s="116"/>
      <c r="G446" s="52"/>
      <c r="H446" s="55"/>
      <c r="I446" s="54"/>
      <c r="J446" s="55"/>
      <c r="K446" s="55"/>
      <c r="L446" s="117"/>
      <c r="M446" s="56"/>
      <c r="N446" s="117"/>
      <c r="O446" s="55"/>
      <c r="P446" s="55"/>
      <c r="Q446" s="55"/>
      <c r="R446" s="49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</row>
    <row r="447" spans="1:41" x14ac:dyDescent="0.25">
      <c r="A447" s="46"/>
      <c r="B447" s="114"/>
      <c r="C447" s="114"/>
      <c r="D447" s="191"/>
      <c r="E447" s="191"/>
      <c r="F447" s="116"/>
      <c r="G447" s="52"/>
      <c r="H447" s="55"/>
      <c r="I447" s="54"/>
      <c r="J447" s="55"/>
      <c r="K447" s="55"/>
      <c r="L447" s="117"/>
      <c r="M447" s="56"/>
      <c r="N447" s="117"/>
      <c r="O447" s="55"/>
      <c r="P447" s="55"/>
      <c r="Q447" s="55"/>
      <c r="R447" s="49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</row>
    <row r="448" spans="1:41" x14ac:dyDescent="0.25">
      <c r="A448" s="46"/>
      <c r="B448" s="114"/>
      <c r="C448" s="114"/>
      <c r="D448" s="191"/>
      <c r="E448" s="191"/>
      <c r="F448" s="116"/>
      <c r="G448" s="52"/>
      <c r="H448" s="55"/>
      <c r="I448" s="54"/>
      <c r="J448" s="55"/>
      <c r="K448" s="55"/>
      <c r="L448" s="117"/>
      <c r="M448" s="56"/>
      <c r="N448" s="117"/>
      <c r="O448" s="55"/>
      <c r="P448" s="55"/>
      <c r="Q448" s="55"/>
      <c r="R448" s="49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</row>
    <row r="449" spans="1:41" x14ac:dyDescent="0.25">
      <c r="A449" s="46"/>
      <c r="B449" s="114"/>
      <c r="C449" s="114"/>
      <c r="D449" s="191"/>
      <c r="E449" s="191"/>
      <c r="F449" s="116"/>
      <c r="G449" s="52"/>
      <c r="H449" s="55"/>
      <c r="I449" s="54"/>
      <c r="J449" s="55"/>
      <c r="K449" s="55"/>
      <c r="L449" s="117"/>
      <c r="M449" s="56"/>
      <c r="N449" s="117"/>
      <c r="O449" s="55"/>
      <c r="P449" s="55"/>
      <c r="Q449" s="55"/>
      <c r="R449" s="49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</row>
    <row r="450" spans="1:41" x14ac:dyDescent="0.25">
      <c r="A450" s="46"/>
      <c r="B450" s="114"/>
      <c r="C450" s="114"/>
      <c r="D450" s="191"/>
      <c r="E450" s="191"/>
      <c r="F450" s="116"/>
      <c r="G450" s="52"/>
      <c r="H450" s="55"/>
      <c r="I450" s="54"/>
      <c r="J450" s="55"/>
      <c r="K450" s="55"/>
      <c r="L450" s="117"/>
      <c r="M450" s="56"/>
      <c r="N450" s="117"/>
      <c r="O450" s="55"/>
      <c r="P450" s="55"/>
      <c r="Q450" s="55"/>
      <c r="R450" s="49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</row>
    <row r="451" spans="1:41" x14ac:dyDescent="0.25">
      <c r="A451" s="46"/>
      <c r="B451" s="114"/>
      <c r="C451" s="114"/>
      <c r="D451" s="191"/>
      <c r="E451" s="191"/>
      <c r="F451" s="116"/>
      <c r="G451" s="52"/>
      <c r="H451" s="55"/>
      <c r="I451" s="54"/>
      <c r="J451" s="55"/>
      <c r="K451" s="55"/>
      <c r="L451" s="117"/>
      <c r="M451" s="56"/>
      <c r="N451" s="117"/>
      <c r="O451" s="55"/>
      <c r="P451" s="55"/>
      <c r="Q451" s="55"/>
      <c r="R451" s="49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</row>
    <row r="452" spans="1:41" x14ac:dyDescent="0.25">
      <c r="A452" s="46"/>
      <c r="B452" s="114"/>
      <c r="C452" s="114"/>
      <c r="D452" s="191"/>
      <c r="E452" s="191"/>
      <c r="F452" s="116"/>
      <c r="G452" s="52"/>
      <c r="H452" s="55"/>
      <c r="I452" s="54"/>
      <c r="J452" s="55"/>
      <c r="K452" s="55"/>
      <c r="L452" s="117"/>
      <c r="M452" s="56"/>
      <c r="N452" s="117"/>
      <c r="O452" s="55"/>
      <c r="P452" s="55"/>
      <c r="Q452" s="55"/>
      <c r="R452" s="49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</row>
    <row r="453" spans="1:41" x14ac:dyDescent="0.25">
      <c r="A453" s="46"/>
      <c r="B453" s="114"/>
      <c r="C453" s="114"/>
      <c r="D453" s="191"/>
      <c r="E453" s="191"/>
      <c r="F453" s="116"/>
      <c r="G453" s="52"/>
      <c r="H453" s="55"/>
      <c r="I453" s="54"/>
      <c r="J453" s="55"/>
      <c r="K453" s="55"/>
      <c r="L453" s="117"/>
      <c r="M453" s="56"/>
      <c r="N453" s="117"/>
      <c r="O453" s="55"/>
      <c r="P453" s="55"/>
      <c r="Q453" s="55"/>
      <c r="R453" s="49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</row>
    <row r="454" spans="1:41" x14ac:dyDescent="0.25">
      <c r="A454" s="46"/>
      <c r="B454" s="114"/>
      <c r="C454" s="114"/>
      <c r="D454" s="191"/>
      <c r="E454" s="191"/>
      <c r="F454" s="116"/>
      <c r="G454" s="52"/>
      <c r="H454" s="55"/>
      <c r="I454" s="54"/>
      <c r="J454" s="55"/>
      <c r="K454" s="55"/>
      <c r="L454" s="117"/>
      <c r="M454" s="56"/>
      <c r="N454" s="117"/>
      <c r="O454" s="55"/>
      <c r="P454" s="55"/>
      <c r="Q454" s="55"/>
      <c r="R454" s="49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</row>
    <row r="455" spans="1:41" x14ac:dyDescent="0.25">
      <c r="A455" s="46"/>
      <c r="B455" s="114"/>
      <c r="C455" s="114"/>
      <c r="D455" s="191"/>
      <c r="E455" s="191"/>
      <c r="F455" s="116"/>
      <c r="G455" s="52"/>
      <c r="H455" s="55"/>
      <c r="I455" s="54"/>
      <c r="J455" s="55"/>
      <c r="K455" s="55"/>
      <c r="L455" s="117"/>
      <c r="M455" s="56"/>
      <c r="N455" s="117"/>
      <c r="O455" s="55"/>
      <c r="P455" s="55"/>
      <c r="Q455" s="55"/>
      <c r="R455" s="49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</row>
    <row r="456" spans="1:41" x14ac:dyDescent="0.25">
      <c r="A456" s="46"/>
      <c r="B456" s="114"/>
      <c r="C456" s="114"/>
      <c r="D456" s="191"/>
      <c r="E456" s="191"/>
      <c r="F456" s="116"/>
      <c r="G456" s="52"/>
      <c r="H456" s="55"/>
      <c r="I456" s="54"/>
      <c r="J456" s="55"/>
      <c r="K456" s="55"/>
      <c r="L456" s="117"/>
      <c r="M456" s="56"/>
      <c r="N456" s="117"/>
      <c r="O456" s="55"/>
      <c r="P456" s="55"/>
      <c r="Q456" s="55"/>
      <c r="R456" s="49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</row>
    <row r="457" spans="1:41" x14ac:dyDescent="0.25">
      <c r="A457" s="46"/>
      <c r="B457" s="114"/>
      <c r="C457" s="114"/>
      <c r="D457" s="191"/>
      <c r="E457" s="191"/>
      <c r="F457" s="116"/>
      <c r="G457" s="52"/>
      <c r="H457" s="55"/>
      <c r="I457" s="54"/>
      <c r="J457" s="55"/>
      <c r="K457" s="55"/>
      <c r="L457" s="117"/>
      <c r="M457" s="56"/>
      <c r="N457" s="117"/>
      <c r="O457" s="55"/>
      <c r="P457" s="55"/>
      <c r="Q457" s="55"/>
      <c r="R457" s="49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</row>
    <row r="458" spans="1:41" x14ac:dyDescent="0.25">
      <c r="A458" s="46"/>
      <c r="B458" s="114"/>
      <c r="C458" s="114"/>
      <c r="D458" s="191"/>
      <c r="E458" s="191"/>
      <c r="F458" s="116"/>
      <c r="G458" s="52"/>
      <c r="H458" s="55"/>
      <c r="I458" s="54"/>
      <c r="J458" s="55"/>
      <c r="K458" s="55"/>
      <c r="L458" s="117"/>
      <c r="M458" s="56"/>
      <c r="N458" s="117"/>
      <c r="O458" s="55"/>
      <c r="P458" s="55"/>
      <c r="Q458" s="55"/>
      <c r="R458" s="49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</row>
    <row r="459" spans="1:41" x14ac:dyDescent="0.25">
      <c r="A459" s="46"/>
      <c r="B459" s="114"/>
      <c r="C459" s="114"/>
      <c r="D459" s="191"/>
      <c r="E459" s="191"/>
      <c r="F459" s="116"/>
      <c r="G459" s="52"/>
      <c r="H459" s="55"/>
      <c r="I459" s="54"/>
      <c r="J459" s="55"/>
      <c r="K459" s="55"/>
      <c r="L459" s="117"/>
      <c r="M459" s="56"/>
      <c r="N459" s="117"/>
      <c r="O459" s="55"/>
      <c r="P459" s="55"/>
      <c r="Q459" s="55"/>
      <c r="R459" s="49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</row>
    <row r="460" spans="1:41" x14ac:dyDescent="0.25">
      <c r="A460" s="46"/>
      <c r="B460" s="114"/>
      <c r="C460" s="114"/>
      <c r="D460" s="191"/>
      <c r="E460" s="191"/>
      <c r="F460" s="116"/>
      <c r="G460" s="52"/>
      <c r="H460" s="55"/>
      <c r="I460" s="54"/>
      <c r="J460" s="55"/>
      <c r="K460" s="55"/>
      <c r="L460" s="117"/>
      <c r="M460" s="56"/>
      <c r="N460" s="117"/>
      <c r="O460" s="55"/>
      <c r="P460" s="55"/>
      <c r="Q460" s="55"/>
      <c r="R460" s="49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</row>
    <row r="461" spans="1:41" x14ac:dyDescent="0.25">
      <c r="A461" s="46"/>
      <c r="B461" s="114"/>
      <c r="C461" s="114"/>
      <c r="D461" s="191"/>
      <c r="E461" s="191"/>
      <c r="F461" s="116"/>
      <c r="G461" s="52"/>
      <c r="H461" s="55"/>
      <c r="I461" s="54"/>
      <c r="J461" s="55"/>
      <c r="K461" s="55"/>
      <c r="L461" s="117"/>
      <c r="M461" s="56"/>
      <c r="N461" s="117"/>
      <c r="O461" s="55"/>
      <c r="P461" s="55"/>
      <c r="Q461" s="55"/>
      <c r="R461" s="49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</row>
    <row r="462" spans="1:41" x14ac:dyDescent="0.25">
      <c r="A462" s="46"/>
      <c r="B462" s="114"/>
      <c r="C462" s="114"/>
      <c r="D462" s="191"/>
      <c r="E462" s="191"/>
      <c r="F462" s="116"/>
      <c r="G462" s="52"/>
      <c r="H462" s="55"/>
      <c r="I462" s="54"/>
      <c r="J462" s="55"/>
      <c r="K462" s="55"/>
      <c r="L462" s="117"/>
      <c r="M462" s="56"/>
      <c r="N462" s="117"/>
      <c r="O462" s="55"/>
      <c r="P462" s="55"/>
      <c r="Q462" s="55"/>
      <c r="R462" s="49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</row>
    <row r="463" spans="1:41" x14ac:dyDescent="0.25">
      <c r="A463" s="46"/>
      <c r="B463" s="114"/>
      <c r="C463" s="114"/>
      <c r="D463" s="191"/>
      <c r="E463" s="191"/>
      <c r="F463" s="116"/>
      <c r="G463" s="52"/>
      <c r="H463" s="55"/>
      <c r="I463" s="54"/>
      <c r="J463" s="55"/>
      <c r="K463" s="55"/>
      <c r="L463" s="117"/>
      <c r="M463" s="56"/>
      <c r="N463" s="117"/>
      <c r="O463" s="55"/>
      <c r="P463" s="55"/>
      <c r="Q463" s="55"/>
      <c r="R463" s="49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</row>
    <row r="464" spans="1:41" x14ac:dyDescent="0.25">
      <c r="A464" s="46"/>
      <c r="B464" s="114"/>
      <c r="C464" s="114"/>
      <c r="D464" s="191"/>
      <c r="E464" s="191"/>
      <c r="F464" s="116"/>
      <c r="G464" s="52"/>
      <c r="H464" s="55"/>
      <c r="I464" s="54"/>
      <c r="J464" s="55"/>
      <c r="K464" s="55"/>
      <c r="L464" s="117"/>
      <c r="M464" s="56"/>
      <c r="N464" s="117"/>
      <c r="O464" s="55"/>
      <c r="P464" s="55"/>
      <c r="Q464" s="55"/>
      <c r="R464" s="49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</row>
    <row r="465" spans="1:41" x14ac:dyDescent="0.25">
      <c r="A465" s="46"/>
      <c r="B465" s="114"/>
      <c r="C465" s="114"/>
      <c r="D465" s="191"/>
      <c r="E465" s="191"/>
      <c r="F465" s="116"/>
      <c r="G465" s="52"/>
      <c r="H465" s="55"/>
      <c r="I465" s="54"/>
      <c r="J465" s="55"/>
      <c r="K465" s="55"/>
      <c r="L465" s="117"/>
      <c r="M465" s="56"/>
      <c r="N465" s="117"/>
      <c r="O465" s="55"/>
      <c r="P465" s="55"/>
      <c r="Q465" s="55"/>
      <c r="R465" s="49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</row>
    <row r="466" spans="1:41" x14ac:dyDescent="0.25">
      <c r="A466" s="46"/>
      <c r="B466" s="114"/>
      <c r="C466" s="114"/>
      <c r="D466" s="191"/>
      <c r="E466" s="191"/>
      <c r="F466" s="116"/>
      <c r="G466" s="52"/>
      <c r="H466" s="55"/>
      <c r="I466" s="54"/>
      <c r="J466" s="55"/>
      <c r="K466" s="55"/>
      <c r="L466" s="117"/>
      <c r="M466" s="56"/>
      <c r="N466" s="117"/>
      <c r="O466" s="55"/>
      <c r="P466" s="55"/>
      <c r="Q466" s="55"/>
      <c r="R466" s="49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</row>
    <row r="467" spans="1:41" x14ac:dyDescent="0.25">
      <c r="A467" s="46"/>
      <c r="B467" s="114"/>
      <c r="C467" s="114"/>
      <c r="D467" s="191"/>
      <c r="E467" s="191"/>
      <c r="F467" s="116"/>
      <c r="G467" s="52"/>
      <c r="H467" s="55"/>
      <c r="I467" s="54"/>
      <c r="J467" s="55"/>
      <c r="K467" s="55"/>
      <c r="L467" s="117"/>
      <c r="M467" s="56"/>
      <c r="N467" s="117"/>
      <c r="O467" s="55"/>
      <c r="P467" s="55"/>
      <c r="Q467" s="55"/>
      <c r="R467" s="49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</row>
    <row r="468" spans="1:41" x14ac:dyDescent="0.25">
      <c r="A468" s="46"/>
      <c r="B468" s="114"/>
      <c r="C468" s="114"/>
      <c r="D468" s="191"/>
      <c r="E468" s="191"/>
      <c r="F468" s="116"/>
      <c r="G468" s="52"/>
      <c r="H468" s="55"/>
      <c r="I468" s="54"/>
      <c r="J468" s="55"/>
      <c r="K468" s="55"/>
      <c r="L468" s="117"/>
      <c r="M468" s="56"/>
      <c r="N468" s="117"/>
      <c r="O468" s="55"/>
      <c r="P468" s="55"/>
      <c r="Q468" s="55"/>
      <c r="R468" s="49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</row>
    <row r="469" spans="1:41" x14ac:dyDescent="0.25">
      <c r="A469" s="46"/>
      <c r="B469" s="114"/>
      <c r="C469" s="114"/>
      <c r="D469" s="191"/>
      <c r="E469" s="191"/>
      <c r="F469" s="116"/>
      <c r="G469" s="52"/>
      <c r="H469" s="55"/>
      <c r="I469" s="54"/>
      <c r="J469" s="55"/>
      <c r="K469" s="55"/>
      <c r="L469" s="117"/>
      <c r="M469" s="56"/>
      <c r="N469" s="117"/>
      <c r="O469" s="55"/>
      <c r="P469" s="55"/>
      <c r="Q469" s="55"/>
      <c r="R469" s="49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</row>
    <row r="470" spans="1:41" x14ac:dyDescent="0.25">
      <c r="A470" s="46"/>
      <c r="B470" s="114"/>
      <c r="C470" s="114"/>
      <c r="D470" s="191"/>
      <c r="E470" s="191"/>
      <c r="F470" s="116"/>
      <c r="G470" s="52"/>
      <c r="H470" s="55"/>
      <c r="I470" s="54"/>
      <c r="J470" s="55"/>
      <c r="K470" s="55"/>
      <c r="L470" s="117"/>
      <c r="M470" s="56"/>
      <c r="N470" s="117"/>
      <c r="O470" s="55"/>
      <c r="P470" s="55"/>
      <c r="Q470" s="55"/>
      <c r="R470" s="49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</row>
    <row r="471" spans="1:41" x14ac:dyDescent="0.25">
      <c r="A471" s="46"/>
      <c r="B471" s="114"/>
      <c r="C471" s="114"/>
      <c r="D471" s="191"/>
      <c r="E471" s="191"/>
      <c r="F471" s="116"/>
      <c r="G471" s="52"/>
      <c r="H471" s="55"/>
      <c r="I471" s="54"/>
      <c r="J471" s="55"/>
      <c r="K471" s="55"/>
      <c r="L471" s="117"/>
      <c r="M471" s="56"/>
      <c r="N471" s="117"/>
      <c r="O471" s="55"/>
      <c r="P471" s="55"/>
      <c r="Q471" s="55"/>
      <c r="R471" s="49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</row>
    <row r="472" spans="1:41" x14ac:dyDescent="0.25">
      <c r="A472" s="46"/>
      <c r="B472" s="114"/>
      <c r="C472" s="114"/>
      <c r="D472" s="191"/>
      <c r="E472" s="191"/>
      <c r="F472" s="116"/>
      <c r="G472" s="52"/>
      <c r="H472" s="55"/>
      <c r="I472" s="54"/>
      <c r="J472" s="55"/>
      <c r="K472" s="55"/>
      <c r="L472" s="117"/>
      <c r="M472" s="56"/>
      <c r="N472" s="117"/>
      <c r="O472" s="55"/>
      <c r="P472" s="55"/>
      <c r="Q472" s="55"/>
      <c r="R472" s="49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</row>
    <row r="473" spans="1:41" x14ac:dyDescent="0.25">
      <c r="A473" s="46"/>
      <c r="B473" s="114"/>
      <c r="C473" s="114"/>
      <c r="D473" s="191"/>
      <c r="E473" s="191"/>
      <c r="F473" s="116"/>
      <c r="G473" s="52"/>
      <c r="H473" s="55"/>
      <c r="I473" s="54"/>
      <c r="J473" s="55"/>
      <c r="K473" s="55"/>
      <c r="L473" s="117"/>
      <c r="M473" s="56"/>
      <c r="N473" s="117"/>
      <c r="O473" s="55"/>
      <c r="P473" s="55"/>
      <c r="Q473" s="55"/>
      <c r="R473" s="49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</row>
    <row r="474" spans="1:41" x14ac:dyDescent="0.25">
      <c r="A474" s="46"/>
      <c r="B474" s="114"/>
      <c r="C474" s="114"/>
      <c r="D474" s="191"/>
      <c r="E474" s="191"/>
      <c r="F474" s="116"/>
      <c r="G474" s="52"/>
      <c r="H474" s="55"/>
      <c r="I474" s="54"/>
      <c r="J474" s="55"/>
      <c r="K474" s="55"/>
      <c r="L474" s="117"/>
      <c r="M474" s="56"/>
      <c r="N474" s="117"/>
      <c r="O474" s="55"/>
      <c r="P474" s="55"/>
      <c r="Q474" s="55"/>
      <c r="R474" s="49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</row>
    <row r="475" spans="1:41" x14ac:dyDescent="0.25">
      <c r="A475" s="46"/>
      <c r="B475" s="114"/>
      <c r="C475" s="114"/>
      <c r="D475" s="191"/>
      <c r="E475" s="191"/>
      <c r="F475" s="116"/>
      <c r="G475" s="52"/>
      <c r="H475" s="55"/>
      <c r="I475" s="54"/>
      <c r="J475" s="55"/>
      <c r="K475" s="55"/>
      <c r="L475" s="117"/>
      <c r="M475" s="56"/>
      <c r="N475" s="117"/>
      <c r="O475" s="55"/>
      <c r="P475" s="55"/>
      <c r="Q475" s="55"/>
      <c r="R475" s="49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</row>
    <row r="476" spans="1:41" x14ac:dyDescent="0.25">
      <c r="A476" s="46"/>
      <c r="B476" s="114"/>
      <c r="C476" s="114"/>
      <c r="D476" s="191"/>
      <c r="E476" s="191"/>
      <c r="F476" s="116"/>
      <c r="G476" s="52"/>
      <c r="H476" s="55"/>
      <c r="I476" s="54"/>
      <c r="J476" s="55"/>
      <c r="K476" s="55"/>
      <c r="L476" s="117"/>
      <c r="M476" s="56"/>
      <c r="N476" s="117"/>
      <c r="O476" s="55"/>
      <c r="P476" s="55"/>
      <c r="Q476" s="55"/>
      <c r="R476" s="49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</row>
    <row r="477" spans="1:41" x14ac:dyDescent="0.25">
      <c r="A477" s="46"/>
      <c r="B477" s="114"/>
      <c r="C477" s="114"/>
      <c r="D477" s="191"/>
      <c r="E477" s="191"/>
      <c r="F477" s="116"/>
      <c r="G477" s="52"/>
      <c r="H477" s="55"/>
      <c r="I477" s="54"/>
      <c r="J477" s="55"/>
      <c r="K477" s="55"/>
      <c r="L477" s="117"/>
      <c r="M477" s="56"/>
      <c r="N477" s="117"/>
      <c r="O477" s="55"/>
      <c r="P477" s="55"/>
      <c r="Q477" s="55"/>
      <c r="R477" s="49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</row>
    <row r="478" spans="1:41" x14ac:dyDescent="0.25">
      <c r="A478" s="46"/>
      <c r="B478" s="114"/>
      <c r="C478" s="114"/>
      <c r="D478" s="191"/>
      <c r="E478" s="191"/>
      <c r="F478" s="116"/>
      <c r="G478" s="52"/>
      <c r="H478" s="55"/>
      <c r="I478" s="54"/>
      <c r="J478" s="55"/>
      <c r="K478" s="55"/>
      <c r="L478" s="117"/>
      <c r="M478" s="56"/>
      <c r="N478" s="117"/>
      <c r="O478" s="55"/>
      <c r="P478" s="55"/>
      <c r="Q478" s="55"/>
      <c r="R478" s="49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</row>
    <row r="479" spans="1:41" x14ac:dyDescent="0.25">
      <c r="A479" s="46"/>
      <c r="B479" s="114"/>
      <c r="C479" s="114"/>
      <c r="D479" s="191"/>
      <c r="E479" s="191"/>
      <c r="F479" s="116"/>
      <c r="G479" s="52"/>
      <c r="H479" s="55"/>
      <c r="I479" s="54"/>
      <c r="J479" s="55"/>
      <c r="K479" s="55"/>
      <c r="L479" s="117"/>
      <c r="M479" s="56"/>
      <c r="N479" s="117"/>
      <c r="O479" s="55"/>
      <c r="P479" s="55"/>
      <c r="Q479" s="55"/>
      <c r="R479" s="49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</row>
    <row r="480" spans="1:41" x14ac:dyDescent="0.25">
      <c r="A480" s="46"/>
      <c r="B480" s="114"/>
      <c r="C480" s="114"/>
      <c r="D480" s="191"/>
      <c r="E480" s="191"/>
      <c r="F480" s="116"/>
      <c r="G480" s="52"/>
      <c r="H480" s="55"/>
      <c r="I480" s="54"/>
      <c r="J480" s="55"/>
      <c r="K480" s="55"/>
      <c r="L480" s="117"/>
      <c r="M480" s="56"/>
      <c r="N480" s="117"/>
      <c r="O480" s="55"/>
      <c r="P480" s="55"/>
      <c r="Q480" s="55"/>
      <c r="R480" s="49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</row>
    <row r="481" spans="1:41" x14ac:dyDescent="0.25">
      <c r="A481" s="46"/>
      <c r="B481" s="114"/>
      <c r="C481" s="114"/>
      <c r="D481" s="191"/>
      <c r="E481" s="191"/>
      <c r="F481" s="116"/>
      <c r="G481" s="52"/>
      <c r="H481" s="55"/>
      <c r="I481" s="54"/>
      <c r="J481" s="55"/>
      <c r="K481" s="55"/>
      <c r="L481" s="117"/>
      <c r="M481" s="56"/>
      <c r="N481" s="117"/>
      <c r="O481" s="55"/>
      <c r="P481" s="55"/>
      <c r="Q481" s="55"/>
      <c r="R481" s="49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</row>
    <row r="482" spans="1:41" x14ac:dyDescent="0.25">
      <c r="A482" s="46"/>
      <c r="B482" s="114"/>
      <c r="C482" s="114"/>
      <c r="D482" s="191"/>
      <c r="E482" s="191"/>
      <c r="F482" s="116"/>
      <c r="G482" s="52"/>
      <c r="H482" s="55"/>
      <c r="I482" s="54"/>
      <c r="J482" s="55"/>
      <c r="K482" s="55"/>
      <c r="L482" s="117"/>
      <c r="M482" s="56"/>
      <c r="N482" s="117"/>
      <c r="O482" s="55"/>
      <c r="P482" s="55"/>
      <c r="Q482" s="55"/>
      <c r="R482" s="49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</row>
    <row r="483" spans="1:41" x14ac:dyDescent="0.25">
      <c r="A483" s="46"/>
      <c r="B483" s="114"/>
      <c r="C483" s="114"/>
      <c r="D483" s="191"/>
      <c r="E483" s="191"/>
      <c r="F483" s="116"/>
      <c r="G483" s="52"/>
      <c r="H483" s="55"/>
      <c r="I483" s="54"/>
      <c r="J483" s="55"/>
      <c r="K483" s="55"/>
      <c r="L483" s="117"/>
      <c r="M483" s="56"/>
      <c r="N483" s="117"/>
      <c r="O483" s="55"/>
      <c r="P483" s="55"/>
      <c r="Q483" s="55"/>
      <c r="R483" s="49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</row>
    <row r="484" spans="1:41" x14ac:dyDescent="0.25">
      <c r="A484" s="46"/>
      <c r="B484" s="114"/>
      <c r="C484" s="114"/>
      <c r="D484" s="191"/>
      <c r="E484" s="191"/>
      <c r="F484" s="116"/>
      <c r="G484" s="52"/>
      <c r="H484" s="55"/>
      <c r="I484" s="54"/>
      <c r="J484" s="55"/>
      <c r="K484" s="55"/>
      <c r="L484" s="117"/>
      <c r="M484" s="56"/>
      <c r="N484" s="117"/>
      <c r="O484" s="55"/>
      <c r="P484" s="55"/>
      <c r="Q484" s="55"/>
      <c r="R484" s="49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</row>
    <row r="485" spans="1:41" x14ac:dyDescent="0.25">
      <c r="A485" s="46"/>
      <c r="B485" s="114"/>
      <c r="C485" s="114"/>
      <c r="D485" s="191"/>
      <c r="E485" s="191"/>
      <c r="F485" s="116"/>
      <c r="G485" s="52"/>
      <c r="H485" s="55"/>
      <c r="I485" s="54"/>
      <c r="J485" s="55"/>
      <c r="K485" s="55"/>
      <c r="L485" s="117"/>
      <c r="M485" s="56"/>
      <c r="N485" s="117"/>
      <c r="O485" s="55"/>
      <c r="P485" s="55"/>
      <c r="Q485" s="55"/>
      <c r="R485" s="49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</row>
    <row r="486" spans="1:41" x14ac:dyDescent="0.25">
      <c r="A486" s="46"/>
      <c r="B486" s="114"/>
      <c r="C486" s="114"/>
      <c r="D486" s="191"/>
      <c r="E486" s="191"/>
      <c r="F486" s="116"/>
      <c r="G486" s="52"/>
      <c r="H486" s="55"/>
      <c r="I486" s="54"/>
      <c r="J486" s="55"/>
      <c r="K486" s="55"/>
      <c r="L486" s="117"/>
      <c r="M486" s="56"/>
      <c r="N486" s="117"/>
      <c r="O486" s="55"/>
      <c r="P486" s="55"/>
      <c r="Q486" s="55"/>
      <c r="R486" s="49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</row>
    <row r="487" spans="1:41" x14ac:dyDescent="0.25">
      <c r="A487" s="46"/>
      <c r="B487" s="114"/>
      <c r="C487" s="114"/>
      <c r="D487" s="191"/>
      <c r="E487" s="191"/>
      <c r="F487" s="116"/>
      <c r="G487" s="52"/>
      <c r="H487" s="55"/>
      <c r="I487" s="54"/>
      <c r="J487" s="55"/>
      <c r="K487" s="55"/>
      <c r="L487" s="117"/>
      <c r="M487" s="56"/>
      <c r="N487" s="117"/>
      <c r="O487" s="55"/>
      <c r="P487" s="55"/>
      <c r="Q487" s="55"/>
      <c r="R487" s="49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</row>
    <row r="488" spans="1:41" x14ac:dyDescent="0.25">
      <c r="A488" s="46"/>
      <c r="B488" s="114"/>
      <c r="C488" s="114"/>
      <c r="D488" s="191"/>
      <c r="E488" s="191"/>
      <c r="F488" s="116"/>
      <c r="G488" s="52"/>
      <c r="H488" s="55"/>
      <c r="I488" s="54"/>
      <c r="J488" s="55"/>
      <c r="K488" s="55"/>
      <c r="L488" s="117"/>
      <c r="M488" s="56"/>
      <c r="N488" s="117"/>
      <c r="O488" s="55"/>
      <c r="P488" s="55"/>
      <c r="Q488" s="55"/>
      <c r="R488" s="49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</row>
    <row r="489" spans="1:41" x14ac:dyDescent="0.25">
      <c r="A489" s="46"/>
      <c r="B489" s="114"/>
      <c r="C489" s="114"/>
      <c r="D489" s="191"/>
      <c r="E489" s="191"/>
      <c r="F489" s="116"/>
      <c r="G489" s="52"/>
      <c r="H489" s="55"/>
      <c r="I489" s="54"/>
      <c r="J489" s="55"/>
      <c r="K489" s="55"/>
      <c r="L489" s="117"/>
      <c r="M489" s="56"/>
      <c r="N489" s="117"/>
      <c r="O489" s="55"/>
      <c r="P489" s="55"/>
      <c r="Q489" s="55"/>
      <c r="R489" s="49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</row>
    <row r="490" spans="1:41" x14ac:dyDescent="0.25">
      <c r="A490" s="46"/>
      <c r="B490" s="114"/>
      <c r="C490" s="114"/>
      <c r="D490" s="191"/>
      <c r="E490" s="191"/>
      <c r="F490" s="116"/>
      <c r="G490" s="52"/>
      <c r="H490" s="55"/>
      <c r="I490" s="54"/>
      <c r="J490" s="55"/>
      <c r="K490" s="55"/>
      <c r="L490" s="117"/>
      <c r="M490" s="56"/>
      <c r="N490" s="117"/>
      <c r="O490" s="55"/>
      <c r="P490" s="55"/>
      <c r="Q490" s="55"/>
      <c r="R490" s="49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</row>
    <row r="491" spans="1:41" x14ac:dyDescent="0.25">
      <c r="A491" s="46"/>
      <c r="B491" s="114"/>
      <c r="C491" s="114"/>
      <c r="D491" s="191"/>
      <c r="E491" s="191"/>
      <c r="F491" s="116"/>
      <c r="G491" s="52"/>
      <c r="H491" s="55"/>
      <c r="I491" s="54"/>
      <c r="J491" s="55"/>
      <c r="K491" s="55"/>
      <c r="L491" s="117"/>
      <c r="M491" s="56"/>
      <c r="N491" s="117"/>
      <c r="O491" s="55"/>
      <c r="P491" s="55"/>
      <c r="Q491" s="55"/>
      <c r="R491" s="49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</row>
    <row r="492" spans="1:41" x14ac:dyDescent="0.25">
      <c r="A492" s="46"/>
      <c r="B492" s="114"/>
      <c r="C492" s="114"/>
      <c r="D492" s="191"/>
      <c r="E492" s="191"/>
      <c r="F492" s="116"/>
      <c r="G492" s="52"/>
      <c r="H492" s="55"/>
      <c r="I492" s="54"/>
      <c r="J492" s="55"/>
      <c r="K492" s="55"/>
      <c r="L492" s="117"/>
      <c r="M492" s="56"/>
      <c r="N492" s="117"/>
      <c r="O492" s="55"/>
      <c r="P492" s="55"/>
      <c r="Q492" s="55"/>
      <c r="R492" s="49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</row>
    <row r="493" spans="1:41" x14ac:dyDescent="0.25">
      <c r="A493" s="46"/>
      <c r="B493" s="114"/>
      <c r="C493" s="114"/>
      <c r="D493" s="191"/>
      <c r="E493" s="191"/>
      <c r="F493" s="116"/>
      <c r="G493" s="52"/>
      <c r="H493" s="55"/>
      <c r="I493" s="54"/>
      <c r="J493" s="55"/>
      <c r="K493" s="55"/>
      <c r="L493" s="117"/>
      <c r="M493" s="56"/>
      <c r="N493" s="117"/>
      <c r="O493" s="55"/>
      <c r="P493" s="55"/>
      <c r="Q493" s="55"/>
      <c r="R493" s="49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</row>
    <row r="494" spans="1:41" x14ac:dyDescent="0.25">
      <c r="A494" s="46"/>
      <c r="B494" s="114"/>
      <c r="C494" s="114"/>
      <c r="D494" s="191"/>
      <c r="E494" s="191"/>
      <c r="F494" s="116"/>
      <c r="G494" s="52"/>
      <c r="H494" s="55"/>
      <c r="I494" s="54"/>
      <c r="J494" s="55"/>
      <c r="K494" s="55"/>
      <c r="L494" s="117"/>
      <c r="M494" s="56"/>
      <c r="N494" s="117"/>
      <c r="O494" s="55"/>
      <c r="P494" s="55"/>
      <c r="Q494" s="55"/>
      <c r="R494" s="49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</row>
    <row r="495" spans="1:41" x14ac:dyDescent="0.25">
      <c r="A495" s="46"/>
      <c r="B495" s="114"/>
      <c r="C495" s="114"/>
      <c r="D495" s="191"/>
      <c r="E495" s="191"/>
      <c r="F495" s="116"/>
      <c r="G495" s="52"/>
      <c r="H495" s="55"/>
      <c r="I495" s="54"/>
      <c r="J495" s="55"/>
      <c r="K495" s="55"/>
      <c r="L495" s="117"/>
      <c r="M495" s="56"/>
      <c r="N495" s="117"/>
      <c r="O495" s="55"/>
      <c r="P495" s="55"/>
      <c r="Q495" s="55"/>
      <c r="R495" s="49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</row>
    <row r="496" spans="1:41" x14ac:dyDescent="0.25">
      <c r="A496" s="46"/>
      <c r="B496" s="114"/>
      <c r="C496" s="114"/>
      <c r="D496" s="191"/>
      <c r="E496" s="191"/>
      <c r="F496" s="116"/>
      <c r="G496" s="52"/>
      <c r="H496" s="55"/>
      <c r="I496" s="54"/>
      <c r="J496" s="55"/>
      <c r="K496" s="55"/>
      <c r="L496" s="117"/>
      <c r="M496" s="56"/>
      <c r="N496" s="117"/>
      <c r="O496" s="55"/>
      <c r="P496" s="55"/>
      <c r="Q496" s="55"/>
      <c r="R496" s="49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</row>
    <row r="497" spans="1:41" x14ac:dyDescent="0.25">
      <c r="A497" s="46"/>
      <c r="B497" s="114"/>
      <c r="C497" s="114"/>
      <c r="D497" s="191"/>
      <c r="E497" s="191"/>
      <c r="F497" s="116"/>
      <c r="G497" s="52"/>
      <c r="H497" s="55"/>
      <c r="I497" s="54"/>
      <c r="J497" s="55"/>
      <c r="K497" s="55"/>
      <c r="L497" s="117"/>
      <c r="M497" s="56"/>
      <c r="N497" s="117"/>
      <c r="O497" s="55"/>
      <c r="P497" s="55"/>
      <c r="Q497" s="55"/>
      <c r="R497" s="49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</row>
    <row r="498" spans="1:41" x14ac:dyDescent="0.25">
      <c r="A498" s="46"/>
      <c r="B498" s="114"/>
      <c r="C498" s="114"/>
      <c r="D498" s="191"/>
      <c r="E498" s="191"/>
      <c r="F498" s="116"/>
      <c r="G498" s="52"/>
      <c r="H498" s="55"/>
      <c r="I498" s="54"/>
      <c r="J498" s="55"/>
      <c r="K498" s="55"/>
      <c r="L498" s="117"/>
      <c r="M498" s="56"/>
      <c r="N498" s="117"/>
      <c r="O498" s="55"/>
      <c r="P498" s="55"/>
      <c r="Q498" s="55"/>
      <c r="R498" s="49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</row>
    <row r="499" spans="1:41" x14ac:dyDescent="0.25">
      <c r="A499" s="46"/>
      <c r="B499" s="114"/>
      <c r="C499" s="114"/>
      <c r="D499" s="191"/>
      <c r="E499" s="191"/>
      <c r="F499" s="116"/>
      <c r="G499" s="52"/>
      <c r="H499" s="55"/>
      <c r="I499" s="54"/>
      <c r="J499" s="55"/>
      <c r="K499" s="55"/>
      <c r="L499" s="117"/>
      <c r="M499" s="56"/>
      <c r="N499" s="117"/>
      <c r="O499" s="55"/>
      <c r="P499" s="55"/>
      <c r="Q499" s="55"/>
      <c r="R499" s="49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</row>
    <row r="500" spans="1:41" x14ac:dyDescent="0.25">
      <c r="A500" s="46"/>
      <c r="B500" s="114"/>
      <c r="C500" s="114"/>
      <c r="D500" s="191"/>
      <c r="E500" s="191"/>
      <c r="F500" s="116"/>
      <c r="G500" s="52"/>
      <c r="H500" s="55"/>
      <c r="I500" s="54"/>
      <c r="J500" s="55"/>
      <c r="K500" s="55"/>
      <c r="L500" s="117"/>
      <c r="M500" s="56"/>
      <c r="N500" s="117"/>
      <c r="O500" s="55"/>
      <c r="P500" s="55"/>
      <c r="Q500" s="55"/>
      <c r="R500" s="49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</row>
    <row r="501" spans="1:41" x14ac:dyDescent="0.25">
      <c r="A501" s="46"/>
      <c r="B501" s="114"/>
      <c r="C501" s="114"/>
      <c r="D501" s="191"/>
      <c r="E501" s="191"/>
      <c r="F501" s="116"/>
      <c r="G501" s="52"/>
      <c r="H501" s="55"/>
      <c r="I501" s="54"/>
      <c r="J501" s="55"/>
      <c r="K501" s="55"/>
      <c r="L501" s="117"/>
      <c r="M501" s="56"/>
      <c r="N501" s="117"/>
      <c r="O501" s="55"/>
      <c r="P501" s="55"/>
      <c r="Q501" s="55"/>
      <c r="R501" s="49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</row>
    <row r="502" spans="1:41" x14ac:dyDescent="0.25">
      <c r="A502" s="46"/>
      <c r="B502" s="114"/>
      <c r="C502" s="114"/>
      <c r="D502" s="191"/>
      <c r="E502" s="191"/>
      <c r="F502" s="116"/>
      <c r="G502" s="52"/>
      <c r="H502" s="55"/>
      <c r="I502" s="54"/>
      <c r="J502" s="55"/>
      <c r="K502" s="55"/>
      <c r="L502" s="117"/>
      <c r="M502" s="56"/>
      <c r="N502" s="117"/>
      <c r="O502" s="55"/>
      <c r="P502" s="55"/>
      <c r="Q502" s="55"/>
      <c r="R502" s="49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</row>
    <row r="503" spans="1:41" x14ac:dyDescent="0.25">
      <c r="A503" s="46"/>
      <c r="B503" s="114"/>
      <c r="C503" s="114"/>
      <c r="D503" s="191"/>
      <c r="E503" s="191"/>
      <c r="F503" s="116"/>
      <c r="G503" s="52"/>
      <c r="H503" s="55"/>
      <c r="I503" s="54"/>
      <c r="J503" s="55"/>
      <c r="K503" s="55"/>
      <c r="L503" s="117"/>
      <c r="M503" s="56"/>
      <c r="N503" s="117"/>
      <c r="O503" s="55"/>
      <c r="P503" s="55"/>
      <c r="Q503" s="55"/>
      <c r="R503" s="49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</row>
    <row r="504" spans="1:41" x14ac:dyDescent="0.25">
      <c r="A504" s="46"/>
      <c r="B504" s="114"/>
      <c r="C504" s="114"/>
      <c r="D504" s="191"/>
      <c r="E504" s="191"/>
      <c r="F504" s="116"/>
      <c r="G504" s="52"/>
      <c r="H504" s="55"/>
      <c r="I504" s="54"/>
      <c r="J504" s="55"/>
      <c r="K504" s="55"/>
      <c r="L504" s="117"/>
      <c r="M504" s="56"/>
      <c r="N504" s="117"/>
      <c r="O504" s="55"/>
      <c r="P504" s="55"/>
      <c r="Q504" s="55"/>
      <c r="R504" s="49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</row>
    <row r="505" spans="1:41" x14ac:dyDescent="0.25">
      <c r="A505" s="46"/>
      <c r="B505" s="114"/>
      <c r="C505" s="114"/>
      <c r="D505" s="191"/>
      <c r="E505" s="191"/>
      <c r="F505" s="116"/>
      <c r="G505" s="52"/>
      <c r="H505" s="55"/>
      <c r="I505" s="54"/>
      <c r="J505" s="55"/>
      <c r="K505" s="55"/>
      <c r="L505" s="117"/>
      <c r="M505" s="56"/>
      <c r="N505" s="117"/>
      <c r="O505" s="55"/>
      <c r="P505" s="55"/>
      <c r="Q505" s="55"/>
      <c r="R505" s="49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</row>
    <row r="506" spans="1:41" x14ac:dyDescent="0.25">
      <c r="A506" s="46"/>
      <c r="B506" s="114"/>
      <c r="C506" s="114"/>
      <c r="D506" s="191"/>
      <c r="E506" s="191"/>
      <c r="F506" s="116"/>
      <c r="G506" s="52"/>
      <c r="H506" s="55"/>
      <c r="I506" s="54"/>
      <c r="J506" s="55"/>
      <c r="K506" s="55"/>
      <c r="L506" s="117"/>
      <c r="M506" s="56"/>
      <c r="N506" s="117"/>
      <c r="O506" s="55"/>
      <c r="P506" s="55"/>
      <c r="Q506" s="55"/>
      <c r="R506" s="49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</row>
    <row r="507" spans="1:41" x14ac:dyDescent="0.25">
      <c r="A507" s="46"/>
      <c r="B507" s="114"/>
      <c r="C507" s="114"/>
      <c r="D507" s="191"/>
      <c r="E507" s="191"/>
      <c r="F507" s="116"/>
      <c r="G507" s="52"/>
      <c r="H507" s="55"/>
      <c r="I507" s="54"/>
      <c r="J507" s="55"/>
      <c r="K507" s="55"/>
      <c r="L507" s="117"/>
      <c r="M507" s="56"/>
      <c r="N507" s="117"/>
      <c r="O507" s="55"/>
      <c r="P507" s="55"/>
      <c r="Q507" s="55"/>
      <c r="R507" s="49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</row>
    <row r="508" spans="1:41" x14ac:dyDescent="0.25">
      <c r="A508" s="46"/>
      <c r="B508" s="114"/>
      <c r="C508" s="114"/>
      <c r="D508" s="191"/>
      <c r="E508" s="191"/>
      <c r="F508" s="116"/>
      <c r="G508" s="52"/>
      <c r="H508" s="55"/>
      <c r="I508" s="54"/>
      <c r="J508" s="55"/>
      <c r="K508" s="55"/>
      <c r="L508" s="117"/>
      <c r="M508" s="56"/>
      <c r="N508" s="117"/>
      <c r="O508" s="55"/>
      <c r="P508" s="55"/>
      <c r="Q508" s="55"/>
      <c r="R508" s="49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</row>
    <row r="509" spans="1:41" x14ac:dyDescent="0.25">
      <c r="A509" s="46"/>
      <c r="B509" s="114"/>
      <c r="C509" s="114"/>
      <c r="D509" s="191"/>
      <c r="E509" s="191"/>
      <c r="F509" s="116"/>
      <c r="G509" s="52"/>
      <c r="H509" s="55"/>
      <c r="I509" s="54"/>
      <c r="J509" s="55"/>
      <c r="K509" s="55"/>
      <c r="L509" s="117"/>
      <c r="M509" s="56"/>
      <c r="N509" s="117"/>
      <c r="O509" s="55"/>
      <c r="P509" s="55"/>
      <c r="Q509" s="55"/>
      <c r="R509" s="49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</row>
    <row r="510" spans="1:41" x14ac:dyDescent="0.25">
      <c r="A510" s="46"/>
      <c r="B510" s="114"/>
      <c r="C510" s="114"/>
      <c r="D510" s="191"/>
      <c r="E510" s="191"/>
      <c r="F510" s="116"/>
      <c r="G510" s="52"/>
      <c r="H510" s="55"/>
      <c r="I510" s="54"/>
      <c r="J510" s="55"/>
      <c r="K510" s="55"/>
      <c r="L510" s="117"/>
      <c r="M510" s="56"/>
      <c r="N510" s="117"/>
      <c r="O510" s="55"/>
      <c r="P510" s="55"/>
      <c r="Q510" s="55"/>
      <c r="R510" s="49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</row>
    <row r="511" spans="1:41" x14ac:dyDescent="0.25">
      <c r="A511" s="46"/>
      <c r="B511" s="114"/>
      <c r="C511" s="114"/>
      <c r="D511" s="191"/>
      <c r="E511" s="191"/>
      <c r="F511" s="116"/>
      <c r="G511" s="52"/>
      <c r="H511" s="55"/>
      <c r="I511" s="54"/>
      <c r="J511" s="55"/>
      <c r="K511" s="55"/>
      <c r="L511" s="117"/>
      <c r="M511" s="56"/>
      <c r="N511" s="117"/>
      <c r="O511" s="55"/>
      <c r="P511" s="55"/>
      <c r="Q511" s="55"/>
      <c r="R511" s="49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</row>
    <row r="512" spans="1:41" x14ac:dyDescent="0.25">
      <c r="A512" s="46"/>
      <c r="B512" s="114"/>
      <c r="C512" s="114"/>
      <c r="D512" s="191"/>
      <c r="E512" s="191"/>
      <c r="F512" s="116"/>
      <c r="G512" s="52"/>
      <c r="H512" s="55"/>
      <c r="I512" s="54"/>
      <c r="J512" s="55"/>
      <c r="K512" s="55"/>
      <c r="L512" s="117"/>
      <c r="M512" s="56"/>
      <c r="N512" s="117"/>
      <c r="O512" s="55"/>
      <c r="P512" s="55"/>
      <c r="Q512" s="55"/>
      <c r="R512" s="49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</row>
    <row r="513" spans="1:41" x14ac:dyDescent="0.25">
      <c r="A513" s="46"/>
      <c r="B513" s="114"/>
      <c r="C513" s="114"/>
      <c r="D513" s="191"/>
      <c r="E513" s="191"/>
      <c r="F513" s="116"/>
      <c r="G513" s="52"/>
      <c r="H513" s="55"/>
      <c r="I513" s="54"/>
      <c r="J513" s="55"/>
      <c r="K513" s="55"/>
      <c r="L513" s="117"/>
      <c r="M513" s="56"/>
      <c r="N513" s="117"/>
      <c r="O513" s="55"/>
      <c r="P513" s="55"/>
      <c r="Q513" s="55"/>
      <c r="R513" s="49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</row>
    <row r="514" spans="1:41" x14ac:dyDescent="0.25">
      <c r="A514" s="46"/>
      <c r="B514" s="114"/>
      <c r="C514" s="114"/>
      <c r="D514" s="191"/>
      <c r="E514" s="191"/>
      <c r="F514" s="116"/>
      <c r="G514" s="52"/>
      <c r="H514" s="55"/>
      <c r="I514" s="54"/>
      <c r="J514" s="55"/>
      <c r="K514" s="55"/>
      <c r="L514" s="117"/>
      <c r="M514" s="56"/>
      <c r="N514" s="117"/>
      <c r="O514" s="55"/>
      <c r="P514" s="55"/>
      <c r="Q514" s="55"/>
      <c r="R514" s="49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</row>
    <row r="515" spans="1:41" x14ac:dyDescent="0.25">
      <c r="A515" s="46"/>
      <c r="B515" s="114"/>
      <c r="C515" s="114"/>
      <c r="D515" s="191"/>
      <c r="E515" s="191"/>
      <c r="F515" s="116"/>
      <c r="G515" s="52"/>
      <c r="H515" s="55"/>
      <c r="I515" s="54"/>
      <c r="J515" s="55"/>
      <c r="K515" s="55"/>
      <c r="L515" s="117"/>
      <c r="M515" s="56"/>
      <c r="N515" s="117"/>
      <c r="O515" s="55"/>
      <c r="P515" s="55"/>
      <c r="Q515" s="55"/>
      <c r="R515" s="49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</row>
    <row r="516" spans="1:41" x14ac:dyDescent="0.25">
      <c r="A516" s="46"/>
      <c r="B516" s="114"/>
      <c r="C516" s="114"/>
      <c r="D516" s="191"/>
      <c r="E516" s="191"/>
      <c r="F516" s="116"/>
      <c r="G516" s="52"/>
      <c r="H516" s="55"/>
      <c r="I516" s="54"/>
      <c r="J516" s="55"/>
      <c r="K516" s="55"/>
      <c r="L516" s="117"/>
      <c r="M516" s="56"/>
      <c r="N516" s="117"/>
      <c r="O516" s="55"/>
      <c r="P516" s="55"/>
      <c r="Q516" s="55"/>
      <c r="R516" s="49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</row>
    <row r="517" spans="1:41" x14ac:dyDescent="0.25">
      <c r="A517" s="46"/>
      <c r="B517" s="114"/>
      <c r="C517" s="114"/>
      <c r="D517" s="191"/>
      <c r="E517" s="191"/>
      <c r="F517" s="116"/>
      <c r="G517" s="52"/>
      <c r="H517" s="55"/>
      <c r="I517" s="54"/>
      <c r="J517" s="55"/>
      <c r="K517" s="55"/>
      <c r="L517" s="117"/>
      <c r="M517" s="56"/>
      <c r="N517" s="117"/>
      <c r="O517" s="55"/>
      <c r="P517" s="55"/>
      <c r="Q517" s="55"/>
      <c r="R517" s="49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</row>
    <row r="518" spans="1:41" x14ac:dyDescent="0.25">
      <c r="A518" s="46"/>
      <c r="B518" s="114"/>
      <c r="C518" s="114"/>
      <c r="D518" s="191"/>
      <c r="E518" s="191"/>
      <c r="F518" s="116"/>
      <c r="G518" s="52"/>
      <c r="H518" s="55"/>
      <c r="I518" s="54"/>
      <c r="J518" s="55"/>
      <c r="K518" s="55"/>
      <c r="L518" s="117"/>
      <c r="M518" s="56"/>
      <c r="N518" s="117"/>
      <c r="O518" s="55"/>
      <c r="P518" s="55"/>
      <c r="Q518" s="55"/>
      <c r="R518" s="49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</row>
    <row r="519" spans="1:41" x14ac:dyDescent="0.25">
      <c r="A519" s="46"/>
      <c r="B519" s="114"/>
      <c r="C519" s="114"/>
      <c r="D519" s="191"/>
      <c r="E519" s="191"/>
      <c r="F519" s="116"/>
      <c r="G519" s="52"/>
      <c r="H519" s="55"/>
      <c r="I519" s="54"/>
      <c r="J519" s="55"/>
      <c r="K519" s="55"/>
      <c r="L519" s="117"/>
      <c r="M519" s="56"/>
      <c r="N519" s="117"/>
      <c r="O519" s="55"/>
      <c r="P519" s="55"/>
      <c r="Q519" s="55"/>
      <c r="R519" s="49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</row>
    <row r="520" spans="1:41" x14ac:dyDescent="0.25">
      <c r="A520" s="46"/>
      <c r="B520" s="114"/>
      <c r="C520" s="114"/>
      <c r="D520" s="191"/>
      <c r="E520" s="191"/>
      <c r="F520" s="116"/>
      <c r="G520" s="52"/>
      <c r="H520" s="55"/>
      <c r="I520" s="54"/>
      <c r="J520" s="55"/>
      <c r="K520" s="55"/>
      <c r="L520" s="117"/>
      <c r="M520" s="56"/>
      <c r="N520" s="117"/>
      <c r="O520" s="55"/>
      <c r="P520" s="55"/>
      <c r="Q520" s="55"/>
      <c r="R520" s="49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</row>
    <row r="521" spans="1:41" x14ac:dyDescent="0.25">
      <c r="A521" s="46"/>
      <c r="B521" s="114"/>
      <c r="C521" s="114"/>
      <c r="D521" s="191"/>
      <c r="E521" s="191"/>
      <c r="F521" s="116"/>
      <c r="G521" s="52"/>
      <c r="H521" s="55"/>
      <c r="I521" s="54"/>
      <c r="J521" s="55"/>
      <c r="K521" s="55"/>
      <c r="L521" s="117"/>
      <c r="M521" s="56"/>
      <c r="N521" s="117"/>
      <c r="O521" s="55"/>
      <c r="P521" s="55"/>
      <c r="Q521" s="55"/>
      <c r="R521" s="49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</row>
    <row r="522" spans="1:41" x14ac:dyDescent="0.25">
      <c r="A522" s="46"/>
      <c r="B522" s="114"/>
      <c r="C522" s="114"/>
      <c r="D522" s="191"/>
      <c r="E522" s="191"/>
      <c r="F522" s="116"/>
      <c r="G522" s="52"/>
      <c r="H522" s="55"/>
      <c r="I522" s="54"/>
      <c r="J522" s="55"/>
      <c r="K522" s="55"/>
      <c r="L522" s="117"/>
      <c r="M522" s="56"/>
      <c r="N522" s="117"/>
      <c r="O522" s="55"/>
      <c r="P522" s="55"/>
      <c r="Q522" s="55"/>
      <c r="R522" s="49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</row>
    <row r="523" spans="1:41" x14ac:dyDescent="0.25">
      <c r="A523" s="46"/>
      <c r="B523" s="114"/>
      <c r="C523" s="114"/>
      <c r="D523" s="191"/>
      <c r="E523" s="191"/>
      <c r="F523" s="116"/>
      <c r="G523" s="52"/>
      <c r="H523" s="55"/>
      <c r="I523" s="54"/>
      <c r="J523" s="55"/>
      <c r="K523" s="55"/>
      <c r="L523" s="117"/>
      <c r="M523" s="56"/>
      <c r="N523" s="117"/>
      <c r="O523" s="55"/>
      <c r="P523" s="55"/>
      <c r="Q523" s="55"/>
      <c r="R523" s="49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</row>
    <row r="524" spans="1:41" x14ac:dyDescent="0.25">
      <c r="A524" s="46"/>
      <c r="B524" s="114"/>
      <c r="C524" s="114"/>
      <c r="D524" s="191"/>
      <c r="E524" s="191"/>
      <c r="F524" s="116"/>
      <c r="G524" s="52"/>
      <c r="H524" s="55"/>
      <c r="I524" s="54"/>
      <c r="J524" s="55"/>
      <c r="K524" s="55"/>
      <c r="L524" s="117"/>
      <c r="M524" s="56"/>
      <c r="N524" s="117"/>
      <c r="O524" s="55"/>
      <c r="P524" s="55"/>
      <c r="Q524" s="55"/>
      <c r="R524" s="49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</row>
    <row r="525" spans="1:41" x14ac:dyDescent="0.25">
      <c r="A525" s="46"/>
      <c r="B525" s="114"/>
      <c r="C525" s="114"/>
      <c r="D525" s="191"/>
      <c r="E525" s="191"/>
      <c r="F525" s="116"/>
      <c r="G525" s="52"/>
      <c r="H525" s="55"/>
      <c r="I525" s="54"/>
      <c r="J525" s="55"/>
      <c r="K525" s="55"/>
      <c r="L525" s="117"/>
      <c r="M525" s="56"/>
      <c r="N525" s="117"/>
      <c r="O525" s="55"/>
      <c r="P525" s="55"/>
      <c r="Q525" s="55"/>
      <c r="R525" s="49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</row>
    <row r="526" spans="1:41" x14ac:dyDescent="0.25">
      <c r="A526" s="46"/>
      <c r="B526" s="114"/>
      <c r="C526" s="114"/>
      <c r="D526" s="191"/>
      <c r="E526" s="191"/>
      <c r="F526" s="116"/>
      <c r="G526" s="52"/>
      <c r="H526" s="55"/>
      <c r="I526" s="54"/>
      <c r="J526" s="55"/>
      <c r="K526" s="55"/>
      <c r="L526" s="117"/>
      <c r="M526" s="56"/>
      <c r="N526" s="117"/>
      <c r="O526" s="55"/>
      <c r="P526" s="55"/>
      <c r="Q526" s="55"/>
      <c r="R526" s="49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</row>
    <row r="527" spans="1:41" x14ac:dyDescent="0.25">
      <c r="A527" s="46"/>
      <c r="B527" s="114"/>
      <c r="C527" s="114"/>
      <c r="D527" s="191"/>
      <c r="E527" s="191"/>
      <c r="F527" s="116"/>
      <c r="G527" s="52"/>
      <c r="H527" s="55"/>
      <c r="I527" s="54"/>
      <c r="J527" s="55"/>
      <c r="K527" s="55"/>
      <c r="L527" s="117"/>
      <c r="M527" s="56"/>
      <c r="N527" s="117"/>
      <c r="O527" s="55"/>
      <c r="P527" s="55"/>
      <c r="Q527" s="55"/>
      <c r="R527" s="49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</row>
    <row r="528" spans="1:41" x14ac:dyDescent="0.25">
      <c r="A528" s="46"/>
      <c r="B528" s="114"/>
      <c r="C528" s="114"/>
      <c r="D528" s="191"/>
      <c r="E528" s="191"/>
      <c r="F528" s="116"/>
      <c r="G528" s="52"/>
      <c r="H528" s="55"/>
      <c r="I528" s="54"/>
      <c r="J528" s="55"/>
      <c r="K528" s="55"/>
      <c r="L528" s="117"/>
      <c r="M528" s="56"/>
      <c r="N528" s="117"/>
      <c r="O528" s="55"/>
      <c r="P528" s="55"/>
      <c r="Q528" s="55"/>
      <c r="R528" s="49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</row>
    <row r="529" spans="1:41" x14ac:dyDescent="0.25">
      <c r="A529" s="46"/>
      <c r="B529" s="114"/>
      <c r="C529" s="114"/>
      <c r="D529" s="191"/>
      <c r="E529" s="191"/>
      <c r="F529" s="116"/>
      <c r="G529" s="52"/>
      <c r="H529" s="55"/>
      <c r="I529" s="54"/>
      <c r="J529" s="55"/>
      <c r="K529" s="55"/>
      <c r="L529" s="117"/>
      <c r="M529" s="56"/>
      <c r="N529" s="117"/>
      <c r="O529" s="55"/>
      <c r="P529" s="55"/>
      <c r="Q529" s="55"/>
      <c r="R529" s="49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</row>
    <row r="530" spans="1:41" x14ac:dyDescent="0.25">
      <c r="A530" s="46"/>
      <c r="B530" s="114"/>
      <c r="C530" s="114"/>
      <c r="D530" s="191"/>
      <c r="E530" s="191"/>
      <c r="F530" s="116"/>
      <c r="G530" s="52"/>
      <c r="H530" s="55"/>
      <c r="I530" s="54"/>
      <c r="J530" s="55"/>
      <c r="K530" s="55"/>
      <c r="L530" s="117"/>
      <c r="M530" s="56"/>
      <c r="N530" s="117"/>
      <c r="O530" s="55"/>
      <c r="P530" s="55"/>
      <c r="Q530" s="55"/>
      <c r="R530" s="49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</row>
    <row r="531" spans="1:41" x14ac:dyDescent="0.25">
      <c r="A531" s="46"/>
      <c r="B531" s="114"/>
      <c r="C531" s="114"/>
      <c r="D531" s="191"/>
      <c r="E531" s="191"/>
      <c r="F531" s="116"/>
      <c r="G531" s="52"/>
      <c r="H531" s="55"/>
      <c r="I531" s="54"/>
      <c r="J531" s="55"/>
      <c r="K531" s="55"/>
      <c r="L531" s="117"/>
      <c r="M531" s="56"/>
      <c r="N531" s="117"/>
      <c r="O531" s="55"/>
      <c r="P531" s="55"/>
      <c r="Q531" s="55"/>
      <c r="R531" s="49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</row>
    <row r="532" spans="1:41" x14ac:dyDescent="0.25">
      <c r="A532" s="46"/>
      <c r="B532" s="114"/>
      <c r="C532" s="114"/>
      <c r="D532" s="191"/>
      <c r="E532" s="191"/>
      <c r="F532" s="116"/>
      <c r="G532" s="52"/>
      <c r="H532" s="55"/>
      <c r="I532" s="54"/>
      <c r="J532" s="55"/>
      <c r="K532" s="55"/>
      <c r="L532" s="117"/>
      <c r="M532" s="56"/>
      <c r="N532" s="117"/>
      <c r="O532" s="55"/>
      <c r="P532" s="55"/>
      <c r="Q532" s="55"/>
      <c r="R532" s="49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</row>
    <row r="533" spans="1:41" x14ac:dyDescent="0.25">
      <c r="A533" s="46"/>
      <c r="B533" s="114"/>
      <c r="C533" s="114"/>
      <c r="D533" s="191"/>
      <c r="E533" s="191"/>
      <c r="F533" s="116"/>
      <c r="G533" s="52"/>
      <c r="H533" s="55"/>
      <c r="I533" s="54"/>
      <c r="J533" s="55"/>
      <c r="K533" s="55"/>
      <c r="L533" s="117"/>
      <c r="M533" s="56"/>
      <c r="N533" s="117"/>
      <c r="O533" s="55"/>
      <c r="P533" s="55"/>
      <c r="Q533" s="55"/>
      <c r="R533" s="49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</row>
    <row r="534" spans="1:41" x14ac:dyDescent="0.25">
      <c r="A534" s="46"/>
      <c r="B534" s="114"/>
      <c r="C534" s="114"/>
      <c r="D534" s="191"/>
      <c r="E534" s="191"/>
      <c r="F534" s="116"/>
      <c r="G534" s="52"/>
      <c r="H534" s="55"/>
      <c r="I534" s="54"/>
      <c r="J534" s="55"/>
      <c r="K534" s="55"/>
      <c r="L534" s="117"/>
      <c r="M534" s="56"/>
      <c r="N534" s="117"/>
      <c r="O534" s="55"/>
      <c r="P534" s="55"/>
      <c r="Q534" s="55"/>
      <c r="R534" s="49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</row>
    <row r="535" spans="1:41" x14ac:dyDescent="0.25">
      <c r="A535" s="46"/>
      <c r="B535" s="114"/>
      <c r="C535" s="114"/>
      <c r="D535" s="191"/>
      <c r="E535" s="191"/>
      <c r="F535" s="116"/>
      <c r="G535" s="52"/>
      <c r="H535" s="55"/>
      <c r="I535" s="54"/>
      <c r="J535" s="55"/>
      <c r="K535" s="55"/>
      <c r="L535" s="117"/>
      <c r="M535" s="56"/>
      <c r="N535" s="117"/>
      <c r="O535" s="55"/>
      <c r="P535" s="55"/>
      <c r="Q535" s="55"/>
      <c r="R535" s="49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</row>
    <row r="536" spans="1:41" x14ac:dyDescent="0.25">
      <c r="A536" s="46"/>
      <c r="B536" s="114"/>
      <c r="C536" s="114"/>
      <c r="D536" s="191"/>
      <c r="E536" s="191"/>
      <c r="F536" s="116"/>
      <c r="G536" s="52"/>
      <c r="H536" s="55"/>
      <c r="I536" s="54"/>
      <c r="J536" s="55"/>
      <c r="K536" s="55"/>
      <c r="L536" s="117"/>
      <c r="M536" s="56"/>
      <c r="N536" s="117"/>
      <c r="O536" s="55"/>
      <c r="P536" s="55"/>
      <c r="Q536" s="55"/>
      <c r="R536" s="49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</row>
    <row r="537" spans="1:41" x14ac:dyDescent="0.25">
      <c r="A537" s="46"/>
      <c r="B537" s="114"/>
      <c r="C537" s="114"/>
      <c r="D537" s="191"/>
      <c r="E537" s="191"/>
      <c r="F537" s="116"/>
      <c r="G537" s="52"/>
      <c r="H537" s="55"/>
      <c r="I537" s="54"/>
      <c r="J537" s="55"/>
      <c r="K537" s="55"/>
      <c r="L537" s="117"/>
      <c r="M537" s="56"/>
      <c r="N537" s="117"/>
      <c r="O537" s="55"/>
      <c r="P537" s="55"/>
      <c r="Q537" s="55"/>
      <c r="R537" s="49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</row>
    <row r="538" spans="1:41" x14ac:dyDescent="0.25">
      <c r="A538" s="46"/>
      <c r="B538" s="114"/>
      <c r="C538" s="114"/>
      <c r="D538" s="191"/>
      <c r="E538" s="191"/>
      <c r="F538" s="116"/>
      <c r="G538" s="52"/>
      <c r="H538" s="55"/>
      <c r="I538" s="54"/>
      <c r="J538" s="55"/>
      <c r="K538" s="55"/>
      <c r="L538" s="117"/>
      <c r="M538" s="56"/>
      <c r="N538" s="117"/>
      <c r="O538" s="55"/>
      <c r="P538" s="55"/>
      <c r="Q538" s="55"/>
      <c r="R538" s="49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</row>
    <row r="539" spans="1:41" x14ac:dyDescent="0.25">
      <c r="A539" s="46"/>
      <c r="B539" s="114"/>
      <c r="C539" s="114"/>
      <c r="D539" s="191"/>
      <c r="E539" s="191"/>
      <c r="F539" s="116"/>
      <c r="G539" s="52"/>
      <c r="H539" s="55"/>
      <c r="I539" s="54"/>
      <c r="J539" s="55"/>
      <c r="K539" s="55"/>
      <c r="L539" s="117"/>
      <c r="M539" s="56"/>
      <c r="N539" s="117"/>
      <c r="O539" s="55"/>
      <c r="P539" s="55"/>
      <c r="Q539" s="55"/>
      <c r="R539" s="49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</row>
    <row r="540" spans="1:41" x14ac:dyDescent="0.25">
      <c r="A540" s="46"/>
      <c r="B540" s="114"/>
      <c r="C540" s="114"/>
      <c r="D540" s="191"/>
      <c r="E540" s="191"/>
      <c r="F540" s="116"/>
      <c r="G540" s="52"/>
      <c r="H540" s="55"/>
      <c r="I540" s="54"/>
      <c r="J540" s="55"/>
      <c r="K540" s="55"/>
      <c r="L540" s="117"/>
      <c r="M540" s="56"/>
      <c r="N540" s="117"/>
      <c r="O540" s="55"/>
      <c r="P540" s="55"/>
      <c r="Q540" s="55"/>
      <c r="R540" s="49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</row>
    <row r="541" spans="1:41" x14ac:dyDescent="0.25">
      <c r="A541" s="46"/>
      <c r="B541" s="114"/>
      <c r="C541" s="114"/>
      <c r="D541" s="191"/>
      <c r="E541" s="191"/>
      <c r="F541" s="116"/>
      <c r="G541" s="52"/>
      <c r="H541" s="55"/>
      <c r="I541" s="54"/>
      <c r="J541" s="55"/>
      <c r="K541" s="55"/>
      <c r="L541" s="117"/>
      <c r="M541" s="56"/>
      <c r="N541" s="117"/>
      <c r="O541" s="55"/>
      <c r="P541" s="55"/>
      <c r="Q541" s="55"/>
      <c r="R541" s="49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</row>
    <row r="542" spans="1:41" x14ac:dyDescent="0.25">
      <c r="A542" s="46"/>
      <c r="B542" s="114"/>
      <c r="C542" s="114"/>
      <c r="D542" s="191"/>
      <c r="E542" s="191"/>
      <c r="F542" s="116"/>
      <c r="G542" s="52"/>
      <c r="H542" s="55"/>
      <c r="I542" s="54"/>
      <c r="J542" s="55"/>
      <c r="K542" s="55"/>
      <c r="L542" s="117"/>
      <c r="M542" s="56"/>
      <c r="N542" s="117"/>
      <c r="O542" s="55"/>
      <c r="P542" s="55"/>
      <c r="Q542" s="55"/>
      <c r="R542" s="49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</row>
    <row r="543" spans="1:41" x14ac:dyDescent="0.25">
      <c r="A543" s="46"/>
      <c r="B543" s="114"/>
      <c r="C543" s="114"/>
      <c r="D543" s="191"/>
      <c r="E543" s="191"/>
      <c r="F543" s="116"/>
      <c r="G543" s="52"/>
      <c r="H543" s="55"/>
      <c r="I543" s="54"/>
      <c r="J543" s="55"/>
      <c r="K543" s="55"/>
      <c r="L543" s="117"/>
      <c r="M543" s="56"/>
      <c r="N543" s="117"/>
      <c r="O543" s="55"/>
      <c r="P543" s="55"/>
      <c r="Q543" s="55"/>
      <c r="R543" s="49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</row>
    <row r="544" spans="1:41" x14ac:dyDescent="0.25">
      <c r="A544" s="46"/>
      <c r="B544" s="114"/>
      <c r="C544" s="114"/>
      <c r="D544" s="191"/>
      <c r="E544" s="191"/>
      <c r="F544" s="116"/>
      <c r="G544" s="52"/>
      <c r="H544" s="55"/>
      <c r="I544" s="54"/>
      <c r="J544" s="55"/>
      <c r="K544" s="55"/>
      <c r="L544" s="117"/>
      <c r="M544" s="56"/>
      <c r="N544" s="117"/>
      <c r="O544" s="55"/>
      <c r="P544" s="55"/>
      <c r="Q544" s="55"/>
      <c r="R544" s="49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</row>
    <row r="545" spans="1:41" x14ac:dyDescent="0.25">
      <c r="A545" s="46"/>
      <c r="B545" s="114"/>
      <c r="C545" s="114"/>
      <c r="D545" s="191"/>
      <c r="E545" s="191"/>
      <c r="F545" s="116"/>
      <c r="G545" s="52"/>
      <c r="H545" s="55"/>
      <c r="I545" s="54"/>
      <c r="J545" s="55"/>
      <c r="K545" s="55"/>
      <c r="L545" s="117"/>
      <c r="M545" s="56"/>
      <c r="N545" s="117"/>
      <c r="O545" s="55"/>
      <c r="P545" s="55"/>
      <c r="Q545" s="55"/>
      <c r="R545" s="49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</row>
    <row r="546" spans="1:41" x14ac:dyDescent="0.25">
      <c r="A546" s="46"/>
      <c r="B546" s="114"/>
      <c r="C546" s="114"/>
      <c r="D546" s="191"/>
      <c r="E546" s="191"/>
      <c r="F546" s="116"/>
      <c r="G546" s="52"/>
      <c r="H546" s="55"/>
      <c r="I546" s="54"/>
      <c r="J546" s="55"/>
      <c r="K546" s="55"/>
      <c r="L546" s="117"/>
      <c r="M546" s="56"/>
      <c r="N546" s="117"/>
      <c r="O546" s="55"/>
      <c r="P546" s="55"/>
      <c r="Q546" s="55"/>
      <c r="R546" s="49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</row>
    <row r="547" spans="1:41" x14ac:dyDescent="0.25">
      <c r="A547" s="46"/>
      <c r="B547" s="114"/>
      <c r="C547" s="114"/>
      <c r="D547" s="191"/>
      <c r="E547" s="191"/>
      <c r="F547" s="116"/>
      <c r="G547" s="52"/>
      <c r="H547" s="55"/>
      <c r="I547" s="54"/>
      <c r="J547" s="55"/>
      <c r="K547" s="55"/>
      <c r="L547" s="117"/>
      <c r="M547" s="56"/>
      <c r="N547" s="117"/>
      <c r="O547" s="55"/>
      <c r="P547" s="55"/>
      <c r="Q547" s="55"/>
      <c r="R547" s="49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</row>
    <row r="548" spans="1:41" x14ac:dyDescent="0.25">
      <c r="A548" s="46"/>
      <c r="B548" s="114"/>
      <c r="C548" s="114"/>
      <c r="D548" s="191"/>
      <c r="E548" s="191"/>
      <c r="F548" s="116"/>
      <c r="G548" s="52"/>
      <c r="H548" s="55"/>
      <c r="I548" s="54"/>
      <c r="J548" s="55"/>
      <c r="K548" s="55"/>
      <c r="L548" s="117"/>
      <c r="M548" s="56"/>
      <c r="N548" s="117"/>
      <c r="O548" s="55"/>
      <c r="P548" s="55"/>
      <c r="Q548" s="55"/>
      <c r="R548" s="49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</row>
    <row r="549" spans="1:41" x14ac:dyDescent="0.25">
      <c r="A549" s="46"/>
      <c r="B549" s="114"/>
      <c r="C549" s="114"/>
      <c r="D549" s="191"/>
      <c r="E549" s="191"/>
      <c r="F549" s="116"/>
      <c r="G549" s="52"/>
      <c r="H549" s="55"/>
      <c r="I549" s="54"/>
      <c r="J549" s="55"/>
      <c r="K549" s="55"/>
      <c r="L549" s="117"/>
      <c r="M549" s="56"/>
      <c r="N549" s="117"/>
      <c r="O549" s="55"/>
      <c r="P549" s="55"/>
      <c r="Q549" s="55"/>
      <c r="R549" s="49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</row>
    <row r="550" spans="1:41" x14ac:dyDescent="0.25">
      <c r="A550" s="46"/>
      <c r="B550" s="114"/>
      <c r="C550" s="114"/>
      <c r="D550" s="191"/>
      <c r="E550" s="191"/>
      <c r="F550" s="116"/>
      <c r="G550" s="52"/>
      <c r="H550" s="55"/>
      <c r="I550" s="54"/>
      <c r="J550" s="55"/>
      <c r="K550" s="55"/>
      <c r="L550" s="117"/>
      <c r="M550" s="56"/>
      <c r="N550" s="117"/>
      <c r="O550" s="55"/>
      <c r="P550" s="55"/>
      <c r="Q550" s="55"/>
      <c r="R550" s="49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</row>
    <row r="551" spans="1:41" x14ac:dyDescent="0.25">
      <c r="A551" s="46"/>
      <c r="B551" s="114"/>
      <c r="C551" s="114"/>
      <c r="D551" s="191"/>
      <c r="E551" s="191"/>
      <c r="F551" s="116"/>
      <c r="G551" s="52"/>
      <c r="H551" s="55"/>
      <c r="I551" s="54"/>
      <c r="J551" s="55"/>
      <c r="K551" s="55"/>
      <c r="L551" s="117"/>
      <c r="M551" s="56"/>
      <c r="N551" s="117"/>
      <c r="O551" s="55"/>
      <c r="P551" s="55"/>
      <c r="Q551" s="55"/>
      <c r="R551" s="49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</row>
    <row r="552" spans="1:41" x14ac:dyDescent="0.25">
      <c r="A552" s="46"/>
      <c r="B552" s="114"/>
      <c r="C552" s="114"/>
      <c r="D552" s="191"/>
      <c r="E552" s="191"/>
      <c r="F552" s="116"/>
      <c r="G552" s="52"/>
      <c r="H552" s="55"/>
      <c r="I552" s="54"/>
      <c r="J552" s="55"/>
      <c r="K552" s="55"/>
      <c r="L552" s="117"/>
      <c r="M552" s="56"/>
      <c r="N552" s="117"/>
      <c r="O552" s="55"/>
      <c r="P552" s="55"/>
      <c r="Q552" s="55"/>
      <c r="R552" s="49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</row>
    <row r="553" spans="1:41" x14ac:dyDescent="0.25">
      <c r="A553" s="46"/>
      <c r="B553" s="114"/>
      <c r="C553" s="114"/>
      <c r="D553" s="191"/>
      <c r="E553" s="191"/>
      <c r="F553" s="116"/>
      <c r="G553" s="52"/>
      <c r="H553" s="55"/>
      <c r="I553" s="54"/>
      <c r="J553" s="55"/>
      <c r="K553" s="55"/>
      <c r="L553" s="117"/>
      <c r="M553" s="56"/>
      <c r="N553" s="117"/>
      <c r="O553" s="55"/>
      <c r="P553" s="55"/>
      <c r="Q553" s="55"/>
      <c r="R553" s="49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</row>
    <row r="554" spans="1:41" x14ac:dyDescent="0.25">
      <c r="A554" s="46"/>
      <c r="B554" s="114"/>
      <c r="C554" s="114"/>
      <c r="D554" s="191"/>
      <c r="E554" s="191"/>
      <c r="F554" s="116"/>
      <c r="G554" s="52"/>
      <c r="H554" s="55"/>
      <c r="I554" s="54"/>
      <c r="J554" s="55"/>
      <c r="K554" s="55"/>
      <c r="L554" s="117"/>
      <c r="M554" s="56"/>
      <c r="N554" s="117"/>
      <c r="O554" s="55"/>
      <c r="P554" s="55"/>
      <c r="Q554" s="55"/>
      <c r="R554" s="49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</row>
    <row r="555" spans="1:41" x14ac:dyDescent="0.25">
      <c r="A555" s="46"/>
      <c r="B555" s="114"/>
      <c r="C555" s="114"/>
      <c r="D555" s="191"/>
      <c r="E555" s="191"/>
      <c r="F555" s="116"/>
      <c r="G555" s="52"/>
      <c r="H555" s="55"/>
      <c r="I555" s="54"/>
      <c r="J555" s="55"/>
      <c r="K555" s="55"/>
      <c r="L555" s="117"/>
      <c r="M555" s="56"/>
      <c r="N555" s="117"/>
      <c r="O555" s="55"/>
      <c r="P555" s="55"/>
      <c r="Q555" s="55"/>
      <c r="R555" s="49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</row>
    <row r="556" spans="1:41" x14ac:dyDescent="0.25">
      <c r="A556" s="46"/>
      <c r="B556" s="114"/>
      <c r="C556" s="114"/>
      <c r="D556" s="191"/>
      <c r="E556" s="191"/>
      <c r="F556" s="116"/>
      <c r="G556" s="52"/>
      <c r="H556" s="55"/>
      <c r="I556" s="54"/>
      <c r="J556" s="55"/>
      <c r="K556" s="55"/>
      <c r="L556" s="117"/>
      <c r="M556" s="56"/>
      <c r="N556" s="117"/>
      <c r="O556" s="55"/>
      <c r="P556" s="55"/>
      <c r="Q556" s="55"/>
      <c r="R556" s="49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</row>
    <row r="557" spans="1:41" x14ac:dyDescent="0.25">
      <c r="A557" s="46"/>
      <c r="B557" s="114"/>
      <c r="C557" s="114"/>
      <c r="D557" s="191"/>
      <c r="E557" s="191"/>
      <c r="F557" s="116"/>
      <c r="G557" s="52"/>
      <c r="H557" s="55"/>
      <c r="I557" s="54"/>
      <c r="J557" s="55"/>
      <c r="K557" s="55"/>
      <c r="L557" s="117"/>
      <c r="M557" s="56"/>
      <c r="N557" s="117"/>
      <c r="O557" s="55"/>
      <c r="P557" s="55"/>
      <c r="Q557" s="55"/>
      <c r="R557" s="49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</row>
    <row r="558" spans="1:41" x14ac:dyDescent="0.25">
      <c r="A558" s="46"/>
      <c r="B558" s="114"/>
      <c r="C558" s="114"/>
      <c r="D558" s="191"/>
      <c r="E558" s="191"/>
      <c r="F558" s="116"/>
      <c r="G558" s="52"/>
      <c r="H558" s="55"/>
      <c r="I558" s="54"/>
      <c r="J558" s="55"/>
      <c r="K558" s="55"/>
      <c r="L558" s="117"/>
      <c r="M558" s="56"/>
      <c r="N558" s="117"/>
      <c r="O558" s="55"/>
      <c r="P558" s="55"/>
      <c r="Q558" s="55"/>
      <c r="R558" s="49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</row>
    <row r="559" spans="1:41" x14ac:dyDescent="0.25">
      <c r="A559" s="46"/>
      <c r="B559" s="114"/>
      <c r="C559" s="114"/>
      <c r="D559" s="191"/>
      <c r="E559" s="191"/>
      <c r="F559" s="116"/>
      <c r="G559" s="52"/>
      <c r="H559" s="55"/>
      <c r="I559" s="54"/>
      <c r="J559" s="55"/>
      <c r="K559" s="55"/>
      <c r="L559" s="117"/>
      <c r="M559" s="56"/>
      <c r="N559" s="117"/>
      <c r="O559" s="55"/>
      <c r="P559" s="55"/>
      <c r="Q559" s="55"/>
      <c r="R559" s="49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</row>
    <row r="560" spans="1:41" x14ac:dyDescent="0.25">
      <c r="A560" s="46"/>
      <c r="B560" s="114"/>
      <c r="C560" s="114"/>
      <c r="D560" s="191"/>
      <c r="E560" s="191"/>
      <c r="F560" s="116"/>
      <c r="G560" s="52"/>
      <c r="H560" s="55"/>
      <c r="I560" s="54"/>
      <c r="J560" s="55"/>
      <c r="K560" s="55"/>
      <c r="L560" s="117"/>
      <c r="M560" s="56"/>
      <c r="N560" s="117"/>
      <c r="O560" s="55"/>
      <c r="P560" s="55"/>
      <c r="Q560" s="55"/>
      <c r="R560" s="49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</row>
    <row r="561" spans="1:41" x14ac:dyDescent="0.25">
      <c r="A561" s="46"/>
      <c r="B561" s="114"/>
      <c r="C561" s="114"/>
      <c r="D561" s="191"/>
      <c r="E561" s="191"/>
      <c r="F561" s="116"/>
      <c r="G561" s="52"/>
      <c r="H561" s="55"/>
      <c r="I561" s="54"/>
      <c r="J561" s="55"/>
      <c r="K561" s="55"/>
      <c r="L561" s="117"/>
      <c r="M561" s="56"/>
      <c r="N561" s="117"/>
      <c r="O561" s="55"/>
      <c r="P561" s="55"/>
      <c r="Q561" s="55"/>
      <c r="R561" s="49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</row>
    <row r="562" spans="1:41" x14ac:dyDescent="0.25">
      <c r="A562" s="46"/>
      <c r="B562" s="114"/>
      <c r="C562" s="114"/>
      <c r="D562" s="191"/>
      <c r="E562" s="191"/>
      <c r="F562" s="116"/>
      <c r="G562" s="52"/>
      <c r="H562" s="55"/>
      <c r="I562" s="54"/>
      <c r="J562" s="55"/>
      <c r="K562" s="55"/>
      <c r="L562" s="117"/>
      <c r="M562" s="56"/>
      <c r="N562" s="117"/>
      <c r="O562" s="55"/>
      <c r="P562" s="55"/>
      <c r="Q562" s="55"/>
      <c r="R562" s="49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</row>
    <row r="563" spans="1:41" x14ac:dyDescent="0.25">
      <c r="A563" s="46"/>
      <c r="B563" s="114"/>
      <c r="C563" s="114"/>
      <c r="D563" s="191"/>
      <c r="E563" s="191"/>
      <c r="F563" s="116"/>
      <c r="G563" s="52"/>
      <c r="H563" s="55"/>
      <c r="I563" s="54"/>
      <c r="J563" s="55"/>
      <c r="K563" s="55"/>
      <c r="L563" s="117"/>
      <c r="M563" s="56"/>
      <c r="N563" s="117"/>
      <c r="O563" s="55"/>
      <c r="P563" s="55"/>
      <c r="Q563" s="55"/>
      <c r="R563" s="49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</row>
    <row r="564" spans="1:41" x14ac:dyDescent="0.25">
      <c r="A564" s="46"/>
      <c r="B564" s="114"/>
      <c r="C564" s="114"/>
      <c r="D564" s="191"/>
      <c r="E564" s="191"/>
      <c r="F564" s="116"/>
      <c r="G564" s="52"/>
      <c r="H564" s="55"/>
      <c r="I564" s="54"/>
      <c r="J564" s="55"/>
      <c r="K564" s="55"/>
      <c r="L564" s="117"/>
      <c r="M564" s="56"/>
      <c r="N564" s="117"/>
      <c r="O564" s="55"/>
      <c r="P564" s="55"/>
      <c r="Q564" s="55"/>
      <c r="R564" s="49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</row>
    <row r="565" spans="1:41" x14ac:dyDescent="0.25">
      <c r="A565" s="46"/>
      <c r="B565" s="114"/>
      <c r="C565" s="114"/>
      <c r="D565" s="191"/>
      <c r="E565" s="191"/>
      <c r="F565" s="116"/>
      <c r="G565" s="52"/>
      <c r="H565" s="55"/>
      <c r="I565" s="54"/>
      <c r="J565" s="55"/>
      <c r="K565" s="55"/>
      <c r="L565" s="117"/>
      <c r="M565" s="56"/>
      <c r="N565" s="117"/>
      <c r="O565" s="55"/>
      <c r="P565" s="55"/>
      <c r="Q565" s="55"/>
      <c r="R565" s="49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</row>
    <row r="566" spans="1:41" x14ac:dyDescent="0.25">
      <c r="A566" s="46"/>
      <c r="B566" s="114"/>
      <c r="C566" s="114"/>
      <c r="D566" s="191"/>
      <c r="E566" s="191"/>
      <c r="F566" s="116"/>
      <c r="G566" s="52"/>
      <c r="H566" s="55"/>
      <c r="I566" s="54"/>
      <c r="J566" s="55"/>
      <c r="K566" s="55"/>
      <c r="L566" s="117"/>
      <c r="M566" s="56"/>
      <c r="N566" s="117"/>
      <c r="O566" s="55"/>
      <c r="P566" s="55"/>
      <c r="Q566" s="55"/>
      <c r="R566" s="49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</row>
    <row r="567" spans="1:41" x14ac:dyDescent="0.25">
      <c r="A567" s="46"/>
      <c r="B567" s="114"/>
      <c r="C567" s="114"/>
      <c r="D567" s="191"/>
      <c r="E567" s="191"/>
      <c r="F567" s="116"/>
      <c r="G567" s="52"/>
      <c r="H567" s="55"/>
      <c r="I567" s="54"/>
      <c r="J567" s="55"/>
      <c r="K567" s="55"/>
      <c r="L567" s="117"/>
      <c r="M567" s="56"/>
      <c r="N567" s="117"/>
      <c r="O567" s="55"/>
      <c r="P567" s="55"/>
      <c r="Q567" s="55"/>
      <c r="R567" s="49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</row>
    <row r="568" spans="1:41" x14ac:dyDescent="0.25">
      <c r="A568" s="46"/>
      <c r="B568" s="114"/>
      <c r="C568" s="114"/>
      <c r="D568" s="191"/>
      <c r="E568" s="191"/>
      <c r="F568" s="116"/>
      <c r="G568" s="52"/>
      <c r="H568" s="55"/>
      <c r="I568" s="54"/>
      <c r="J568" s="55"/>
      <c r="K568" s="55"/>
      <c r="L568" s="117"/>
      <c r="M568" s="56"/>
      <c r="N568" s="117"/>
      <c r="O568" s="55"/>
      <c r="P568" s="55"/>
      <c r="Q568" s="55"/>
      <c r="R568" s="49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</row>
    <row r="569" spans="1:41" x14ac:dyDescent="0.25">
      <c r="A569" s="46"/>
      <c r="B569" s="114"/>
      <c r="C569" s="114"/>
      <c r="D569" s="191"/>
      <c r="E569" s="191"/>
      <c r="F569" s="116"/>
      <c r="G569" s="52"/>
      <c r="H569" s="55"/>
      <c r="I569" s="54"/>
      <c r="J569" s="55"/>
      <c r="K569" s="55"/>
      <c r="L569" s="117"/>
      <c r="M569" s="56"/>
      <c r="N569" s="117"/>
      <c r="O569" s="55"/>
      <c r="P569" s="55"/>
      <c r="Q569" s="55"/>
      <c r="R569" s="49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</row>
    <row r="570" spans="1:41" x14ac:dyDescent="0.25">
      <c r="A570" s="46"/>
      <c r="B570" s="114"/>
      <c r="C570" s="114"/>
      <c r="D570" s="191"/>
      <c r="E570" s="191"/>
      <c r="F570" s="116"/>
      <c r="G570" s="52"/>
      <c r="H570" s="55"/>
      <c r="I570" s="54"/>
      <c r="J570" s="55"/>
      <c r="K570" s="55"/>
      <c r="L570" s="117"/>
      <c r="M570" s="56"/>
      <c r="N570" s="117"/>
      <c r="O570" s="55"/>
      <c r="P570" s="55"/>
      <c r="Q570" s="55"/>
      <c r="R570" s="49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</row>
    <row r="571" spans="1:41" x14ac:dyDescent="0.25">
      <c r="A571" s="46"/>
      <c r="B571" s="114"/>
      <c r="C571" s="114"/>
      <c r="D571" s="191"/>
      <c r="E571" s="191"/>
      <c r="F571" s="116"/>
      <c r="G571" s="52"/>
      <c r="H571" s="55"/>
      <c r="I571" s="54"/>
      <c r="J571" s="55"/>
      <c r="K571" s="55"/>
      <c r="L571" s="117"/>
      <c r="M571" s="56"/>
      <c r="N571" s="117"/>
      <c r="O571" s="55"/>
      <c r="P571" s="55"/>
      <c r="Q571" s="55"/>
      <c r="R571" s="49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</row>
    <row r="572" spans="1:41" x14ac:dyDescent="0.25">
      <c r="A572" s="46"/>
      <c r="B572" s="114"/>
      <c r="C572" s="114"/>
      <c r="D572" s="191"/>
      <c r="E572" s="191"/>
      <c r="F572" s="116"/>
      <c r="G572" s="52"/>
      <c r="H572" s="55"/>
      <c r="I572" s="54"/>
      <c r="J572" s="55"/>
      <c r="K572" s="55"/>
      <c r="L572" s="117"/>
      <c r="M572" s="56"/>
      <c r="N572" s="117"/>
      <c r="O572" s="55"/>
      <c r="P572" s="55"/>
      <c r="Q572" s="55"/>
      <c r="R572" s="49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</row>
    <row r="573" spans="1:41" x14ac:dyDescent="0.25">
      <c r="A573" s="46"/>
      <c r="B573" s="114"/>
      <c r="C573" s="114"/>
      <c r="D573" s="191"/>
      <c r="E573" s="191"/>
      <c r="F573" s="116"/>
      <c r="G573" s="52"/>
      <c r="H573" s="55"/>
      <c r="I573" s="54"/>
      <c r="J573" s="55"/>
      <c r="K573" s="55"/>
      <c r="L573" s="117"/>
      <c r="M573" s="56"/>
      <c r="N573" s="117"/>
      <c r="O573" s="55"/>
      <c r="P573" s="55"/>
      <c r="Q573" s="55"/>
      <c r="R573" s="49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</row>
    <row r="574" spans="1:41" x14ac:dyDescent="0.25">
      <c r="A574" s="46"/>
      <c r="B574" s="114"/>
      <c r="C574" s="114"/>
      <c r="D574" s="191"/>
      <c r="E574" s="191"/>
      <c r="F574" s="116"/>
      <c r="G574" s="52"/>
      <c r="H574" s="55"/>
      <c r="I574" s="54"/>
      <c r="J574" s="55"/>
      <c r="K574" s="55"/>
      <c r="L574" s="117"/>
      <c r="M574" s="56"/>
      <c r="N574" s="117"/>
      <c r="O574" s="55"/>
      <c r="P574" s="55"/>
      <c r="Q574" s="55"/>
      <c r="R574" s="49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</row>
    <row r="575" spans="1:41" x14ac:dyDescent="0.25">
      <c r="A575" s="46"/>
      <c r="B575" s="114"/>
      <c r="C575" s="114"/>
      <c r="D575" s="191"/>
      <c r="E575" s="191"/>
      <c r="F575" s="116"/>
      <c r="G575" s="52"/>
      <c r="H575" s="55"/>
      <c r="I575" s="54"/>
      <c r="J575" s="55"/>
      <c r="K575" s="55"/>
      <c r="L575" s="117"/>
      <c r="M575" s="56"/>
      <c r="N575" s="117"/>
      <c r="O575" s="55"/>
      <c r="P575" s="55"/>
      <c r="Q575" s="55"/>
      <c r="R575" s="49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</row>
    <row r="576" spans="1:41" x14ac:dyDescent="0.25">
      <c r="A576" s="46"/>
      <c r="B576" s="114"/>
      <c r="C576" s="114"/>
      <c r="D576" s="191"/>
      <c r="E576" s="191"/>
      <c r="F576" s="116"/>
      <c r="G576" s="52"/>
      <c r="H576" s="55"/>
      <c r="I576" s="54"/>
      <c r="J576" s="55"/>
      <c r="K576" s="55"/>
      <c r="L576" s="117"/>
      <c r="M576" s="56"/>
      <c r="N576" s="117"/>
      <c r="O576" s="55"/>
      <c r="P576" s="55"/>
      <c r="Q576" s="55"/>
      <c r="R576" s="49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</row>
    <row r="577" spans="1:41" x14ac:dyDescent="0.25">
      <c r="A577" s="46"/>
      <c r="B577" s="114"/>
      <c r="C577" s="114"/>
      <c r="D577" s="191"/>
      <c r="E577" s="191"/>
      <c r="F577" s="116"/>
      <c r="G577" s="52"/>
      <c r="H577" s="55"/>
      <c r="I577" s="54"/>
      <c r="J577" s="55"/>
      <c r="K577" s="55"/>
      <c r="L577" s="117"/>
      <c r="M577" s="56"/>
      <c r="N577" s="117"/>
      <c r="O577" s="55"/>
      <c r="P577" s="55"/>
      <c r="Q577" s="55"/>
      <c r="R577" s="49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</row>
    <row r="578" spans="1:41" x14ac:dyDescent="0.25">
      <c r="A578" s="46"/>
      <c r="B578" s="114"/>
      <c r="C578" s="114"/>
      <c r="D578" s="191"/>
      <c r="E578" s="191"/>
      <c r="F578" s="116"/>
      <c r="G578" s="52"/>
      <c r="H578" s="55"/>
      <c r="I578" s="54"/>
      <c r="J578" s="55"/>
      <c r="K578" s="55"/>
      <c r="L578" s="117"/>
      <c r="M578" s="56"/>
      <c r="N578" s="117"/>
      <c r="O578" s="55"/>
      <c r="P578" s="55"/>
      <c r="Q578" s="55"/>
      <c r="R578" s="49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</row>
    <row r="579" spans="1:41" x14ac:dyDescent="0.25">
      <c r="A579" s="46"/>
      <c r="B579" s="114"/>
      <c r="C579" s="114"/>
      <c r="D579" s="191"/>
      <c r="E579" s="191"/>
      <c r="F579" s="116"/>
      <c r="G579" s="52"/>
      <c r="H579" s="55"/>
      <c r="I579" s="54"/>
      <c r="J579" s="55"/>
      <c r="K579" s="55"/>
      <c r="L579" s="117"/>
      <c r="M579" s="56"/>
      <c r="N579" s="117"/>
      <c r="O579" s="55"/>
      <c r="P579" s="55"/>
      <c r="Q579" s="55"/>
      <c r="R579" s="49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</row>
    <row r="580" spans="1:41" x14ac:dyDescent="0.25">
      <c r="A580" s="46"/>
      <c r="B580" s="114"/>
      <c r="C580" s="114"/>
      <c r="D580" s="191"/>
      <c r="E580" s="191"/>
      <c r="F580" s="116"/>
      <c r="G580" s="52"/>
      <c r="H580" s="55"/>
      <c r="I580" s="54"/>
      <c r="J580" s="55"/>
      <c r="K580" s="55"/>
      <c r="L580" s="117"/>
      <c r="M580" s="56"/>
      <c r="N580" s="117"/>
      <c r="O580" s="55"/>
      <c r="P580" s="55"/>
      <c r="Q580" s="55"/>
      <c r="R580" s="49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</row>
    <row r="581" spans="1:41" x14ac:dyDescent="0.25">
      <c r="A581" s="46"/>
      <c r="B581" s="114"/>
      <c r="C581" s="114"/>
      <c r="D581" s="191"/>
      <c r="E581" s="191"/>
      <c r="F581" s="116"/>
      <c r="G581" s="52"/>
      <c r="H581" s="55"/>
      <c r="I581" s="54"/>
      <c r="J581" s="55"/>
      <c r="K581" s="55"/>
      <c r="L581" s="117"/>
      <c r="M581" s="56"/>
      <c r="N581" s="117"/>
      <c r="O581" s="55"/>
      <c r="P581" s="55"/>
      <c r="Q581" s="55"/>
      <c r="R581" s="49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</row>
    <row r="582" spans="1:41" x14ac:dyDescent="0.25">
      <c r="A582" s="46"/>
      <c r="B582" s="114"/>
      <c r="C582" s="114"/>
      <c r="D582" s="191"/>
      <c r="E582" s="191"/>
      <c r="F582" s="116"/>
      <c r="G582" s="52"/>
      <c r="H582" s="55"/>
      <c r="I582" s="54"/>
      <c r="J582" s="55"/>
      <c r="K582" s="55"/>
      <c r="L582" s="117"/>
      <c r="M582" s="56"/>
      <c r="N582" s="117"/>
      <c r="O582" s="55"/>
      <c r="P582" s="55"/>
      <c r="Q582" s="55"/>
      <c r="R582" s="49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</row>
    <row r="583" spans="1:41" x14ac:dyDescent="0.25">
      <c r="A583" s="46"/>
      <c r="B583" s="114"/>
      <c r="C583" s="114"/>
      <c r="D583" s="191"/>
      <c r="E583" s="191"/>
      <c r="F583" s="116"/>
      <c r="G583" s="52"/>
      <c r="H583" s="55"/>
      <c r="I583" s="54"/>
      <c r="J583" s="55"/>
      <c r="K583" s="55"/>
      <c r="L583" s="117"/>
      <c r="M583" s="56"/>
      <c r="N583" s="117"/>
      <c r="O583" s="55"/>
      <c r="P583" s="55"/>
      <c r="Q583" s="55"/>
      <c r="R583" s="49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</row>
    <row r="584" spans="1:41" x14ac:dyDescent="0.25">
      <c r="A584" s="46"/>
      <c r="B584" s="114"/>
      <c r="C584" s="114"/>
      <c r="D584" s="191"/>
      <c r="E584" s="191"/>
      <c r="F584" s="116"/>
      <c r="G584" s="52"/>
      <c r="H584" s="55"/>
      <c r="I584" s="54"/>
      <c r="J584" s="55"/>
      <c r="K584" s="55"/>
      <c r="L584" s="117"/>
      <c r="M584" s="56"/>
      <c r="N584" s="117"/>
      <c r="O584" s="55"/>
      <c r="P584" s="55"/>
      <c r="Q584" s="55"/>
      <c r="R584" s="49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</row>
    <row r="585" spans="1:41" x14ac:dyDescent="0.25">
      <c r="A585" s="46"/>
      <c r="B585" s="114"/>
      <c r="C585" s="114"/>
      <c r="D585" s="191"/>
      <c r="E585" s="191"/>
      <c r="F585" s="116"/>
      <c r="G585" s="52"/>
      <c r="H585" s="55"/>
      <c r="I585" s="54"/>
      <c r="J585" s="55"/>
      <c r="K585" s="55"/>
      <c r="L585" s="117"/>
      <c r="M585" s="56"/>
      <c r="N585" s="117"/>
      <c r="O585" s="55"/>
      <c r="P585" s="55"/>
      <c r="Q585" s="55"/>
      <c r="R585" s="49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</row>
    <row r="586" spans="1:41" x14ac:dyDescent="0.25">
      <c r="A586" s="46"/>
      <c r="B586" s="114"/>
      <c r="C586" s="114"/>
      <c r="D586" s="191"/>
      <c r="E586" s="191"/>
      <c r="F586" s="116"/>
      <c r="G586" s="52"/>
      <c r="H586" s="55"/>
      <c r="I586" s="54"/>
      <c r="J586" s="55"/>
      <c r="K586" s="55"/>
      <c r="L586" s="117"/>
      <c r="M586" s="56"/>
      <c r="N586" s="117"/>
      <c r="O586" s="55"/>
      <c r="P586" s="55"/>
      <c r="Q586" s="55"/>
      <c r="R586" s="49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</row>
    <row r="587" spans="1:41" x14ac:dyDescent="0.25">
      <c r="A587" s="46"/>
      <c r="B587" s="114"/>
      <c r="C587" s="114"/>
      <c r="D587" s="191"/>
      <c r="E587" s="191"/>
      <c r="F587" s="116"/>
      <c r="G587" s="52"/>
      <c r="H587" s="55"/>
      <c r="I587" s="54"/>
      <c r="J587" s="55"/>
      <c r="K587" s="55"/>
      <c r="L587" s="117"/>
      <c r="M587" s="56"/>
      <c r="N587" s="117"/>
      <c r="O587" s="55"/>
      <c r="P587" s="55"/>
      <c r="Q587" s="55"/>
      <c r="R587" s="49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</row>
    <row r="588" spans="1:41" x14ac:dyDescent="0.25">
      <c r="A588" s="46"/>
      <c r="B588" s="114"/>
      <c r="C588" s="114"/>
      <c r="D588" s="191"/>
      <c r="E588" s="191"/>
      <c r="F588" s="116"/>
      <c r="G588" s="52"/>
      <c r="H588" s="55"/>
      <c r="I588" s="54"/>
      <c r="J588" s="55"/>
      <c r="K588" s="55"/>
      <c r="L588" s="117"/>
      <c r="M588" s="56"/>
      <c r="N588" s="117"/>
      <c r="O588" s="55"/>
      <c r="P588" s="55"/>
      <c r="Q588" s="55"/>
      <c r="R588" s="49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</row>
    <row r="589" spans="1:41" x14ac:dyDescent="0.25">
      <c r="A589" s="46"/>
      <c r="B589" s="114"/>
      <c r="C589" s="114"/>
      <c r="D589" s="191"/>
      <c r="E589" s="191"/>
      <c r="F589" s="116"/>
      <c r="G589" s="52"/>
      <c r="H589" s="55"/>
      <c r="I589" s="54"/>
      <c r="J589" s="55"/>
      <c r="K589" s="55"/>
      <c r="L589" s="117"/>
      <c r="M589" s="56"/>
      <c r="N589" s="117"/>
      <c r="O589" s="55"/>
      <c r="P589" s="55"/>
      <c r="Q589" s="55"/>
      <c r="R589" s="49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</row>
    <row r="590" spans="1:41" x14ac:dyDescent="0.25">
      <c r="A590" s="46"/>
      <c r="B590" s="114"/>
      <c r="C590" s="114"/>
      <c r="D590" s="191"/>
      <c r="E590" s="191"/>
      <c r="F590" s="116"/>
      <c r="G590" s="52"/>
      <c r="H590" s="55"/>
      <c r="I590" s="54"/>
      <c r="J590" s="55"/>
      <c r="K590" s="55"/>
      <c r="L590" s="117"/>
      <c r="M590" s="56"/>
      <c r="N590" s="117"/>
      <c r="O590" s="55"/>
      <c r="P590" s="55"/>
      <c r="Q590" s="55"/>
      <c r="R590" s="49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</row>
    <row r="591" spans="1:41" x14ac:dyDescent="0.25">
      <c r="A591" s="46"/>
      <c r="B591" s="114"/>
      <c r="C591" s="114"/>
      <c r="D591" s="191"/>
      <c r="E591" s="191"/>
      <c r="F591" s="116"/>
      <c r="G591" s="52"/>
      <c r="H591" s="55"/>
      <c r="I591" s="54"/>
      <c r="J591" s="55"/>
      <c r="K591" s="55"/>
      <c r="L591" s="117"/>
      <c r="M591" s="56"/>
      <c r="N591" s="117"/>
      <c r="O591" s="55"/>
      <c r="P591" s="55"/>
      <c r="Q591" s="55"/>
      <c r="R591" s="49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</row>
    <row r="592" spans="1:41" x14ac:dyDescent="0.25">
      <c r="A592" s="46"/>
      <c r="B592" s="114"/>
      <c r="C592" s="114"/>
      <c r="D592" s="191"/>
      <c r="E592" s="191"/>
      <c r="F592" s="116"/>
      <c r="G592" s="52"/>
      <c r="H592" s="55"/>
      <c r="I592" s="54"/>
      <c r="J592" s="55"/>
      <c r="K592" s="55"/>
      <c r="L592" s="117"/>
      <c r="M592" s="56"/>
      <c r="N592" s="117"/>
      <c r="O592" s="55"/>
      <c r="P592" s="55"/>
      <c r="Q592" s="55"/>
      <c r="R592" s="49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</row>
    <row r="593" spans="1:41" x14ac:dyDescent="0.25">
      <c r="A593" s="46"/>
      <c r="B593" s="114"/>
      <c r="C593" s="114"/>
      <c r="D593" s="191"/>
      <c r="E593" s="191"/>
      <c r="F593" s="116"/>
      <c r="G593" s="52"/>
      <c r="H593" s="55"/>
      <c r="I593" s="54"/>
      <c r="J593" s="55"/>
      <c r="K593" s="55"/>
      <c r="L593" s="117"/>
      <c r="M593" s="56"/>
      <c r="N593" s="117"/>
      <c r="O593" s="55"/>
      <c r="P593" s="55"/>
      <c r="Q593" s="55"/>
      <c r="R593" s="49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</row>
    <row r="594" spans="1:41" x14ac:dyDescent="0.25">
      <c r="A594" s="46"/>
      <c r="B594" s="114"/>
      <c r="C594" s="114"/>
      <c r="D594" s="191"/>
      <c r="E594" s="191"/>
      <c r="F594" s="116"/>
      <c r="G594" s="52"/>
      <c r="H594" s="55"/>
      <c r="I594" s="54"/>
      <c r="J594" s="55"/>
      <c r="K594" s="55"/>
      <c r="L594" s="117"/>
      <c r="M594" s="56"/>
      <c r="N594" s="117"/>
      <c r="O594" s="55"/>
      <c r="P594" s="55"/>
      <c r="Q594" s="55"/>
      <c r="R594" s="49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</row>
    <row r="595" spans="1:41" x14ac:dyDescent="0.25">
      <c r="A595" s="46"/>
      <c r="B595" s="114"/>
      <c r="C595" s="114"/>
      <c r="D595" s="191"/>
      <c r="E595" s="191"/>
      <c r="F595" s="116"/>
      <c r="G595" s="52"/>
      <c r="H595" s="55"/>
      <c r="I595" s="54"/>
      <c r="J595" s="55"/>
      <c r="K595" s="55"/>
      <c r="L595" s="117"/>
      <c r="M595" s="56"/>
      <c r="N595" s="117"/>
      <c r="O595" s="55"/>
      <c r="P595" s="55"/>
      <c r="Q595" s="55"/>
      <c r="R595" s="49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</row>
    <row r="596" spans="1:41" x14ac:dyDescent="0.25">
      <c r="A596" s="46"/>
      <c r="B596" s="114"/>
      <c r="C596" s="114"/>
      <c r="D596" s="191"/>
      <c r="E596" s="191"/>
      <c r="F596" s="116"/>
      <c r="G596" s="52"/>
      <c r="H596" s="55"/>
      <c r="I596" s="54"/>
      <c r="J596" s="55"/>
      <c r="K596" s="55"/>
      <c r="L596" s="117"/>
      <c r="M596" s="56"/>
      <c r="N596" s="117"/>
      <c r="O596" s="55"/>
      <c r="P596" s="55"/>
      <c r="Q596" s="55"/>
      <c r="R596" s="49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</row>
    <row r="597" spans="1:41" x14ac:dyDescent="0.25">
      <c r="A597" s="46"/>
      <c r="B597" s="114"/>
      <c r="C597" s="114"/>
      <c r="D597" s="191"/>
      <c r="E597" s="191"/>
      <c r="F597" s="116"/>
      <c r="G597" s="52"/>
      <c r="H597" s="55"/>
      <c r="I597" s="54"/>
      <c r="J597" s="55"/>
      <c r="K597" s="55"/>
      <c r="L597" s="117"/>
      <c r="M597" s="56"/>
      <c r="N597" s="117"/>
      <c r="O597" s="55"/>
      <c r="P597" s="55"/>
      <c r="Q597" s="55"/>
      <c r="R597" s="49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</row>
    <row r="598" spans="1:41" x14ac:dyDescent="0.25">
      <c r="A598" s="46"/>
      <c r="B598" s="114"/>
      <c r="C598" s="114"/>
      <c r="D598" s="191"/>
      <c r="E598" s="191"/>
      <c r="F598" s="116"/>
      <c r="G598" s="52"/>
      <c r="H598" s="55"/>
      <c r="I598" s="54"/>
      <c r="J598" s="55"/>
      <c r="K598" s="55"/>
      <c r="L598" s="117"/>
      <c r="M598" s="56"/>
      <c r="N598" s="117"/>
      <c r="O598" s="55"/>
      <c r="P598" s="55"/>
      <c r="Q598" s="55"/>
      <c r="R598" s="49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</row>
    <row r="599" spans="1:41" x14ac:dyDescent="0.25">
      <c r="A599" s="46"/>
      <c r="B599" s="114"/>
      <c r="C599" s="114"/>
      <c r="D599" s="191"/>
      <c r="E599" s="191"/>
      <c r="F599" s="116"/>
      <c r="G599" s="52"/>
      <c r="H599" s="55"/>
      <c r="I599" s="54"/>
      <c r="J599" s="55"/>
      <c r="K599" s="55"/>
      <c r="L599" s="117"/>
      <c r="M599" s="56"/>
      <c r="N599" s="117"/>
      <c r="O599" s="55"/>
      <c r="P599" s="55"/>
      <c r="Q599" s="55"/>
      <c r="R599" s="49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</row>
    <row r="600" spans="1:41" x14ac:dyDescent="0.25">
      <c r="A600" s="46"/>
      <c r="B600" s="114"/>
      <c r="C600" s="114"/>
      <c r="D600" s="191"/>
      <c r="E600" s="191"/>
      <c r="F600" s="116"/>
      <c r="G600" s="52"/>
      <c r="H600" s="55"/>
      <c r="I600" s="54"/>
      <c r="J600" s="55"/>
      <c r="K600" s="55"/>
      <c r="L600" s="117"/>
      <c r="M600" s="56"/>
      <c r="N600" s="117"/>
      <c r="O600" s="55"/>
      <c r="P600" s="55"/>
      <c r="Q600" s="55"/>
      <c r="R600" s="49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</row>
    <row r="601" spans="1:41" x14ac:dyDescent="0.25">
      <c r="A601" s="46"/>
      <c r="B601" s="114"/>
      <c r="C601" s="114"/>
      <c r="D601" s="191"/>
      <c r="E601" s="191"/>
      <c r="F601" s="116"/>
      <c r="G601" s="52"/>
      <c r="H601" s="55"/>
      <c r="I601" s="54"/>
      <c r="J601" s="55"/>
      <c r="K601" s="55"/>
      <c r="L601" s="117"/>
      <c r="M601" s="56"/>
      <c r="N601" s="117"/>
      <c r="O601" s="55"/>
      <c r="P601" s="55"/>
      <c r="Q601" s="55"/>
      <c r="R601" s="49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</row>
    <row r="602" spans="1:41" x14ac:dyDescent="0.25">
      <c r="A602" s="46"/>
      <c r="B602" s="114"/>
      <c r="C602" s="114"/>
      <c r="D602" s="191"/>
      <c r="E602" s="191"/>
      <c r="F602" s="116"/>
      <c r="G602" s="52"/>
      <c r="H602" s="55"/>
      <c r="I602" s="54"/>
      <c r="J602" s="55"/>
      <c r="K602" s="55"/>
      <c r="L602" s="117"/>
      <c r="M602" s="56"/>
      <c r="N602" s="117"/>
      <c r="O602" s="55"/>
      <c r="P602" s="55"/>
      <c r="Q602" s="55"/>
      <c r="R602" s="49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</row>
    <row r="603" spans="1:41" x14ac:dyDescent="0.25">
      <c r="A603" s="46"/>
      <c r="B603" s="114"/>
      <c r="C603" s="114"/>
      <c r="D603" s="191"/>
      <c r="E603" s="191"/>
      <c r="F603" s="116"/>
      <c r="G603" s="52"/>
      <c r="H603" s="55"/>
      <c r="I603" s="54"/>
      <c r="J603" s="55"/>
      <c r="K603" s="55"/>
      <c r="L603" s="117"/>
      <c r="M603" s="56"/>
      <c r="N603" s="117"/>
      <c r="O603" s="55"/>
      <c r="P603" s="55"/>
      <c r="Q603" s="55"/>
      <c r="R603" s="49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</row>
    <row r="604" spans="1:41" x14ac:dyDescent="0.25">
      <c r="A604" s="46"/>
      <c r="B604" s="114"/>
      <c r="C604" s="114"/>
      <c r="D604" s="191"/>
      <c r="E604" s="191"/>
      <c r="F604" s="116"/>
      <c r="G604" s="52"/>
      <c r="H604" s="55"/>
      <c r="I604" s="54"/>
      <c r="J604" s="55"/>
      <c r="K604" s="55"/>
      <c r="L604" s="117"/>
      <c r="M604" s="56"/>
      <c r="N604" s="117"/>
      <c r="O604" s="55"/>
      <c r="P604" s="55"/>
      <c r="Q604" s="55"/>
      <c r="R604" s="49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</row>
    <row r="605" spans="1:41" x14ac:dyDescent="0.25">
      <c r="A605" s="46"/>
      <c r="B605" s="114"/>
      <c r="C605" s="114"/>
      <c r="D605" s="191"/>
      <c r="E605" s="191"/>
      <c r="F605" s="116"/>
      <c r="G605" s="52"/>
      <c r="H605" s="55"/>
      <c r="I605" s="54"/>
      <c r="J605" s="55"/>
      <c r="K605" s="55"/>
      <c r="L605" s="117"/>
      <c r="M605" s="56"/>
      <c r="N605" s="117"/>
      <c r="O605" s="55"/>
      <c r="P605" s="55"/>
      <c r="Q605" s="55"/>
      <c r="R605" s="49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</row>
    <row r="606" spans="1:41" x14ac:dyDescent="0.25">
      <c r="A606" s="46"/>
      <c r="B606" s="114"/>
      <c r="C606" s="114"/>
      <c r="D606" s="191"/>
      <c r="E606" s="191"/>
      <c r="F606" s="116"/>
      <c r="G606" s="52"/>
      <c r="H606" s="55"/>
      <c r="I606" s="54"/>
      <c r="J606" s="55"/>
      <c r="K606" s="55"/>
      <c r="L606" s="117"/>
      <c r="M606" s="56"/>
      <c r="N606" s="117"/>
      <c r="O606" s="55"/>
      <c r="P606" s="55"/>
      <c r="Q606" s="55"/>
      <c r="R606" s="49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</row>
    <row r="607" spans="1:41" x14ac:dyDescent="0.25">
      <c r="A607" s="46"/>
      <c r="B607" s="114"/>
      <c r="C607" s="114"/>
      <c r="D607" s="191"/>
      <c r="E607" s="191"/>
      <c r="F607" s="116"/>
      <c r="G607" s="52"/>
      <c r="H607" s="55"/>
      <c r="I607" s="54"/>
      <c r="J607" s="55"/>
      <c r="K607" s="55"/>
      <c r="L607" s="117"/>
      <c r="M607" s="56"/>
      <c r="N607" s="117"/>
      <c r="O607" s="55"/>
      <c r="P607" s="55"/>
      <c r="Q607" s="55"/>
      <c r="R607" s="49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</row>
    <row r="608" spans="1:41" x14ac:dyDescent="0.25">
      <c r="A608" s="46"/>
      <c r="B608" s="114"/>
      <c r="C608" s="114"/>
      <c r="D608" s="191"/>
      <c r="E608" s="191"/>
      <c r="F608" s="116"/>
      <c r="G608" s="52"/>
      <c r="H608" s="55"/>
      <c r="I608" s="54"/>
      <c r="J608" s="55"/>
      <c r="K608" s="55"/>
      <c r="L608" s="117"/>
      <c r="M608" s="56"/>
      <c r="N608" s="117"/>
      <c r="O608" s="55"/>
      <c r="P608" s="55"/>
      <c r="Q608" s="55"/>
      <c r="R608" s="49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</row>
    <row r="609" spans="1:41" x14ac:dyDescent="0.25">
      <c r="A609" s="46"/>
      <c r="B609" s="114"/>
      <c r="C609" s="114"/>
      <c r="D609" s="191"/>
      <c r="E609" s="191"/>
      <c r="F609" s="116"/>
      <c r="G609" s="52"/>
      <c r="H609" s="55"/>
      <c r="I609" s="54"/>
      <c r="J609" s="55"/>
      <c r="K609" s="55"/>
      <c r="L609" s="117"/>
      <c r="M609" s="56"/>
      <c r="N609" s="117"/>
      <c r="O609" s="55"/>
      <c r="P609" s="55"/>
      <c r="Q609" s="55"/>
      <c r="R609" s="49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</row>
    <row r="610" spans="1:41" x14ac:dyDescent="0.25">
      <c r="A610" s="46"/>
      <c r="B610" s="114"/>
      <c r="C610" s="114"/>
      <c r="D610" s="191"/>
      <c r="E610" s="191"/>
      <c r="F610" s="116"/>
      <c r="G610" s="52"/>
      <c r="H610" s="55"/>
      <c r="I610" s="54"/>
      <c r="J610" s="55"/>
      <c r="K610" s="55"/>
      <c r="L610" s="117"/>
      <c r="M610" s="56"/>
      <c r="N610" s="117"/>
      <c r="O610" s="55"/>
      <c r="P610" s="55"/>
      <c r="Q610" s="55"/>
      <c r="R610" s="49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</row>
    <row r="611" spans="1:41" x14ac:dyDescent="0.25">
      <c r="A611" s="46"/>
      <c r="B611" s="114"/>
      <c r="C611" s="114"/>
      <c r="D611" s="191"/>
      <c r="E611" s="191"/>
      <c r="F611" s="116"/>
      <c r="G611" s="52"/>
      <c r="H611" s="55"/>
      <c r="I611" s="54"/>
      <c r="J611" s="55"/>
      <c r="K611" s="55"/>
      <c r="L611" s="117"/>
      <c r="M611" s="56"/>
      <c r="N611" s="117"/>
      <c r="O611" s="55"/>
      <c r="P611" s="55"/>
      <c r="Q611" s="55"/>
      <c r="R611" s="49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</row>
    <row r="612" spans="1:41" x14ac:dyDescent="0.25">
      <c r="A612" s="46"/>
      <c r="B612" s="114"/>
      <c r="C612" s="114"/>
      <c r="D612" s="191"/>
      <c r="E612" s="191"/>
      <c r="F612" s="116"/>
      <c r="G612" s="52"/>
      <c r="H612" s="55"/>
      <c r="I612" s="54"/>
      <c r="J612" s="55"/>
      <c r="K612" s="55"/>
      <c r="L612" s="117"/>
      <c r="M612" s="56"/>
      <c r="N612" s="117"/>
      <c r="O612" s="55"/>
      <c r="P612" s="55"/>
      <c r="Q612" s="55"/>
      <c r="R612" s="49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</row>
    <row r="613" spans="1:41" x14ac:dyDescent="0.25">
      <c r="A613" s="46"/>
      <c r="B613" s="114"/>
      <c r="C613" s="114"/>
      <c r="D613" s="191"/>
      <c r="E613" s="191"/>
      <c r="F613" s="116"/>
      <c r="G613" s="52"/>
      <c r="H613" s="55"/>
      <c r="I613" s="54"/>
      <c r="J613" s="55"/>
      <c r="K613" s="55"/>
      <c r="L613" s="117"/>
      <c r="M613" s="56"/>
      <c r="N613" s="117"/>
      <c r="O613" s="55"/>
      <c r="P613" s="55"/>
      <c r="Q613" s="55"/>
      <c r="R613" s="49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</row>
    <row r="614" spans="1:41" x14ac:dyDescent="0.25">
      <c r="A614" s="46"/>
      <c r="B614" s="114"/>
      <c r="C614" s="114"/>
      <c r="D614" s="191"/>
      <c r="E614" s="191"/>
      <c r="F614" s="116"/>
      <c r="G614" s="52"/>
      <c r="H614" s="55"/>
      <c r="I614" s="54"/>
      <c r="J614" s="55"/>
      <c r="K614" s="55"/>
      <c r="L614" s="117"/>
      <c r="M614" s="56"/>
      <c r="N614" s="117"/>
      <c r="O614" s="55"/>
      <c r="P614" s="55"/>
      <c r="Q614" s="55"/>
      <c r="R614" s="49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</row>
    <row r="615" spans="1:41" x14ac:dyDescent="0.25">
      <c r="A615" s="46"/>
      <c r="B615" s="114"/>
      <c r="C615" s="114"/>
      <c r="D615" s="191"/>
      <c r="E615" s="191"/>
      <c r="F615" s="116"/>
      <c r="G615" s="52"/>
      <c r="H615" s="55"/>
      <c r="I615" s="54"/>
      <c r="J615" s="55"/>
      <c r="K615" s="55"/>
      <c r="L615" s="117"/>
      <c r="M615" s="56"/>
      <c r="N615" s="117"/>
      <c r="O615" s="55"/>
      <c r="P615" s="55"/>
      <c r="Q615" s="55"/>
      <c r="R615" s="49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</row>
    <row r="616" spans="1:41" x14ac:dyDescent="0.25">
      <c r="A616" s="46"/>
      <c r="B616" s="114"/>
      <c r="C616" s="114"/>
      <c r="D616" s="191"/>
      <c r="E616" s="191"/>
      <c r="F616" s="116"/>
      <c r="G616" s="52"/>
      <c r="H616" s="55"/>
      <c r="I616" s="54"/>
      <c r="J616" s="55"/>
      <c r="K616" s="55"/>
      <c r="L616" s="117"/>
      <c r="M616" s="56"/>
      <c r="N616" s="117"/>
      <c r="O616" s="55"/>
      <c r="P616" s="55"/>
      <c r="Q616" s="55"/>
      <c r="R616" s="49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</row>
    <row r="617" spans="1:41" x14ac:dyDescent="0.25">
      <c r="A617" s="46"/>
      <c r="B617" s="114"/>
      <c r="C617" s="114"/>
      <c r="D617" s="191"/>
      <c r="E617" s="191"/>
      <c r="F617" s="116"/>
      <c r="G617" s="52"/>
      <c r="H617" s="55"/>
      <c r="I617" s="54"/>
      <c r="J617" s="55"/>
      <c r="K617" s="55"/>
      <c r="L617" s="117"/>
      <c r="M617" s="56"/>
      <c r="N617" s="117"/>
      <c r="O617" s="55"/>
      <c r="P617" s="55"/>
      <c r="Q617" s="55"/>
      <c r="R617" s="49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</row>
    <row r="618" spans="1:41" x14ac:dyDescent="0.25">
      <c r="A618" s="46"/>
      <c r="B618" s="114"/>
      <c r="C618" s="114"/>
      <c r="D618" s="191"/>
      <c r="E618" s="191"/>
      <c r="F618" s="116"/>
      <c r="G618" s="52"/>
      <c r="H618" s="55"/>
      <c r="I618" s="54"/>
      <c r="J618" s="55"/>
      <c r="K618" s="55"/>
      <c r="L618" s="117"/>
      <c r="M618" s="56"/>
      <c r="N618" s="117"/>
      <c r="O618" s="55"/>
      <c r="P618" s="55"/>
      <c r="Q618" s="55"/>
      <c r="R618" s="49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</row>
    <row r="619" spans="1:41" x14ac:dyDescent="0.25">
      <c r="A619" s="46"/>
      <c r="B619" s="114"/>
      <c r="C619" s="114"/>
      <c r="D619" s="191"/>
      <c r="E619" s="191"/>
      <c r="F619" s="116"/>
      <c r="G619" s="52"/>
      <c r="H619" s="55"/>
      <c r="I619" s="54"/>
      <c r="J619" s="55"/>
      <c r="K619" s="55"/>
      <c r="L619" s="117"/>
      <c r="M619" s="56"/>
      <c r="N619" s="117"/>
      <c r="O619" s="55"/>
      <c r="P619" s="55"/>
      <c r="Q619" s="55"/>
      <c r="R619" s="49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</row>
    <row r="620" spans="1:41" x14ac:dyDescent="0.25">
      <c r="A620" s="46"/>
      <c r="B620" s="114"/>
      <c r="C620" s="114"/>
      <c r="D620" s="191"/>
      <c r="E620" s="191"/>
      <c r="F620" s="116"/>
      <c r="G620" s="52"/>
      <c r="H620" s="55"/>
      <c r="I620" s="54"/>
      <c r="J620" s="55"/>
      <c r="K620" s="55"/>
      <c r="L620" s="117"/>
      <c r="M620" s="56"/>
      <c r="N620" s="117"/>
      <c r="O620" s="55"/>
      <c r="P620" s="55"/>
      <c r="Q620" s="55"/>
      <c r="R620" s="49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</row>
    <row r="621" spans="1:41" x14ac:dyDescent="0.25">
      <c r="A621" s="46"/>
      <c r="B621" s="114"/>
      <c r="C621" s="114"/>
      <c r="D621" s="191"/>
      <c r="E621" s="191"/>
      <c r="F621" s="116"/>
      <c r="G621" s="52"/>
      <c r="H621" s="55"/>
      <c r="I621" s="54"/>
      <c r="J621" s="55"/>
      <c r="K621" s="55"/>
      <c r="L621" s="117"/>
      <c r="M621" s="56"/>
      <c r="N621" s="117"/>
      <c r="O621" s="55"/>
      <c r="P621" s="55"/>
      <c r="Q621" s="55"/>
      <c r="R621" s="49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</row>
    <row r="622" spans="1:41" x14ac:dyDescent="0.25">
      <c r="A622" s="46"/>
      <c r="B622" s="114"/>
      <c r="C622" s="114"/>
      <c r="D622" s="191"/>
      <c r="E622" s="191"/>
      <c r="F622" s="116"/>
      <c r="G622" s="52"/>
      <c r="H622" s="55"/>
      <c r="I622" s="54"/>
      <c r="J622" s="55"/>
      <c r="K622" s="55"/>
      <c r="L622" s="117"/>
      <c r="M622" s="56"/>
      <c r="N622" s="117"/>
      <c r="O622" s="55"/>
      <c r="P622" s="55"/>
      <c r="Q622" s="55"/>
      <c r="R622" s="49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</row>
    <row r="623" spans="1:41" x14ac:dyDescent="0.25">
      <c r="A623" s="46"/>
      <c r="B623" s="114"/>
      <c r="C623" s="114"/>
      <c r="D623" s="191"/>
      <c r="E623" s="191"/>
      <c r="F623" s="116"/>
      <c r="G623" s="52"/>
      <c r="H623" s="55"/>
      <c r="I623" s="54"/>
      <c r="J623" s="55"/>
      <c r="K623" s="55"/>
      <c r="L623" s="117"/>
      <c r="M623" s="56"/>
      <c r="N623" s="117"/>
      <c r="O623" s="55"/>
      <c r="P623" s="55"/>
      <c r="Q623" s="55"/>
      <c r="R623" s="49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</row>
    <row r="624" spans="1:41" x14ac:dyDescent="0.25">
      <c r="A624" s="46"/>
      <c r="B624" s="114"/>
      <c r="C624" s="114"/>
      <c r="D624" s="191"/>
      <c r="E624" s="191"/>
      <c r="F624" s="116"/>
      <c r="G624" s="52"/>
      <c r="H624" s="55"/>
      <c r="I624" s="54"/>
      <c r="J624" s="55"/>
      <c r="K624" s="55"/>
      <c r="L624" s="117"/>
      <c r="M624" s="56"/>
      <c r="N624" s="117"/>
      <c r="O624" s="55"/>
      <c r="P624" s="55"/>
      <c r="Q624" s="55"/>
      <c r="R624" s="49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</row>
    <row r="625" spans="1:41" x14ac:dyDescent="0.25">
      <c r="A625" s="46"/>
      <c r="B625" s="114"/>
      <c r="C625" s="114"/>
      <c r="D625" s="191"/>
      <c r="E625" s="191"/>
      <c r="F625" s="116"/>
      <c r="G625" s="52"/>
      <c r="H625" s="55"/>
      <c r="I625" s="54"/>
      <c r="J625" s="55"/>
      <c r="K625" s="55"/>
      <c r="L625" s="117"/>
      <c r="M625" s="56"/>
      <c r="N625" s="117"/>
      <c r="O625" s="55"/>
      <c r="P625" s="55"/>
      <c r="Q625" s="55"/>
      <c r="R625" s="49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</row>
    <row r="626" spans="1:41" x14ac:dyDescent="0.25">
      <c r="A626" s="46"/>
      <c r="B626" s="114"/>
      <c r="C626" s="114"/>
      <c r="D626" s="191"/>
      <c r="E626" s="191"/>
      <c r="F626" s="116"/>
      <c r="G626" s="52"/>
      <c r="H626" s="55"/>
      <c r="I626" s="54"/>
      <c r="J626" s="55"/>
      <c r="K626" s="55"/>
      <c r="L626" s="117"/>
      <c r="M626" s="56"/>
      <c r="N626" s="117"/>
      <c r="O626" s="55"/>
      <c r="P626" s="55"/>
      <c r="Q626" s="55"/>
      <c r="R626" s="49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</row>
    <row r="627" spans="1:41" x14ac:dyDescent="0.25">
      <c r="A627" s="46"/>
      <c r="B627" s="114"/>
      <c r="C627" s="114"/>
      <c r="D627" s="191"/>
      <c r="E627" s="191"/>
      <c r="F627" s="116"/>
      <c r="G627" s="52"/>
      <c r="H627" s="55"/>
      <c r="I627" s="54"/>
      <c r="J627" s="55"/>
      <c r="K627" s="55"/>
      <c r="L627" s="117"/>
      <c r="M627" s="56"/>
      <c r="N627" s="117"/>
      <c r="O627" s="55"/>
      <c r="P627" s="55"/>
      <c r="Q627" s="55"/>
      <c r="R627" s="49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</row>
    <row r="628" spans="1:41" x14ac:dyDescent="0.25">
      <c r="A628" s="46"/>
      <c r="B628" s="114"/>
      <c r="C628" s="114"/>
      <c r="D628" s="191"/>
      <c r="E628" s="191"/>
      <c r="F628" s="116"/>
      <c r="G628" s="52"/>
      <c r="H628" s="55"/>
      <c r="I628" s="54"/>
      <c r="J628" s="55"/>
      <c r="K628" s="55"/>
      <c r="L628" s="117"/>
      <c r="M628" s="56"/>
      <c r="N628" s="117"/>
      <c r="O628" s="55"/>
      <c r="P628" s="55"/>
      <c r="Q628" s="55"/>
      <c r="R628" s="49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</row>
    <row r="629" spans="1:41" x14ac:dyDescent="0.25">
      <c r="A629" s="46"/>
      <c r="B629" s="114"/>
      <c r="C629" s="114"/>
      <c r="D629" s="191"/>
      <c r="E629" s="191"/>
      <c r="F629" s="116"/>
      <c r="G629" s="52"/>
      <c r="H629" s="55"/>
      <c r="I629" s="54"/>
      <c r="J629" s="55"/>
      <c r="K629" s="55"/>
      <c r="L629" s="117"/>
      <c r="M629" s="56"/>
      <c r="N629" s="117"/>
      <c r="O629" s="55"/>
      <c r="P629" s="55"/>
      <c r="Q629" s="55"/>
      <c r="R629" s="49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</row>
    <row r="630" spans="1:41" x14ac:dyDescent="0.25">
      <c r="A630" s="46"/>
      <c r="B630" s="114"/>
      <c r="C630" s="114"/>
      <c r="D630" s="191"/>
      <c r="E630" s="191"/>
      <c r="F630" s="116"/>
      <c r="G630" s="52"/>
      <c r="H630" s="55"/>
      <c r="I630" s="54"/>
      <c r="J630" s="55"/>
      <c r="K630" s="55"/>
      <c r="L630" s="117"/>
      <c r="M630" s="56"/>
      <c r="N630" s="117"/>
      <c r="O630" s="55"/>
      <c r="P630" s="55"/>
      <c r="Q630" s="55"/>
      <c r="R630" s="49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</row>
    <row r="631" spans="1:41" x14ac:dyDescent="0.25">
      <c r="A631" s="46"/>
      <c r="B631" s="114"/>
      <c r="C631" s="114"/>
      <c r="D631" s="191"/>
      <c r="E631" s="191"/>
      <c r="F631" s="116"/>
      <c r="G631" s="52"/>
      <c r="H631" s="55"/>
      <c r="I631" s="54"/>
      <c r="J631" s="55"/>
      <c r="K631" s="55"/>
      <c r="L631" s="117"/>
      <c r="M631" s="56"/>
      <c r="N631" s="117"/>
      <c r="O631" s="55"/>
      <c r="P631" s="55"/>
      <c r="Q631" s="55"/>
      <c r="R631" s="49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</row>
    <row r="632" spans="1:41" x14ac:dyDescent="0.25">
      <c r="A632" s="46"/>
      <c r="B632" s="114"/>
      <c r="C632" s="114"/>
      <c r="D632" s="191"/>
      <c r="E632" s="191"/>
      <c r="F632" s="116"/>
      <c r="G632" s="52"/>
      <c r="H632" s="55"/>
      <c r="I632" s="54"/>
      <c r="J632" s="55"/>
      <c r="K632" s="55"/>
      <c r="L632" s="117"/>
      <c r="M632" s="56"/>
      <c r="N632" s="117"/>
      <c r="O632" s="55"/>
      <c r="P632" s="55"/>
      <c r="Q632" s="55"/>
      <c r="R632" s="49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</row>
    <row r="633" spans="1:41" x14ac:dyDescent="0.25">
      <c r="A633" s="46"/>
      <c r="B633" s="114"/>
      <c r="C633" s="114"/>
      <c r="D633" s="191"/>
      <c r="E633" s="191"/>
      <c r="F633" s="116"/>
      <c r="G633" s="52"/>
      <c r="H633" s="55"/>
      <c r="I633" s="54"/>
      <c r="J633" s="55"/>
      <c r="K633" s="55"/>
      <c r="L633" s="117"/>
      <c r="M633" s="56"/>
      <c r="N633" s="117"/>
      <c r="O633" s="55"/>
      <c r="P633" s="55"/>
      <c r="Q633" s="55"/>
      <c r="R633" s="49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</row>
    <row r="634" spans="1:41" x14ac:dyDescent="0.25">
      <c r="A634" s="46"/>
      <c r="B634" s="114"/>
      <c r="C634" s="114"/>
      <c r="D634" s="191"/>
      <c r="E634" s="191"/>
      <c r="F634" s="116"/>
      <c r="G634" s="52"/>
      <c r="H634" s="55"/>
      <c r="I634" s="54"/>
      <c r="J634" s="55"/>
      <c r="K634" s="55"/>
      <c r="L634" s="117"/>
      <c r="M634" s="56"/>
      <c r="N634" s="117"/>
      <c r="O634" s="55"/>
      <c r="P634" s="55"/>
      <c r="Q634" s="55"/>
      <c r="R634" s="49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</row>
    <row r="635" spans="1:41" x14ac:dyDescent="0.25">
      <c r="A635" s="46"/>
      <c r="B635" s="114"/>
      <c r="C635" s="114"/>
      <c r="D635" s="191"/>
      <c r="E635" s="191"/>
      <c r="F635" s="116"/>
      <c r="G635" s="52"/>
      <c r="H635" s="55"/>
      <c r="I635" s="54"/>
      <c r="J635" s="55"/>
      <c r="K635" s="55"/>
      <c r="L635" s="117"/>
      <c r="M635" s="56"/>
      <c r="N635" s="117"/>
      <c r="O635" s="55"/>
      <c r="P635" s="55"/>
      <c r="Q635" s="55"/>
      <c r="R635" s="49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</row>
    <row r="636" spans="1:41" x14ac:dyDescent="0.25">
      <c r="A636" s="46"/>
      <c r="B636" s="114"/>
      <c r="C636" s="114"/>
      <c r="D636" s="191"/>
      <c r="E636" s="191"/>
      <c r="F636" s="116"/>
      <c r="G636" s="52"/>
      <c r="H636" s="55"/>
      <c r="I636" s="54"/>
      <c r="J636" s="55"/>
      <c r="K636" s="55"/>
      <c r="L636" s="117"/>
      <c r="M636" s="56"/>
      <c r="N636" s="117"/>
      <c r="O636" s="55"/>
      <c r="P636" s="55"/>
      <c r="Q636" s="55"/>
      <c r="R636" s="49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</row>
    <row r="637" spans="1:41" x14ac:dyDescent="0.25">
      <c r="A637" s="46"/>
      <c r="B637" s="114"/>
      <c r="C637" s="114"/>
      <c r="D637" s="191"/>
      <c r="E637" s="191"/>
      <c r="F637" s="116"/>
      <c r="G637" s="52"/>
      <c r="H637" s="55"/>
      <c r="I637" s="54"/>
      <c r="J637" s="55"/>
      <c r="K637" s="55"/>
      <c r="L637" s="117"/>
      <c r="M637" s="56"/>
      <c r="N637" s="117"/>
      <c r="O637" s="55"/>
      <c r="P637" s="55"/>
      <c r="Q637" s="55"/>
      <c r="R637" s="49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</row>
    <row r="638" spans="1:41" x14ac:dyDescent="0.25">
      <c r="A638" s="46"/>
      <c r="B638" s="114"/>
      <c r="C638" s="114"/>
      <c r="D638" s="191"/>
      <c r="E638" s="191"/>
      <c r="F638" s="116"/>
      <c r="G638" s="52"/>
      <c r="H638" s="55"/>
      <c r="I638" s="54"/>
      <c r="J638" s="55"/>
      <c r="K638" s="55"/>
      <c r="L638" s="117"/>
      <c r="M638" s="56"/>
      <c r="N638" s="117"/>
      <c r="O638" s="55"/>
      <c r="P638" s="55"/>
      <c r="Q638" s="55"/>
      <c r="R638" s="49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</row>
    <row r="639" spans="1:41" x14ac:dyDescent="0.25">
      <c r="A639" s="46"/>
      <c r="B639" s="114"/>
      <c r="C639" s="114"/>
      <c r="D639" s="191"/>
      <c r="E639" s="191"/>
      <c r="F639" s="116"/>
      <c r="G639" s="52"/>
      <c r="H639" s="55"/>
      <c r="I639" s="54"/>
      <c r="J639" s="55"/>
      <c r="K639" s="55"/>
      <c r="L639" s="117"/>
      <c r="M639" s="56"/>
      <c r="N639" s="117"/>
      <c r="O639" s="55"/>
      <c r="P639" s="55"/>
      <c r="Q639" s="55"/>
      <c r="R639" s="49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</row>
    <row r="640" spans="1:41" x14ac:dyDescent="0.25">
      <c r="A640" s="46"/>
      <c r="B640" s="114"/>
      <c r="C640" s="114"/>
      <c r="D640" s="191"/>
      <c r="E640" s="191"/>
      <c r="F640" s="116"/>
      <c r="G640" s="52"/>
      <c r="H640" s="55"/>
      <c r="I640" s="54"/>
      <c r="J640" s="55"/>
      <c r="K640" s="55"/>
      <c r="L640" s="117"/>
      <c r="M640" s="56"/>
      <c r="N640" s="117"/>
      <c r="O640" s="55"/>
      <c r="P640" s="55"/>
      <c r="Q640" s="55"/>
      <c r="R640" s="49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</row>
    <row r="641" spans="1:41" x14ac:dyDescent="0.25">
      <c r="A641" s="46"/>
      <c r="B641" s="114"/>
      <c r="C641" s="114"/>
      <c r="D641" s="191"/>
      <c r="E641" s="191"/>
      <c r="F641" s="116"/>
      <c r="G641" s="52"/>
      <c r="H641" s="55"/>
      <c r="I641" s="54"/>
      <c r="J641" s="55"/>
      <c r="K641" s="55"/>
      <c r="L641" s="117"/>
      <c r="M641" s="56"/>
      <c r="N641" s="117"/>
      <c r="O641" s="55"/>
      <c r="P641" s="55"/>
      <c r="Q641" s="55"/>
      <c r="R641" s="49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</row>
    <row r="642" spans="1:41" x14ac:dyDescent="0.25">
      <c r="A642" s="46"/>
      <c r="B642" s="114"/>
      <c r="C642" s="114"/>
      <c r="D642" s="191"/>
      <c r="E642" s="191"/>
      <c r="F642" s="116"/>
      <c r="G642" s="52"/>
      <c r="H642" s="55"/>
      <c r="I642" s="54"/>
      <c r="J642" s="55"/>
      <c r="K642" s="55"/>
      <c r="L642" s="117"/>
      <c r="M642" s="56"/>
      <c r="N642" s="117"/>
      <c r="O642" s="55"/>
      <c r="P642" s="55"/>
      <c r="Q642" s="55"/>
      <c r="R642" s="49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</row>
    <row r="643" spans="1:41" x14ac:dyDescent="0.25">
      <c r="A643" s="46"/>
      <c r="B643" s="114"/>
      <c r="C643" s="114"/>
      <c r="D643" s="191"/>
      <c r="E643" s="191"/>
      <c r="F643" s="116"/>
      <c r="G643" s="52"/>
      <c r="H643" s="55"/>
      <c r="I643" s="54"/>
      <c r="J643" s="55"/>
      <c r="K643" s="55"/>
      <c r="L643" s="117"/>
      <c r="M643" s="56"/>
      <c r="N643" s="117"/>
      <c r="O643" s="55"/>
      <c r="P643" s="55"/>
      <c r="Q643" s="55"/>
      <c r="R643" s="49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</row>
    <row r="644" spans="1:41" x14ac:dyDescent="0.25">
      <c r="A644" s="46"/>
      <c r="B644" s="114"/>
      <c r="C644" s="114"/>
      <c r="D644" s="191"/>
      <c r="E644" s="191"/>
      <c r="F644" s="116"/>
      <c r="G644" s="52"/>
      <c r="H644" s="55"/>
      <c r="I644" s="54"/>
      <c r="J644" s="55"/>
      <c r="K644" s="55"/>
      <c r="L644" s="117"/>
      <c r="M644" s="56"/>
      <c r="N644" s="117"/>
      <c r="O644" s="55"/>
      <c r="P644" s="55"/>
      <c r="Q644" s="55"/>
      <c r="R644" s="49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</row>
    <row r="645" spans="1:41" x14ac:dyDescent="0.25">
      <c r="A645" s="46"/>
      <c r="B645" s="114"/>
      <c r="C645" s="114"/>
      <c r="D645" s="191"/>
      <c r="E645" s="191"/>
      <c r="F645" s="116"/>
      <c r="G645" s="52"/>
      <c r="H645" s="55"/>
      <c r="I645" s="54"/>
      <c r="J645" s="55"/>
      <c r="K645" s="55"/>
      <c r="L645" s="117"/>
      <c r="M645" s="56"/>
      <c r="N645" s="117"/>
      <c r="O645" s="55"/>
      <c r="P645" s="55"/>
      <c r="Q645" s="55"/>
      <c r="R645" s="49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</row>
    <row r="646" spans="1:41" x14ac:dyDescent="0.25">
      <c r="A646" s="46"/>
      <c r="B646" s="114"/>
      <c r="C646" s="114"/>
      <c r="D646" s="191"/>
      <c r="E646" s="191"/>
      <c r="F646" s="116"/>
      <c r="G646" s="52"/>
      <c r="H646" s="55"/>
      <c r="I646" s="54"/>
      <c r="J646" s="55"/>
      <c r="K646" s="55"/>
      <c r="L646" s="117"/>
      <c r="M646" s="56"/>
      <c r="N646" s="117"/>
      <c r="O646" s="55"/>
      <c r="P646" s="55"/>
      <c r="Q646" s="55"/>
      <c r="R646" s="49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</row>
    <row r="647" spans="1:41" x14ac:dyDescent="0.25">
      <c r="A647" s="46"/>
      <c r="B647" s="114"/>
      <c r="C647" s="114"/>
      <c r="D647" s="191"/>
      <c r="E647" s="191"/>
      <c r="F647" s="116"/>
      <c r="G647" s="52"/>
      <c r="H647" s="55"/>
      <c r="I647" s="54"/>
      <c r="J647" s="55"/>
      <c r="K647" s="55"/>
      <c r="L647" s="117"/>
      <c r="M647" s="56"/>
      <c r="N647" s="117"/>
      <c r="O647" s="55"/>
      <c r="P647" s="55"/>
      <c r="Q647" s="55"/>
      <c r="R647" s="49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</row>
    <row r="648" spans="1:41" x14ac:dyDescent="0.25">
      <c r="A648" s="46"/>
      <c r="B648" s="114"/>
      <c r="C648" s="114"/>
      <c r="D648" s="191"/>
      <c r="E648" s="191"/>
      <c r="F648" s="116"/>
      <c r="G648" s="52"/>
      <c r="H648" s="55"/>
      <c r="I648" s="54"/>
      <c r="J648" s="55"/>
      <c r="K648" s="55"/>
      <c r="L648" s="117"/>
      <c r="M648" s="56"/>
      <c r="N648" s="117"/>
      <c r="O648" s="55"/>
      <c r="P648" s="55"/>
      <c r="Q648" s="55"/>
      <c r="R648" s="49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</row>
    <row r="649" spans="1:41" x14ac:dyDescent="0.25">
      <c r="A649" s="46"/>
      <c r="B649" s="114"/>
      <c r="C649" s="114"/>
      <c r="D649" s="191"/>
      <c r="E649" s="191"/>
      <c r="F649" s="116"/>
      <c r="G649" s="52"/>
      <c r="H649" s="55"/>
      <c r="I649" s="54"/>
      <c r="J649" s="55"/>
      <c r="K649" s="55"/>
      <c r="L649" s="117"/>
      <c r="M649" s="56"/>
      <c r="N649" s="117"/>
      <c r="O649" s="55"/>
      <c r="P649" s="55"/>
      <c r="Q649" s="55"/>
      <c r="R649" s="49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</row>
    <row r="650" spans="1:41" x14ac:dyDescent="0.25">
      <c r="A650" s="46"/>
      <c r="B650" s="114"/>
      <c r="C650" s="114"/>
      <c r="D650" s="191"/>
      <c r="E650" s="191"/>
      <c r="F650" s="116"/>
      <c r="G650" s="52"/>
      <c r="H650" s="55"/>
      <c r="I650" s="54"/>
      <c r="J650" s="55"/>
      <c r="K650" s="55"/>
      <c r="L650" s="117"/>
      <c r="M650" s="56"/>
      <c r="N650" s="117"/>
      <c r="O650" s="55"/>
      <c r="P650" s="55"/>
      <c r="Q650" s="55"/>
      <c r="R650" s="49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</row>
    <row r="651" spans="1:41" x14ac:dyDescent="0.25">
      <c r="A651" s="46"/>
      <c r="B651" s="114"/>
      <c r="C651" s="114"/>
      <c r="D651" s="191"/>
      <c r="E651" s="191"/>
      <c r="F651" s="116"/>
      <c r="G651" s="52"/>
      <c r="H651" s="55"/>
      <c r="I651" s="54"/>
      <c r="J651" s="55"/>
      <c r="K651" s="55"/>
      <c r="L651" s="117"/>
      <c r="M651" s="56"/>
      <c r="N651" s="117"/>
      <c r="O651" s="55"/>
      <c r="P651" s="55"/>
      <c r="Q651" s="55"/>
      <c r="R651" s="49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</row>
    <row r="652" spans="1:41" x14ac:dyDescent="0.25">
      <c r="A652" s="46"/>
      <c r="B652" s="114"/>
      <c r="C652" s="114"/>
      <c r="D652" s="191"/>
      <c r="E652" s="191"/>
      <c r="F652" s="116"/>
      <c r="G652" s="52"/>
      <c r="H652" s="55"/>
      <c r="I652" s="54"/>
      <c r="J652" s="55"/>
      <c r="K652" s="55"/>
      <c r="L652" s="117"/>
      <c r="M652" s="56"/>
      <c r="N652" s="117"/>
      <c r="O652" s="55"/>
      <c r="P652" s="55"/>
      <c r="Q652" s="55"/>
      <c r="R652" s="49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</row>
    <row r="653" spans="1:41" x14ac:dyDescent="0.25">
      <c r="A653" s="46"/>
      <c r="B653" s="114"/>
      <c r="C653" s="114"/>
      <c r="D653" s="191"/>
      <c r="E653" s="191"/>
      <c r="F653" s="116"/>
      <c r="G653" s="52"/>
      <c r="H653" s="55"/>
      <c r="I653" s="54"/>
      <c r="J653" s="55"/>
      <c r="K653" s="55"/>
      <c r="L653" s="117"/>
      <c r="M653" s="56"/>
      <c r="N653" s="117"/>
      <c r="O653" s="55"/>
      <c r="P653" s="55"/>
      <c r="Q653" s="55"/>
      <c r="R653" s="49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</row>
    <row r="654" spans="1:41" x14ac:dyDescent="0.25">
      <c r="A654" s="46"/>
      <c r="B654" s="114"/>
      <c r="C654" s="114"/>
      <c r="D654" s="191"/>
      <c r="E654" s="191"/>
      <c r="F654" s="116"/>
      <c r="G654" s="52"/>
      <c r="H654" s="55"/>
      <c r="I654" s="54"/>
      <c r="J654" s="55"/>
      <c r="K654" s="55"/>
      <c r="L654" s="117"/>
      <c r="M654" s="56"/>
      <c r="N654" s="117"/>
      <c r="O654" s="55"/>
      <c r="P654" s="55"/>
      <c r="Q654" s="55"/>
      <c r="R654" s="49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</row>
    <row r="655" spans="1:41" x14ac:dyDescent="0.25">
      <c r="A655" s="46"/>
      <c r="B655" s="114"/>
      <c r="C655" s="114"/>
      <c r="D655" s="191"/>
      <c r="E655" s="191"/>
      <c r="F655" s="116"/>
      <c r="G655" s="52"/>
      <c r="H655" s="55"/>
      <c r="I655" s="54"/>
      <c r="J655" s="55"/>
      <c r="K655" s="55"/>
      <c r="L655" s="117"/>
      <c r="M655" s="56"/>
      <c r="N655" s="117"/>
      <c r="O655" s="55"/>
      <c r="P655" s="55"/>
      <c r="Q655" s="55"/>
      <c r="R655" s="49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</row>
    <row r="656" spans="1:41" x14ac:dyDescent="0.25">
      <c r="A656" s="46"/>
      <c r="B656" s="114"/>
      <c r="C656" s="114"/>
      <c r="D656" s="191"/>
      <c r="E656" s="191"/>
      <c r="F656" s="116"/>
      <c r="G656" s="52"/>
      <c r="H656" s="55"/>
      <c r="I656" s="54"/>
      <c r="J656" s="55"/>
      <c r="K656" s="55"/>
      <c r="L656" s="117"/>
      <c r="M656" s="56"/>
      <c r="N656" s="117"/>
      <c r="O656" s="55"/>
      <c r="P656" s="55"/>
      <c r="Q656" s="55"/>
      <c r="R656" s="49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</row>
    <row r="657" spans="1:41" x14ac:dyDescent="0.25">
      <c r="A657" s="46"/>
      <c r="B657" s="114"/>
      <c r="C657" s="114"/>
      <c r="D657" s="191"/>
      <c r="E657" s="191"/>
      <c r="F657" s="116"/>
      <c r="G657" s="52"/>
      <c r="H657" s="55"/>
      <c r="I657" s="54"/>
      <c r="J657" s="55"/>
      <c r="K657" s="55"/>
      <c r="L657" s="117"/>
      <c r="M657" s="56"/>
      <c r="N657" s="117"/>
      <c r="O657" s="55"/>
      <c r="P657" s="55"/>
      <c r="Q657" s="55"/>
      <c r="R657" s="49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</row>
    <row r="658" spans="1:41" x14ac:dyDescent="0.25">
      <c r="A658" s="46"/>
      <c r="B658" s="114"/>
      <c r="C658" s="114"/>
      <c r="D658" s="191"/>
      <c r="E658" s="191"/>
      <c r="F658" s="116"/>
      <c r="G658" s="52"/>
      <c r="H658" s="55"/>
      <c r="I658" s="54"/>
      <c r="J658" s="55"/>
      <c r="K658" s="55"/>
      <c r="L658" s="117"/>
      <c r="M658" s="56"/>
      <c r="N658" s="117"/>
      <c r="O658" s="55"/>
      <c r="P658" s="55"/>
      <c r="Q658" s="55"/>
      <c r="R658" s="49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</row>
    <row r="659" spans="1:41" x14ac:dyDescent="0.25">
      <c r="A659" s="46"/>
      <c r="B659" s="114"/>
      <c r="C659" s="114"/>
      <c r="D659" s="191"/>
      <c r="E659" s="191"/>
      <c r="F659" s="116"/>
      <c r="G659" s="52"/>
      <c r="H659" s="55"/>
      <c r="I659" s="54"/>
      <c r="J659" s="55"/>
      <c r="K659" s="55"/>
      <c r="L659" s="117"/>
      <c r="M659" s="56"/>
      <c r="N659" s="117"/>
      <c r="O659" s="55"/>
      <c r="P659" s="55"/>
      <c r="Q659" s="55"/>
      <c r="R659" s="49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</row>
    <row r="660" spans="1:41" x14ac:dyDescent="0.25">
      <c r="A660" s="46"/>
      <c r="B660" s="114"/>
      <c r="C660" s="114"/>
      <c r="D660" s="191"/>
      <c r="E660" s="191"/>
      <c r="F660" s="116"/>
      <c r="G660" s="52"/>
      <c r="H660" s="55"/>
      <c r="I660" s="54"/>
      <c r="J660" s="55"/>
      <c r="K660" s="55"/>
      <c r="L660" s="117"/>
      <c r="M660" s="56"/>
      <c r="N660" s="117"/>
      <c r="O660" s="55"/>
      <c r="P660" s="55"/>
      <c r="Q660" s="55"/>
      <c r="R660" s="49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</row>
    <row r="661" spans="1:41" x14ac:dyDescent="0.25">
      <c r="A661" s="46"/>
      <c r="B661" s="114"/>
      <c r="C661" s="114"/>
      <c r="D661" s="191"/>
      <c r="E661" s="191"/>
      <c r="F661" s="116"/>
      <c r="G661" s="52"/>
      <c r="H661" s="55"/>
      <c r="I661" s="54"/>
      <c r="J661" s="55"/>
      <c r="K661" s="55"/>
      <c r="L661" s="117"/>
      <c r="M661" s="56"/>
      <c r="N661" s="117"/>
      <c r="O661" s="55"/>
      <c r="P661" s="55"/>
      <c r="Q661" s="55"/>
      <c r="R661" s="49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</row>
    <row r="662" spans="1:41" x14ac:dyDescent="0.25">
      <c r="A662" s="46"/>
      <c r="B662" s="114"/>
      <c r="C662" s="114"/>
      <c r="D662" s="191"/>
      <c r="E662" s="191"/>
      <c r="F662" s="116"/>
      <c r="G662" s="52"/>
      <c r="H662" s="55"/>
      <c r="I662" s="54"/>
      <c r="J662" s="55"/>
      <c r="K662" s="55"/>
      <c r="L662" s="117"/>
      <c r="M662" s="56"/>
      <c r="N662" s="117"/>
      <c r="O662" s="55"/>
      <c r="P662" s="55"/>
      <c r="Q662" s="55"/>
      <c r="R662" s="49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</row>
    <row r="663" spans="1:41" x14ac:dyDescent="0.25">
      <c r="A663" s="46"/>
      <c r="B663" s="114"/>
      <c r="C663" s="114"/>
      <c r="D663" s="191"/>
      <c r="E663" s="191"/>
      <c r="F663" s="116"/>
      <c r="G663" s="52"/>
      <c r="H663" s="55"/>
      <c r="I663" s="54"/>
      <c r="J663" s="55"/>
      <c r="K663" s="55"/>
      <c r="L663" s="117"/>
      <c r="M663" s="56"/>
      <c r="N663" s="117"/>
      <c r="O663" s="55"/>
      <c r="P663" s="55"/>
      <c r="Q663" s="55"/>
      <c r="R663" s="49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</row>
    <row r="664" spans="1:41" x14ac:dyDescent="0.25">
      <c r="A664" s="46"/>
      <c r="B664" s="114"/>
      <c r="C664" s="114"/>
      <c r="D664" s="191"/>
      <c r="E664" s="191"/>
      <c r="F664" s="116"/>
      <c r="G664" s="52"/>
      <c r="H664" s="55"/>
      <c r="I664" s="54"/>
      <c r="J664" s="55"/>
      <c r="K664" s="55"/>
      <c r="L664" s="117"/>
      <c r="M664" s="56"/>
      <c r="N664" s="117"/>
      <c r="O664" s="55"/>
      <c r="P664" s="55"/>
      <c r="Q664" s="55"/>
      <c r="R664" s="49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</row>
    <row r="665" spans="1:41" x14ac:dyDescent="0.25">
      <c r="A665" s="46"/>
      <c r="B665" s="114"/>
      <c r="C665" s="114"/>
      <c r="D665" s="191"/>
      <c r="E665" s="191"/>
      <c r="F665" s="116"/>
      <c r="G665" s="52"/>
      <c r="H665" s="55"/>
      <c r="I665" s="54"/>
      <c r="J665" s="55"/>
      <c r="K665" s="55"/>
      <c r="L665" s="117"/>
      <c r="M665" s="56"/>
      <c r="N665" s="117"/>
      <c r="O665" s="55"/>
      <c r="P665" s="55"/>
      <c r="Q665" s="55"/>
      <c r="R665" s="49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</row>
    <row r="666" spans="1:41" x14ac:dyDescent="0.25">
      <c r="A666" s="46"/>
      <c r="B666" s="114"/>
      <c r="C666" s="114"/>
      <c r="D666" s="191"/>
      <c r="E666" s="191"/>
      <c r="F666" s="116"/>
      <c r="G666" s="52"/>
      <c r="H666" s="55"/>
      <c r="I666" s="54"/>
      <c r="J666" s="55"/>
      <c r="K666" s="55"/>
      <c r="L666" s="117"/>
      <c r="M666" s="56"/>
      <c r="N666" s="117"/>
      <c r="O666" s="55"/>
      <c r="P666" s="55"/>
      <c r="Q666" s="55"/>
      <c r="R666" s="49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</row>
    <row r="667" spans="1:41" x14ac:dyDescent="0.25">
      <c r="A667" s="46"/>
      <c r="B667" s="114"/>
      <c r="C667" s="114"/>
      <c r="D667" s="191"/>
      <c r="E667" s="191"/>
      <c r="F667" s="116"/>
      <c r="G667" s="52"/>
      <c r="H667" s="55"/>
      <c r="I667" s="54"/>
      <c r="J667" s="55"/>
      <c r="K667" s="55"/>
      <c r="L667" s="117"/>
      <c r="M667" s="56"/>
      <c r="N667" s="117"/>
      <c r="O667" s="55"/>
      <c r="P667" s="55"/>
      <c r="Q667" s="55"/>
      <c r="R667" s="49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</row>
    <row r="668" spans="1:41" x14ac:dyDescent="0.25">
      <c r="A668" s="46"/>
      <c r="B668" s="114"/>
      <c r="C668" s="114"/>
      <c r="D668" s="191"/>
      <c r="E668" s="191"/>
      <c r="F668" s="116"/>
      <c r="G668" s="52"/>
      <c r="H668" s="55"/>
      <c r="I668" s="54"/>
      <c r="J668" s="55"/>
      <c r="K668" s="55"/>
      <c r="L668" s="117"/>
      <c r="M668" s="56"/>
      <c r="N668" s="117"/>
      <c r="O668" s="55"/>
      <c r="P668" s="55"/>
      <c r="Q668" s="55"/>
      <c r="R668" s="49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</row>
    <row r="669" spans="1:41" x14ac:dyDescent="0.25">
      <c r="A669" s="46"/>
      <c r="B669" s="114"/>
      <c r="C669" s="114"/>
      <c r="D669" s="191"/>
      <c r="E669" s="191"/>
      <c r="F669" s="116"/>
      <c r="G669" s="52"/>
      <c r="H669" s="55"/>
      <c r="I669" s="54"/>
      <c r="J669" s="55"/>
      <c r="K669" s="55"/>
      <c r="L669" s="117"/>
      <c r="M669" s="56"/>
      <c r="N669" s="117"/>
      <c r="O669" s="55"/>
      <c r="P669" s="55"/>
      <c r="Q669" s="55"/>
      <c r="R669" s="49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</row>
    <row r="670" spans="1:41" x14ac:dyDescent="0.25">
      <c r="A670" s="46"/>
      <c r="B670" s="114"/>
      <c r="C670" s="114"/>
      <c r="D670" s="191"/>
      <c r="E670" s="191"/>
      <c r="F670" s="116"/>
      <c r="G670" s="52"/>
      <c r="H670" s="55"/>
      <c r="I670" s="54"/>
      <c r="J670" s="55"/>
      <c r="K670" s="55"/>
      <c r="L670" s="117"/>
      <c r="M670" s="56"/>
      <c r="N670" s="117"/>
      <c r="O670" s="55"/>
      <c r="P670" s="55"/>
      <c r="Q670" s="55"/>
      <c r="R670" s="49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</row>
    <row r="671" spans="1:41" x14ac:dyDescent="0.25">
      <c r="A671" s="46"/>
      <c r="B671" s="114"/>
      <c r="C671" s="114"/>
      <c r="D671" s="191"/>
      <c r="E671" s="191"/>
      <c r="F671" s="116"/>
      <c r="G671" s="52"/>
      <c r="H671" s="55"/>
      <c r="I671" s="54"/>
      <c r="J671" s="55"/>
      <c r="K671" s="55"/>
      <c r="L671" s="117"/>
      <c r="M671" s="56"/>
      <c r="N671" s="117"/>
      <c r="O671" s="55"/>
      <c r="P671" s="55"/>
      <c r="Q671" s="55"/>
      <c r="R671" s="49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</row>
    <row r="672" spans="1:41" x14ac:dyDescent="0.25">
      <c r="A672" s="46"/>
      <c r="B672" s="114"/>
      <c r="C672" s="114"/>
      <c r="D672" s="191"/>
      <c r="E672" s="191"/>
      <c r="F672" s="116"/>
      <c r="G672" s="52"/>
      <c r="H672" s="55"/>
      <c r="I672" s="54"/>
      <c r="J672" s="55"/>
      <c r="K672" s="55"/>
      <c r="L672" s="117"/>
      <c r="M672" s="56"/>
      <c r="N672" s="117"/>
      <c r="O672" s="55"/>
      <c r="P672" s="55"/>
      <c r="Q672" s="55"/>
      <c r="R672" s="49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</row>
    <row r="673" spans="1:41" x14ac:dyDescent="0.25">
      <c r="A673" s="46"/>
      <c r="B673" s="114"/>
      <c r="C673" s="114"/>
      <c r="D673" s="191"/>
      <c r="E673" s="191"/>
      <c r="F673" s="116"/>
      <c r="G673" s="52"/>
      <c r="H673" s="55"/>
      <c r="I673" s="54"/>
      <c r="J673" s="55"/>
      <c r="K673" s="55"/>
      <c r="L673" s="117"/>
      <c r="M673" s="56"/>
      <c r="N673" s="117"/>
      <c r="O673" s="55"/>
      <c r="P673" s="55"/>
      <c r="Q673" s="55"/>
      <c r="R673" s="49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</row>
    <row r="674" spans="1:41" x14ac:dyDescent="0.25">
      <c r="A674" s="46"/>
      <c r="B674" s="114"/>
      <c r="C674" s="114"/>
      <c r="D674" s="191"/>
      <c r="E674" s="191"/>
      <c r="F674" s="116"/>
      <c r="G674" s="52"/>
      <c r="H674" s="55"/>
      <c r="I674" s="54"/>
      <c r="J674" s="55"/>
      <c r="K674" s="55"/>
      <c r="L674" s="117"/>
      <c r="M674" s="56"/>
      <c r="N674" s="117"/>
      <c r="O674" s="55"/>
      <c r="P674" s="55"/>
      <c r="Q674" s="55"/>
      <c r="R674" s="49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</row>
    <row r="675" spans="1:41" x14ac:dyDescent="0.25">
      <c r="A675" s="46"/>
      <c r="B675" s="114"/>
      <c r="C675" s="114"/>
      <c r="D675" s="191"/>
      <c r="E675" s="191"/>
      <c r="F675" s="116"/>
      <c r="G675" s="52"/>
      <c r="H675" s="55"/>
      <c r="I675" s="54"/>
      <c r="J675" s="55"/>
      <c r="K675" s="55"/>
      <c r="L675" s="117"/>
      <c r="M675" s="56"/>
      <c r="N675" s="117"/>
      <c r="O675" s="55"/>
      <c r="P675" s="55"/>
      <c r="Q675" s="55"/>
      <c r="R675" s="49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</row>
    <row r="676" spans="1:41" x14ac:dyDescent="0.25">
      <c r="A676" s="46"/>
      <c r="B676" s="114"/>
      <c r="C676" s="114"/>
      <c r="D676" s="191"/>
      <c r="E676" s="191"/>
      <c r="F676" s="116"/>
      <c r="G676" s="52"/>
      <c r="H676" s="55"/>
      <c r="I676" s="54"/>
      <c r="J676" s="55"/>
      <c r="K676" s="55"/>
      <c r="L676" s="117"/>
      <c r="M676" s="56"/>
      <c r="N676" s="117"/>
      <c r="O676" s="55"/>
      <c r="P676" s="55"/>
      <c r="Q676" s="55"/>
      <c r="R676" s="49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</row>
    <row r="677" spans="1:41" x14ac:dyDescent="0.25">
      <c r="A677" s="46"/>
      <c r="B677" s="114"/>
      <c r="C677" s="114"/>
      <c r="D677" s="191"/>
      <c r="E677" s="191"/>
      <c r="F677" s="116"/>
      <c r="G677" s="52"/>
      <c r="H677" s="55"/>
      <c r="I677" s="54"/>
      <c r="J677" s="55"/>
      <c r="K677" s="55"/>
      <c r="L677" s="117"/>
      <c r="M677" s="56"/>
      <c r="N677" s="117"/>
      <c r="O677" s="55"/>
      <c r="P677" s="55"/>
      <c r="Q677" s="55"/>
      <c r="R677" s="49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</row>
    <row r="678" spans="1:41" x14ac:dyDescent="0.25">
      <c r="A678" s="46"/>
      <c r="B678" s="114"/>
      <c r="C678" s="114"/>
      <c r="D678" s="191"/>
      <c r="E678" s="191"/>
      <c r="F678" s="116"/>
      <c r="G678" s="52"/>
      <c r="H678" s="55"/>
      <c r="I678" s="54"/>
      <c r="J678" s="55"/>
      <c r="K678" s="55"/>
      <c r="L678" s="117"/>
      <c r="M678" s="56"/>
      <c r="N678" s="117"/>
      <c r="O678" s="55"/>
      <c r="P678" s="55"/>
      <c r="Q678" s="55"/>
      <c r="R678" s="49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</row>
    <row r="679" spans="1:41" x14ac:dyDescent="0.25">
      <c r="A679" s="46"/>
      <c r="B679" s="114"/>
      <c r="C679" s="114"/>
      <c r="D679" s="191"/>
      <c r="E679" s="191"/>
      <c r="F679" s="116"/>
      <c r="G679" s="52"/>
      <c r="H679" s="55"/>
      <c r="I679" s="54"/>
      <c r="J679" s="55"/>
      <c r="K679" s="55"/>
      <c r="L679" s="117"/>
      <c r="M679" s="56"/>
      <c r="N679" s="117"/>
      <c r="O679" s="55"/>
      <c r="P679" s="55"/>
      <c r="Q679" s="55"/>
      <c r="R679" s="49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</row>
    <row r="680" spans="1:41" x14ac:dyDescent="0.25">
      <c r="A680" s="46"/>
      <c r="B680" s="114"/>
      <c r="C680" s="114"/>
      <c r="D680" s="191"/>
      <c r="E680" s="191"/>
      <c r="F680" s="116"/>
      <c r="G680" s="52"/>
      <c r="H680" s="55"/>
      <c r="I680" s="54"/>
      <c r="J680" s="55"/>
      <c r="K680" s="55"/>
      <c r="L680" s="117"/>
      <c r="M680" s="56"/>
      <c r="N680" s="117"/>
      <c r="O680" s="55"/>
      <c r="P680" s="55"/>
      <c r="Q680" s="55"/>
      <c r="R680" s="49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</row>
    <row r="681" spans="1:41" x14ac:dyDescent="0.25">
      <c r="A681" s="46"/>
      <c r="B681" s="114"/>
      <c r="C681" s="114"/>
      <c r="D681" s="191"/>
      <c r="E681" s="191"/>
      <c r="F681" s="116"/>
      <c r="G681" s="52"/>
      <c r="H681" s="55"/>
      <c r="I681" s="54"/>
      <c r="J681" s="55"/>
      <c r="K681" s="55"/>
      <c r="L681" s="117"/>
      <c r="M681" s="56"/>
      <c r="N681" s="117"/>
      <c r="O681" s="55"/>
      <c r="P681" s="55"/>
      <c r="Q681" s="55"/>
      <c r="R681" s="49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</row>
    <row r="682" spans="1:41" x14ac:dyDescent="0.25">
      <c r="A682" s="46"/>
      <c r="B682" s="114"/>
      <c r="C682" s="114"/>
      <c r="D682" s="191"/>
      <c r="E682" s="191"/>
      <c r="F682" s="116"/>
      <c r="G682" s="52"/>
      <c r="H682" s="55"/>
      <c r="I682" s="54"/>
      <c r="J682" s="55"/>
      <c r="K682" s="55"/>
      <c r="L682" s="117"/>
      <c r="M682" s="56"/>
      <c r="N682" s="117"/>
      <c r="O682" s="55"/>
      <c r="P682" s="55"/>
      <c r="Q682" s="55"/>
      <c r="R682" s="49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</row>
    <row r="683" spans="1:41" x14ac:dyDescent="0.25">
      <c r="A683" s="46"/>
      <c r="B683" s="114"/>
      <c r="C683" s="114"/>
      <c r="D683" s="191"/>
      <c r="E683" s="191"/>
      <c r="F683" s="116"/>
      <c r="G683" s="52"/>
      <c r="H683" s="55"/>
      <c r="I683" s="54"/>
      <c r="J683" s="55"/>
      <c r="K683" s="55"/>
      <c r="L683" s="117"/>
      <c r="M683" s="56"/>
      <c r="N683" s="117"/>
      <c r="O683" s="55"/>
      <c r="P683" s="55"/>
      <c r="Q683" s="55"/>
      <c r="R683" s="49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</row>
    <row r="684" spans="1:41" x14ac:dyDescent="0.25">
      <c r="A684" s="46"/>
      <c r="B684" s="114"/>
      <c r="C684" s="114"/>
      <c r="D684" s="191"/>
      <c r="E684" s="191"/>
      <c r="F684" s="116"/>
      <c r="G684" s="52"/>
      <c r="H684" s="55"/>
      <c r="I684" s="54"/>
      <c r="J684" s="55"/>
      <c r="K684" s="55"/>
      <c r="L684" s="117"/>
      <c r="M684" s="56"/>
      <c r="N684" s="117"/>
      <c r="O684" s="55"/>
      <c r="P684" s="55"/>
      <c r="Q684" s="55"/>
      <c r="R684" s="49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</row>
    <row r="685" spans="1:41" x14ac:dyDescent="0.25">
      <c r="A685" s="46"/>
      <c r="B685" s="114"/>
      <c r="C685" s="114"/>
      <c r="D685" s="191"/>
      <c r="E685" s="191"/>
      <c r="F685" s="116"/>
      <c r="G685" s="52"/>
      <c r="H685" s="55"/>
      <c r="I685" s="54"/>
      <c r="J685" s="55"/>
      <c r="K685" s="55"/>
      <c r="L685" s="117"/>
      <c r="M685" s="56"/>
      <c r="N685" s="117"/>
      <c r="O685" s="55"/>
      <c r="P685" s="55"/>
      <c r="Q685" s="55"/>
      <c r="R685" s="49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</row>
    <row r="686" spans="1:41" x14ac:dyDescent="0.25">
      <c r="A686" s="46"/>
      <c r="B686" s="114"/>
      <c r="C686" s="114"/>
      <c r="D686" s="191"/>
      <c r="E686" s="191"/>
      <c r="F686" s="116"/>
      <c r="G686" s="52"/>
      <c r="H686" s="55"/>
      <c r="I686" s="54"/>
      <c r="J686" s="55"/>
      <c r="K686" s="55"/>
      <c r="L686" s="117"/>
      <c r="M686" s="56"/>
      <c r="N686" s="117"/>
      <c r="O686" s="55"/>
      <c r="P686" s="55"/>
      <c r="Q686" s="55"/>
      <c r="R686" s="49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</row>
    <row r="687" spans="1:41" x14ac:dyDescent="0.25">
      <c r="A687" s="46"/>
      <c r="B687" s="114"/>
      <c r="C687" s="114"/>
      <c r="D687" s="191"/>
      <c r="E687" s="191"/>
      <c r="F687" s="116"/>
      <c r="G687" s="52"/>
      <c r="H687" s="55"/>
      <c r="I687" s="54"/>
      <c r="J687" s="55"/>
      <c r="K687" s="55"/>
      <c r="L687" s="117"/>
      <c r="M687" s="56"/>
      <c r="N687" s="117"/>
      <c r="O687" s="55"/>
      <c r="P687" s="55"/>
      <c r="Q687" s="55"/>
      <c r="R687" s="49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</row>
    <row r="688" spans="1:41" x14ac:dyDescent="0.25">
      <c r="A688" s="46"/>
      <c r="B688" s="114"/>
      <c r="C688" s="114"/>
      <c r="D688" s="191"/>
      <c r="E688" s="191"/>
      <c r="F688" s="116"/>
      <c r="G688" s="52"/>
      <c r="H688" s="55"/>
      <c r="I688" s="54"/>
      <c r="J688" s="55"/>
      <c r="K688" s="55"/>
      <c r="L688" s="117"/>
      <c r="M688" s="56"/>
      <c r="N688" s="117"/>
      <c r="O688" s="55"/>
      <c r="P688" s="55"/>
      <c r="Q688" s="55"/>
      <c r="R688" s="49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</row>
    <row r="689" spans="1:41" x14ac:dyDescent="0.25">
      <c r="A689" s="46"/>
      <c r="B689" s="114"/>
      <c r="C689" s="114"/>
      <c r="D689" s="191"/>
      <c r="E689" s="191"/>
      <c r="F689" s="116"/>
      <c r="G689" s="52"/>
      <c r="H689" s="55"/>
      <c r="I689" s="54"/>
      <c r="J689" s="55"/>
      <c r="K689" s="55"/>
      <c r="L689" s="117"/>
      <c r="M689" s="56"/>
      <c r="N689" s="117"/>
      <c r="O689" s="55"/>
      <c r="P689" s="55"/>
      <c r="Q689" s="55"/>
      <c r="R689" s="49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</row>
    <row r="690" spans="1:41" x14ac:dyDescent="0.25">
      <c r="A690" s="46"/>
      <c r="B690" s="114"/>
      <c r="C690" s="114"/>
      <c r="D690" s="191"/>
      <c r="E690" s="191"/>
      <c r="F690" s="116"/>
      <c r="G690" s="52"/>
      <c r="H690" s="55"/>
      <c r="I690" s="54"/>
      <c r="J690" s="55"/>
      <c r="K690" s="55"/>
      <c r="L690" s="117"/>
      <c r="M690" s="56"/>
      <c r="N690" s="117"/>
      <c r="O690" s="55"/>
      <c r="P690" s="55"/>
      <c r="Q690" s="55"/>
      <c r="R690" s="49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</row>
    <row r="691" spans="1:41" x14ac:dyDescent="0.25">
      <c r="A691" s="46"/>
      <c r="B691" s="114"/>
      <c r="C691" s="114"/>
      <c r="D691" s="191"/>
      <c r="E691" s="191"/>
      <c r="F691" s="116"/>
      <c r="G691" s="52"/>
      <c r="H691" s="55"/>
      <c r="I691" s="54"/>
      <c r="J691" s="55"/>
      <c r="K691" s="55"/>
      <c r="L691" s="117"/>
      <c r="M691" s="56"/>
      <c r="N691" s="117"/>
      <c r="O691" s="55"/>
      <c r="P691" s="55"/>
      <c r="Q691" s="55"/>
      <c r="R691" s="49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</row>
    <row r="692" spans="1:41" x14ac:dyDescent="0.25">
      <c r="A692" s="46"/>
      <c r="B692" s="114"/>
      <c r="C692" s="114"/>
      <c r="D692" s="191"/>
      <c r="E692" s="191"/>
      <c r="F692" s="116"/>
      <c r="G692" s="52"/>
      <c r="H692" s="55"/>
      <c r="I692" s="54"/>
      <c r="J692" s="55"/>
      <c r="K692" s="55"/>
      <c r="L692" s="117"/>
      <c r="M692" s="56"/>
      <c r="N692" s="117"/>
      <c r="O692" s="55"/>
      <c r="P692" s="55"/>
      <c r="Q692" s="55"/>
      <c r="R692" s="49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</row>
    <row r="693" spans="1:41" x14ac:dyDescent="0.25">
      <c r="A693" s="46"/>
      <c r="B693" s="114"/>
      <c r="C693" s="114"/>
      <c r="D693" s="191"/>
      <c r="E693" s="191"/>
      <c r="F693" s="116"/>
      <c r="G693" s="52"/>
      <c r="H693" s="55"/>
      <c r="I693" s="54"/>
      <c r="J693" s="55"/>
      <c r="K693" s="55"/>
      <c r="L693" s="117"/>
      <c r="M693" s="56"/>
      <c r="N693" s="117"/>
      <c r="O693" s="55"/>
      <c r="P693" s="55"/>
      <c r="Q693" s="55"/>
      <c r="R693" s="49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</row>
    <row r="694" spans="1:41" x14ac:dyDescent="0.25">
      <c r="A694" s="46"/>
      <c r="B694" s="114"/>
      <c r="C694" s="114"/>
      <c r="D694" s="191"/>
      <c r="E694" s="191"/>
      <c r="F694" s="116"/>
      <c r="G694" s="52"/>
      <c r="H694" s="55"/>
      <c r="I694" s="54"/>
      <c r="J694" s="55"/>
      <c r="K694" s="55"/>
      <c r="L694" s="117"/>
      <c r="M694" s="56"/>
      <c r="N694" s="117"/>
      <c r="O694" s="55"/>
      <c r="P694" s="55"/>
      <c r="Q694" s="55"/>
      <c r="R694" s="49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</row>
    <row r="695" spans="1:41" x14ac:dyDescent="0.25">
      <c r="A695" s="46"/>
      <c r="B695" s="114"/>
      <c r="C695" s="114"/>
      <c r="D695" s="191"/>
      <c r="E695" s="191"/>
      <c r="F695" s="116"/>
      <c r="G695" s="52"/>
      <c r="H695" s="55"/>
      <c r="I695" s="54"/>
      <c r="J695" s="55"/>
      <c r="K695" s="55"/>
      <c r="L695" s="117"/>
      <c r="M695" s="56"/>
      <c r="N695" s="117"/>
      <c r="O695" s="55"/>
      <c r="P695" s="55"/>
      <c r="Q695" s="55"/>
      <c r="R695" s="49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</row>
    <row r="696" spans="1:41" x14ac:dyDescent="0.25">
      <c r="A696" s="46"/>
      <c r="B696" s="114"/>
      <c r="C696" s="114"/>
      <c r="D696" s="191"/>
      <c r="E696" s="191"/>
      <c r="F696" s="116"/>
      <c r="G696" s="52"/>
      <c r="H696" s="55"/>
      <c r="I696" s="54"/>
      <c r="J696" s="55"/>
      <c r="K696" s="55"/>
      <c r="L696" s="117"/>
      <c r="M696" s="56"/>
      <c r="N696" s="117"/>
      <c r="O696" s="55"/>
      <c r="P696" s="55"/>
      <c r="Q696" s="55"/>
      <c r="R696" s="49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</row>
    <row r="697" spans="1:41" x14ac:dyDescent="0.25">
      <c r="A697" s="46"/>
      <c r="B697" s="114"/>
      <c r="C697" s="114"/>
      <c r="D697" s="191"/>
      <c r="E697" s="191"/>
      <c r="F697" s="116"/>
      <c r="G697" s="52"/>
      <c r="H697" s="55"/>
      <c r="I697" s="54"/>
      <c r="J697" s="55"/>
      <c r="K697" s="55"/>
      <c r="L697" s="117"/>
      <c r="M697" s="56"/>
      <c r="N697" s="117"/>
      <c r="O697" s="55"/>
      <c r="P697" s="55"/>
      <c r="Q697" s="55"/>
      <c r="R697" s="49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</row>
    <row r="698" spans="1:41" x14ac:dyDescent="0.25">
      <c r="A698" s="46"/>
      <c r="B698" s="114"/>
      <c r="C698" s="114"/>
      <c r="D698" s="191"/>
      <c r="E698" s="191"/>
      <c r="F698" s="116"/>
      <c r="G698" s="52"/>
      <c r="H698" s="55"/>
      <c r="I698" s="54"/>
      <c r="J698" s="55"/>
      <c r="K698" s="55"/>
      <c r="L698" s="117"/>
      <c r="M698" s="56"/>
      <c r="N698" s="117"/>
      <c r="O698" s="55"/>
      <c r="P698" s="55"/>
      <c r="Q698" s="55"/>
      <c r="R698" s="49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</row>
    <row r="699" spans="1:41" x14ac:dyDescent="0.25">
      <c r="A699" s="46"/>
      <c r="B699" s="114"/>
      <c r="C699" s="114"/>
      <c r="D699" s="191"/>
      <c r="E699" s="191"/>
      <c r="F699" s="116"/>
      <c r="G699" s="52"/>
      <c r="H699" s="55"/>
      <c r="I699" s="54"/>
      <c r="J699" s="55"/>
      <c r="K699" s="55"/>
      <c r="L699" s="117"/>
      <c r="M699" s="56"/>
      <c r="N699" s="117"/>
      <c r="O699" s="55"/>
      <c r="P699" s="55"/>
      <c r="Q699" s="55"/>
      <c r="R699" s="49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</row>
    <row r="700" spans="1:41" x14ac:dyDescent="0.25">
      <c r="A700" s="46"/>
      <c r="B700" s="114"/>
      <c r="C700" s="114"/>
      <c r="D700" s="191"/>
      <c r="E700" s="191"/>
      <c r="F700" s="116"/>
      <c r="G700" s="52"/>
      <c r="H700" s="55"/>
      <c r="I700" s="54"/>
      <c r="J700" s="55"/>
      <c r="K700" s="55"/>
      <c r="L700" s="117"/>
      <c r="M700" s="56"/>
      <c r="N700" s="117"/>
      <c r="O700" s="55"/>
      <c r="P700" s="55"/>
      <c r="Q700" s="55"/>
      <c r="R700" s="49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</row>
    <row r="701" spans="1:41" x14ac:dyDescent="0.25">
      <c r="A701" s="46"/>
      <c r="B701" s="114"/>
      <c r="C701" s="114"/>
      <c r="D701" s="191"/>
      <c r="E701" s="191"/>
      <c r="F701" s="116"/>
      <c r="G701" s="52"/>
      <c r="H701" s="55"/>
      <c r="I701" s="54"/>
      <c r="J701" s="55"/>
      <c r="K701" s="55"/>
      <c r="L701" s="117"/>
      <c r="M701" s="56"/>
      <c r="N701" s="117"/>
      <c r="O701" s="55"/>
      <c r="P701" s="55"/>
      <c r="Q701" s="55"/>
      <c r="R701" s="49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</row>
    <row r="702" spans="1:41" x14ac:dyDescent="0.25">
      <c r="A702" s="46"/>
      <c r="B702" s="114"/>
      <c r="C702" s="114"/>
      <c r="D702" s="191"/>
      <c r="E702" s="191"/>
      <c r="F702" s="116"/>
      <c r="G702" s="52"/>
      <c r="H702" s="55"/>
      <c r="I702" s="54"/>
      <c r="J702" s="55"/>
      <c r="K702" s="55"/>
      <c r="L702" s="117"/>
      <c r="M702" s="56"/>
      <c r="N702" s="117"/>
      <c r="O702" s="55"/>
      <c r="P702" s="55"/>
      <c r="Q702" s="55"/>
      <c r="R702" s="49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</row>
    <row r="703" spans="1:41" x14ac:dyDescent="0.25">
      <c r="A703" s="46"/>
      <c r="B703" s="114"/>
      <c r="C703" s="114"/>
      <c r="D703" s="191"/>
      <c r="E703" s="191"/>
      <c r="F703" s="116"/>
      <c r="G703" s="52"/>
      <c r="H703" s="55"/>
      <c r="I703" s="54"/>
      <c r="J703" s="55"/>
      <c r="K703" s="55"/>
      <c r="L703" s="117"/>
      <c r="M703" s="56"/>
      <c r="N703" s="117"/>
      <c r="O703" s="55"/>
      <c r="P703" s="55"/>
      <c r="Q703" s="55"/>
      <c r="R703" s="49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</row>
    <row r="704" spans="1:41" x14ac:dyDescent="0.25">
      <c r="A704" s="46"/>
      <c r="B704" s="114"/>
      <c r="C704" s="114"/>
      <c r="D704" s="191"/>
      <c r="E704" s="191"/>
      <c r="F704" s="116"/>
      <c r="G704" s="52"/>
      <c r="H704" s="55"/>
      <c r="I704" s="54"/>
      <c r="J704" s="55"/>
      <c r="K704" s="55"/>
      <c r="L704" s="117"/>
      <c r="M704" s="56"/>
      <c r="N704" s="117"/>
      <c r="O704" s="55"/>
      <c r="P704" s="55"/>
      <c r="Q704" s="55"/>
      <c r="R704" s="49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</row>
    <row r="705" spans="1:41" x14ac:dyDescent="0.25">
      <c r="A705" s="46"/>
      <c r="B705" s="114"/>
      <c r="C705" s="114"/>
      <c r="D705" s="191"/>
      <c r="E705" s="191"/>
      <c r="F705" s="116"/>
      <c r="G705" s="52"/>
      <c r="H705" s="55"/>
      <c r="I705" s="54"/>
      <c r="J705" s="55"/>
      <c r="K705" s="55"/>
      <c r="L705" s="117"/>
      <c r="M705" s="56"/>
      <c r="N705" s="117"/>
      <c r="O705" s="55"/>
      <c r="P705" s="55"/>
      <c r="Q705" s="55"/>
      <c r="R705" s="49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</row>
    <row r="706" spans="1:41" x14ac:dyDescent="0.25">
      <c r="A706" s="46"/>
      <c r="B706" s="114"/>
      <c r="C706" s="114"/>
      <c r="D706" s="191"/>
      <c r="E706" s="191"/>
      <c r="F706" s="116"/>
      <c r="G706" s="52"/>
      <c r="H706" s="55"/>
      <c r="I706" s="54"/>
      <c r="J706" s="55"/>
      <c r="K706" s="55"/>
      <c r="L706" s="117"/>
      <c r="M706" s="56"/>
      <c r="N706" s="117"/>
      <c r="O706" s="55"/>
      <c r="P706" s="55"/>
      <c r="Q706" s="55"/>
      <c r="R706" s="49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</row>
    <row r="707" spans="1:41" x14ac:dyDescent="0.25">
      <c r="A707" s="46"/>
      <c r="B707" s="114"/>
      <c r="C707" s="114"/>
      <c r="D707" s="191"/>
      <c r="E707" s="191"/>
      <c r="F707" s="116"/>
      <c r="G707" s="52"/>
      <c r="H707" s="55"/>
      <c r="I707" s="54"/>
      <c r="J707" s="55"/>
      <c r="K707" s="55"/>
      <c r="L707" s="117"/>
      <c r="M707" s="56"/>
      <c r="N707" s="117"/>
      <c r="O707" s="55"/>
      <c r="P707" s="55"/>
      <c r="Q707" s="55"/>
      <c r="R707" s="49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</row>
    <row r="708" spans="1:41" x14ac:dyDescent="0.25">
      <c r="A708" s="46"/>
      <c r="B708" s="114"/>
      <c r="C708" s="114"/>
      <c r="D708" s="191"/>
      <c r="E708" s="191"/>
      <c r="F708" s="116"/>
      <c r="G708" s="52"/>
      <c r="H708" s="55"/>
      <c r="I708" s="54"/>
      <c r="J708" s="55"/>
      <c r="K708" s="55"/>
      <c r="L708" s="117"/>
      <c r="M708" s="56"/>
      <c r="N708" s="117"/>
      <c r="O708" s="55"/>
      <c r="P708" s="55"/>
      <c r="Q708" s="55"/>
      <c r="R708" s="49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</row>
    <row r="709" spans="1:41" x14ac:dyDescent="0.25">
      <c r="A709" s="46"/>
      <c r="B709" s="114"/>
      <c r="C709" s="114"/>
      <c r="D709" s="191"/>
      <c r="E709" s="191"/>
      <c r="F709" s="116"/>
      <c r="G709" s="52"/>
      <c r="H709" s="55"/>
      <c r="I709" s="54"/>
      <c r="J709" s="55"/>
      <c r="K709" s="55"/>
      <c r="L709" s="117"/>
      <c r="M709" s="56"/>
      <c r="N709" s="117"/>
      <c r="O709" s="55"/>
      <c r="P709" s="55"/>
      <c r="Q709" s="55"/>
      <c r="R709" s="49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</row>
    <row r="710" spans="1:41" x14ac:dyDescent="0.25">
      <c r="A710" s="46"/>
      <c r="B710" s="114"/>
      <c r="C710" s="114"/>
      <c r="D710" s="191"/>
      <c r="E710" s="191"/>
      <c r="F710" s="116"/>
      <c r="G710" s="52"/>
      <c r="H710" s="55"/>
      <c r="I710" s="54"/>
      <c r="J710" s="55"/>
      <c r="K710" s="55"/>
      <c r="L710" s="117"/>
      <c r="M710" s="56"/>
      <c r="N710" s="117"/>
      <c r="O710" s="55"/>
      <c r="P710" s="55"/>
      <c r="Q710" s="55"/>
      <c r="R710" s="49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</row>
    <row r="711" spans="1:41" x14ac:dyDescent="0.25">
      <c r="A711" s="46"/>
      <c r="B711" s="114"/>
      <c r="C711" s="114"/>
      <c r="D711" s="191"/>
      <c r="E711" s="191"/>
      <c r="F711" s="116"/>
      <c r="G711" s="52"/>
      <c r="H711" s="55"/>
      <c r="I711" s="54"/>
      <c r="J711" s="55"/>
      <c r="K711" s="55"/>
      <c r="L711" s="117"/>
      <c r="M711" s="56"/>
      <c r="N711" s="117"/>
      <c r="O711" s="55"/>
      <c r="P711" s="55"/>
      <c r="Q711" s="55"/>
      <c r="R711" s="49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</row>
    <row r="712" spans="1:41" x14ac:dyDescent="0.25">
      <c r="A712" s="46"/>
      <c r="B712" s="114"/>
      <c r="C712" s="114"/>
      <c r="D712" s="191"/>
      <c r="E712" s="191"/>
      <c r="F712" s="116"/>
      <c r="G712" s="52"/>
      <c r="H712" s="55"/>
      <c r="I712" s="54"/>
      <c r="J712" s="55"/>
      <c r="K712" s="55"/>
      <c r="L712" s="117"/>
      <c r="M712" s="56"/>
      <c r="N712" s="117"/>
      <c r="O712" s="55"/>
      <c r="P712" s="55"/>
      <c r="Q712" s="55"/>
      <c r="R712" s="49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</row>
    <row r="713" spans="1:41" x14ac:dyDescent="0.25">
      <c r="A713" s="46"/>
      <c r="B713" s="114"/>
      <c r="C713" s="114"/>
      <c r="D713" s="191"/>
      <c r="E713" s="191"/>
      <c r="F713" s="116"/>
      <c r="G713" s="52"/>
      <c r="H713" s="55"/>
      <c r="I713" s="54"/>
      <c r="J713" s="55"/>
      <c r="K713" s="55"/>
      <c r="L713" s="117"/>
      <c r="M713" s="56"/>
      <c r="N713" s="117"/>
      <c r="O713" s="55"/>
      <c r="P713" s="55"/>
      <c r="Q713" s="55"/>
      <c r="R713" s="49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</row>
    <row r="714" spans="1:41" x14ac:dyDescent="0.25">
      <c r="A714" s="46"/>
      <c r="B714" s="114"/>
      <c r="C714" s="114"/>
      <c r="D714" s="191"/>
      <c r="E714" s="191"/>
      <c r="F714" s="116"/>
      <c r="G714" s="52"/>
      <c r="H714" s="55"/>
      <c r="I714" s="54"/>
      <c r="J714" s="55"/>
      <c r="K714" s="55"/>
      <c r="L714" s="117"/>
      <c r="M714" s="56"/>
      <c r="N714" s="117"/>
      <c r="O714" s="55"/>
      <c r="P714" s="55"/>
      <c r="Q714" s="55"/>
      <c r="R714" s="49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</row>
    <row r="715" spans="1:41" x14ac:dyDescent="0.25">
      <c r="A715" s="46"/>
      <c r="B715" s="114"/>
      <c r="C715" s="114"/>
      <c r="D715" s="191"/>
      <c r="E715" s="191"/>
      <c r="F715" s="116"/>
      <c r="G715" s="52"/>
      <c r="H715" s="55"/>
      <c r="I715" s="54"/>
      <c r="J715" s="55"/>
      <c r="K715" s="55"/>
      <c r="L715" s="117"/>
      <c r="M715" s="56"/>
      <c r="N715" s="117"/>
      <c r="O715" s="55"/>
      <c r="P715" s="55"/>
      <c r="Q715" s="55"/>
      <c r="R715" s="49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</row>
    <row r="716" spans="1:41" x14ac:dyDescent="0.25">
      <c r="A716" s="46"/>
      <c r="B716" s="114"/>
      <c r="C716" s="114"/>
      <c r="D716" s="191"/>
      <c r="E716" s="191"/>
      <c r="F716" s="116"/>
      <c r="G716" s="52"/>
      <c r="H716" s="55"/>
      <c r="I716" s="54"/>
      <c r="J716" s="55"/>
      <c r="K716" s="55"/>
      <c r="L716" s="117"/>
      <c r="M716" s="56"/>
      <c r="N716" s="117"/>
      <c r="O716" s="55"/>
      <c r="P716" s="55"/>
      <c r="Q716" s="55"/>
      <c r="R716" s="49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</row>
    <row r="717" spans="1:41" x14ac:dyDescent="0.25">
      <c r="A717" s="46"/>
      <c r="B717" s="114"/>
      <c r="C717" s="114"/>
      <c r="D717" s="191"/>
      <c r="E717" s="191"/>
      <c r="F717" s="116"/>
      <c r="G717" s="52"/>
      <c r="H717" s="55"/>
      <c r="I717" s="54"/>
      <c r="J717" s="55"/>
      <c r="K717" s="55"/>
      <c r="L717" s="117"/>
      <c r="M717" s="56"/>
      <c r="N717" s="117"/>
      <c r="O717" s="55"/>
      <c r="P717" s="55"/>
      <c r="Q717" s="55"/>
      <c r="R717" s="49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</row>
    <row r="718" spans="1:41" x14ac:dyDescent="0.25">
      <c r="A718" s="46"/>
      <c r="B718" s="114"/>
      <c r="C718" s="114"/>
      <c r="D718" s="191"/>
      <c r="E718" s="191"/>
      <c r="F718" s="116"/>
      <c r="G718" s="52"/>
      <c r="H718" s="55"/>
      <c r="I718" s="54"/>
      <c r="J718" s="55"/>
      <c r="K718" s="55"/>
      <c r="L718" s="117"/>
      <c r="M718" s="56"/>
      <c r="N718" s="117"/>
      <c r="O718" s="55"/>
      <c r="P718" s="55"/>
      <c r="Q718" s="55"/>
      <c r="R718" s="49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</row>
    <row r="719" spans="1:41" x14ac:dyDescent="0.25">
      <c r="A719" s="46"/>
      <c r="B719" s="114"/>
      <c r="C719" s="114"/>
      <c r="D719" s="191"/>
      <c r="E719" s="191"/>
      <c r="F719" s="116"/>
      <c r="G719" s="52"/>
      <c r="H719" s="55"/>
      <c r="I719" s="54"/>
      <c r="J719" s="55"/>
      <c r="K719" s="55"/>
      <c r="L719" s="117"/>
      <c r="M719" s="56"/>
      <c r="N719" s="117"/>
      <c r="O719" s="55"/>
      <c r="P719" s="55"/>
      <c r="Q719" s="55"/>
      <c r="R719" s="49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</row>
    <row r="720" spans="1:41" x14ac:dyDescent="0.25">
      <c r="A720" s="46"/>
      <c r="B720" s="114"/>
      <c r="C720" s="114"/>
      <c r="D720" s="191"/>
      <c r="E720" s="191"/>
      <c r="F720" s="116"/>
      <c r="G720" s="52"/>
      <c r="H720" s="55"/>
      <c r="I720" s="54"/>
      <c r="J720" s="55"/>
      <c r="K720" s="55"/>
      <c r="L720" s="117"/>
      <c r="M720" s="56"/>
      <c r="N720" s="117"/>
      <c r="O720" s="55"/>
      <c r="P720" s="55"/>
      <c r="Q720" s="55"/>
      <c r="R720" s="49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</row>
    <row r="721" spans="1:41" x14ac:dyDescent="0.25">
      <c r="A721" s="46"/>
      <c r="B721" s="114"/>
      <c r="C721" s="114"/>
      <c r="D721" s="191"/>
      <c r="E721" s="191"/>
      <c r="F721" s="116"/>
      <c r="G721" s="52"/>
      <c r="H721" s="55"/>
      <c r="I721" s="54"/>
      <c r="J721" s="55"/>
      <c r="K721" s="55"/>
      <c r="L721" s="117"/>
      <c r="M721" s="56"/>
      <c r="N721" s="117"/>
      <c r="O721" s="55"/>
      <c r="P721" s="55"/>
      <c r="Q721" s="55"/>
      <c r="R721" s="49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</row>
    <row r="722" spans="1:41" x14ac:dyDescent="0.25">
      <c r="A722" s="46"/>
      <c r="B722" s="114"/>
      <c r="C722" s="114"/>
      <c r="D722" s="191"/>
      <c r="E722" s="191"/>
      <c r="F722" s="116"/>
      <c r="G722" s="52"/>
      <c r="H722" s="55"/>
      <c r="I722" s="54"/>
      <c r="J722" s="55"/>
      <c r="K722" s="55"/>
      <c r="L722" s="117"/>
      <c r="M722" s="56"/>
      <c r="N722" s="117"/>
      <c r="O722" s="55"/>
      <c r="P722" s="55"/>
      <c r="Q722" s="55"/>
      <c r="R722" s="49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</row>
    <row r="723" spans="1:41" x14ac:dyDescent="0.25">
      <c r="A723" s="46"/>
      <c r="B723" s="114"/>
      <c r="C723" s="114"/>
      <c r="D723" s="191"/>
      <c r="E723" s="191"/>
      <c r="F723" s="116"/>
      <c r="G723" s="52"/>
      <c r="H723" s="55"/>
      <c r="I723" s="54"/>
      <c r="J723" s="55"/>
      <c r="K723" s="55"/>
      <c r="L723" s="117"/>
      <c r="M723" s="56"/>
      <c r="N723" s="117"/>
      <c r="O723" s="55"/>
      <c r="P723" s="55"/>
      <c r="Q723" s="55"/>
      <c r="R723" s="49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</row>
    <row r="724" spans="1:41" x14ac:dyDescent="0.25">
      <c r="A724" s="46"/>
      <c r="B724" s="114"/>
      <c r="C724" s="114"/>
      <c r="D724" s="191"/>
      <c r="E724" s="191"/>
      <c r="F724" s="116"/>
      <c r="G724" s="52"/>
      <c r="H724" s="55"/>
      <c r="I724" s="54"/>
      <c r="J724" s="55"/>
      <c r="K724" s="55"/>
      <c r="L724" s="117"/>
      <c r="M724" s="56"/>
      <c r="N724" s="117"/>
      <c r="O724" s="55"/>
      <c r="P724" s="55"/>
      <c r="Q724" s="55"/>
      <c r="R724" s="49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</row>
    <row r="725" spans="1:41" x14ac:dyDescent="0.25">
      <c r="A725" s="46"/>
      <c r="B725" s="114"/>
      <c r="C725" s="114"/>
      <c r="D725" s="191"/>
      <c r="E725" s="191"/>
      <c r="F725" s="116"/>
      <c r="G725" s="52"/>
      <c r="H725" s="55"/>
      <c r="I725" s="54"/>
      <c r="J725" s="55"/>
      <c r="K725" s="55"/>
      <c r="L725" s="117"/>
      <c r="M725" s="56"/>
      <c r="N725" s="117"/>
      <c r="O725" s="55"/>
      <c r="P725" s="55"/>
      <c r="Q725" s="55"/>
      <c r="R725" s="49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</row>
    <row r="726" spans="1:41" x14ac:dyDescent="0.25">
      <c r="A726" s="46"/>
      <c r="B726" s="114"/>
      <c r="C726" s="114"/>
      <c r="D726" s="191"/>
      <c r="E726" s="191"/>
      <c r="F726" s="116"/>
      <c r="G726" s="52"/>
      <c r="H726" s="55"/>
      <c r="I726" s="54"/>
      <c r="J726" s="55"/>
      <c r="K726" s="55"/>
      <c r="L726" s="117"/>
      <c r="M726" s="56"/>
      <c r="N726" s="117"/>
      <c r="O726" s="55"/>
      <c r="P726" s="55"/>
      <c r="Q726" s="55"/>
      <c r="R726" s="49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</row>
    <row r="727" spans="1:41" x14ac:dyDescent="0.25">
      <c r="A727" s="46"/>
      <c r="B727" s="114"/>
      <c r="C727" s="114"/>
      <c r="D727" s="191"/>
      <c r="E727" s="191"/>
      <c r="F727" s="116"/>
      <c r="G727" s="52"/>
      <c r="H727" s="55"/>
      <c r="I727" s="54"/>
      <c r="J727" s="55"/>
      <c r="K727" s="55"/>
      <c r="L727" s="117"/>
      <c r="M727" s="56"/>
      <c r="N727" s="117"/>
      <c r="O727" s="55"/>
      <c r="P727" s="55"/>
      <c r="Q727" s="55"/>
      <c r="R727" s="49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</row>
    <row r="728" spans="1:41" x14ac:dyDescent="0.25">
      <c r="A728" s="46"/>
      <c r="B728" s="114"/>
      <c r="C728" s="114"/>
      <c r="D728" s="191"/>
      <c r="E728" s="191"/>
      <c r="F728" s="116"/>
      <c r="G728" s="52"/>
      <c r="H728" s="55"/>
      <c r="I728" s="54"/>
      <c r="J728" s="55"/>
      <c r="K728" s="55"/>
      <c r="L728" s="117"/>
      <c r="M728" s="56"/>
      <c r="N728" s="117"/>
      <c r="O728" s="55"/>
      <c r="P728" s="55"/>
      <c r="Q728" s="55"/>
      <c r="R728" s="49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</row>
    <row r="729" spans="1:41" x14ac:dyDescent="0.25">
      <c r="A729" s="46"/>
      <c r="B729" s="114"/>
      <c r="C729" s="114"/>
      <c r="D729" s="191"/>
      <c r="E729" s="191"/>
      <c r="F729" s="116"/>
      <c r="G729" s="52"/>
      <c r="H729" s="55"/>
      <c r="I729" s="54"/>
      <c r="J729" s="55"/>
      <c r="K729" s="55"/>
      <c r="L729" s="117"/>
      <c r="M729" s="56"/>
      <c r="N729" s="117"/>
      <c r="O729" s="55"/>
      <c r="P729" s="55"/>
      <c r="Q729" s="55"/>
      <c r="R729" s="49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</row>
    <row r="730" spans="1:41" x14ac:dyDescent="0.25">
      <c r="A730" s="46"/>
      <c r="B730" s="114"/>
      <c r="C730" s="114"/>
      <c r="D730" s="191"/>
      <c r="E730" s="191"/>
      <c r="F730" s="116"/>
      <c r="G730" s="52"/>
      <c r="H730" s="55"/>
      <c r="I730" s="54"/>
      <c r="J730" s="55"/>
      <c r="K730" s="55"/>
      <c r="L730" s="117"/>
      <c r="M730" s="56"/>
      <c r="N730" s="117"/>
      <c r="O730" s="55"/>
      <c r="P730" s="55"/>
      <c r="Q730" s="55"/>
      <c r="R730" s="49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</row>
    <row r="731" spans="1:41" x14ac:dyDescent="0.25">
      <c r="A731" s="46"/>
      <c r="B731" s="114"/>
      <c r="C731" s="114"/>
      <c r="D731" s="191"/>
      <c r="E731" s="191"/>
      <c r="F731" s="116"/>
      <c r="G731" s="52"/>
      <c r="H731" s="55"/>
      <c r="I731" s="54"/>
      <c r="J731" s="55"/>
      <c r="K731" s="55"/>
      <c r="L731" s="117"/>
      <c r="M731" s="56"/>
      <c r="N731" s="117"/>
      <c r="O731" s="55"/>
      <c r="P731" s="55"/>
      <c r="Q731" s="55"/>
      <c r="R731" s="49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</row>
    <row r="732" spans="1:41" x14ac:dyDescent="0.25">
      <c r="A732" s="46"/>
      <c r="B732" s="114"/>
      <c r="C732" s="114"/>
      <c r="D732" s="191"/>
      <c r="E732" s="191"/>
      <c r="F732" s="116"/>
      <c r="G732" s="52"/>
      <c r="H732" s="55"/>
      <c r="I732" s="54"/>
      <c r="J732" s="55"/>
      <c r="K732" s="55"/>
      <c r="L732" s="117"/>
      <c r="M732" s="56"/>
      <c r="N732" s="117"/>
      <c r="O732" s="55"/>
      <c r="P732" s="55"/>
      <c r="Q732" s="55"/>
      <c r="R732" s="49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</row>
    <row r="733" spans="1:41" x14ac:dyDescent="0.25">
      <c r="A733" s="46"/>
      <c r="B733" s="114"/>
      <c r="C733" s="114"/>
      <c r="D733" s="191"/>
      <c r="E733" s="191"/>
      <c r="F733" s="116"/>
      <c r="G733" s="52"/>
      <c r="H733" s="55"/>
      <c r="I733" s="54"/>
      <c r="J733" s="55"/>
      <c r="K733" s="55"/>
      <c r="L733" s="117"/>
      <c r="M733" s="56"/>
      <c r="N733" s="117"/>
      <c r="O733" s="55"/>
      <c r="P733" s="55"/>
      <c r="Q733" s="55"/>
      <c r="R733" s="49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</row>
    <row r="734" spans="1:41" x14ac:dyDescent="0.25">
      <c r="A734" s="46"/>
      <c r="B734" s="114"/>
      <c r="C734" s="114"/>
      <c r="D734" s="191"/>
      <c r="E734" s="191"/>
      <c r="F734" s="116"/>
      <c r="G734" s="52"/>
      <c r="H734" s="55"/>
      <c r="I734" s="54"/>
      <c r="J734" s="55"/>
      <c r="K734" s="55"/>
      <c r="L734" s="117"/>
      <c r="M734" s="56"/>
      <c r="N734" s="117"/>
      <c r="O734" s="55"/>
      <c r="P734" s="55"/>
      <c r="Q734" s="55"/>
      <c r="R734" s="49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</row>
    <row r="735" spans="1:41" x14ac:dyDescent="0.25">
      <c r="A735" s="46"/>
      <c r="B735" s="114"/>
      <c r="C735" s="114"/>
      <c r="D735" s="191"/>
      <c r="E735" s="191"/>
      <c r="F735" s="116"/>
      <c r="G735" s="52"/>
      <c r="H735" s="55"/>
      <c r="I735" s="54"/>
      <c r="J735" s="55"/>
      <c r="K735" s="55"/>
      <c r="L735" s="117"/>
      <c r="M735" s="56"/>
      <c r="N735" s="117"/>
      <c r="O735" s="55"/>
      <c r="P735" s="55"/>
      <c r="Q735" s="55"/>
      <c r="R735" s="49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</row>
    <row r="736" spans="1:41" x14ac:dyDescent="0.25">
      <c r="A736" s="46"/>
      <c r="B736" s="114"/>
      <c r="C736" s="114"/>
      <c r="D736" s="191"/>
      <c r="E736" s="191"/>
      <c r="F736" s="116"/>
      <c r="G736" s="52"/>
      <c r="H736" s="55"/>
      <c r="I736" s="54"/>
      <c r="J736" s="55"/>
      <c r="K736" s="55"/>
      <c r="L736" s="117"/>
      <c r="M736" s="56"/>
      <c r="N736" s="117"/>
      <c r="O736" s="55"/>
      <c r="P736" s="55"/>
      <c r="Q736" s="55"/>
      <c r="R736" s="49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</row>
    <row r="737" spans="1:41" x14ac:dyDescent="0.25">
      <c r="A737" s="46"/>
      <c r="B737" s="114"/>
      <c r="C737" s="114"/>
      <c r="D737" s="191"/>
      <c r="E737" s="191"/>
      <c r="F737" s="116"/>
      <c r="G737" s="52"/>
      <c r="H737" s="55"/>
      <c r="I737" s="54"/>
      <c r="J737" s="55"/>
      <c r="K737" s="55"/>
      <c r="L737" s="117"/>
      <c r="M737" s="56"/>
      <c r="N737" s="117"/>
      <c r="O737" s="55"/>
      <c r="P737" s="55"/>
      <c r="Q737" s="55"/>
      <c r="R737" s="49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</row>
    <row r="738" spans="1:41" x14ac:dyDescent="0.25">
      <c r="A738" s="46"/>
      <c r="B738" s="114"/>
      <c r="C738" s="114"/>
      <c r="D738" s="191"/>
      <c r="E738" s="191"/>
      <c r="F738" s="116"/>
      <c r="G738" s="52"/>
      <c r="H738" s="55"/>
      <c r="I738" s="54"/>
      <c r="J738" s="55"/>
      <c r="K738" s="55"/>
      <c r="L738" s="117"/>
      <c r="M738" s="56"/>
      <c r="N738" s="117"/>
      <c r="O738" s="55"/>
      <c r="P738" s="55"/>
      <c r="Q738" s="55"/>
      <c r="R738" s="49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</row>
    <row r="739" spans="1:41" x14ac:dyDescent="0.25">
      <c r="A739" s="46"/>
      <c r="B739" s="114"/>
      <c r="C739" s="114"/>
      <c r="D739" s="191"/>
      <c r="E739" s="191"/>
      <c r="F739" s="116"/>
      <c r="G739" s="52"/>
      <c r="H739" s="55"/>
      <c r="I739" s="54"/>
      <c r="J739" s="55"/>
      <c r="K739" s="55"/>
      <c r="L739" s="117"/>
      <c r="M739" s="56"/>
      <c r="N739" s="117"/>
      <c r="O739" s="55"/>
      <c r="P739" s="55"/>
      <c r="Q739" s="55"/>
      <c r="R739" s="49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</row>
    <row r="740" spans="1:41" x14ac:dyDescent="0.25">
      <c r="A740" s="46"/>
      <c r="B740" s="114"/>
      <c r="C740" s="114"/>
      <c r="D740" s="191"/>
      <c r="E740" s="191"/>
      <c r="F740" s="116"/>
      <c r="G740" s="52"/>
      <c r="H740" s="55"/>
      <c r="I740" s="54"/>
      <c r="J740" s="55"/>
      <c r="K740" s="55"/>
      <c r="L740" s="117"/>
      <c r="M740" s="56"/>
      <c r="N740" s="117"/>
      <c r="O740" s="55"/>
      <c r="P740" s="55"/>
      <c r="Q740" s="55"/>
      <c r="R740" s="49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</row>
    <row r="741" spans="1:41" x14ac:dyDescent="0.25">
      <c r="A741" s="46"/>
      <c r="B741" s="114"/>
      <c r="C741" s="114"/>
      <c r="D741" s="191"/>
      <c r="E741" s="191"/>
      <c r="F741" s="116"/>
      <c r="G741" s="52"/>
      <c r="H741" s="55"/>
      <c r="I741" s="54"/>
      <c r="J741" s="55"/>
      <c r="K741" s="55"/>
      <c r="L741" s="117"/>
      <c r="M741" s="56"/>
      <c r="N741" s="117"/>
      <c r="O741" s="55"/>
      <c r="P741" s="55"/>
      <c r="Q741" s="55"/>
      <c r="R741" s="49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</row>
    <row r="742" spans="1:41" x14ac:dyDescent="0.25">
      <c r="A742" s="46"/>
      <c r="B742" s="114"/>
      <c r="C742" s="114"/>
      <c r="D742" s="191"/>
      <c r="E742" s="191"/>
      <c r="F742" s="116"/>
      <c r="G742" s="52"/>
      <c r="H742" s="55"/>
      <c r="I742" s="54"/>
      <c r="J742" s="55"/>
      <c r="K742" s="55"/>
      <c r="L742" s="117"/>
      <c r="M742" s="56"/>
      <c r="N742" s="117"/>
      <c r="O742" s="55"/>
      <c r="P742" s="55"/>
      <c r="Q742" s="55"/>
      <c r="R742" s="49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</row>
    <row r="743" spans="1:41" x14ac:dyDescent="0.25">
      <c r="A743" s="46"/>
      <c r="B743" s="114"/>
      <c r="C743" s="114"/>
      <c r="D743" s="191"/>
      <c r="E743" s="191"/>
      <c r="F743" s="116"/>
      <c r="G743" s="52"/>
      <c r="H743" s="55"/>
      <c r="I743" s="54"/>
      <c r="J743" s="55"/>
      <c r="K743" s="55"/>
      <c r="L743" s="117"/>
      <c r="M743" s="56"/>
      <c r="N743" s="117"/>
      <c r="O743" s="55"/>
      <c r="P743" s="55"/>
      <c r="Q743" s="55"/>
      <c r="R743" s="49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</row>
    <row r="744" spans="1:41" x14ac:dyDescent="0.25">
      <c r="A744" s="46"/>
      <c r="B744" s="114"/>
      <c r="C744" s="114"/>
      <c r="D744" s="191"/>
      <c r="E744" s="191"/>
      <c r="F744" s="116"/>
      <c r="G744" s="52"/>
      <c r="H744" s="55"/>
      <c r="I744" s="54"/>
      <c r="J744" s="55"/>
      <c r="K744" s="55"/>
      <c r="L744" s="117"/>
      <c r="M744" s="56"/>
      <c r="N744" s="117"/>
      <c r="O744" s="55"/>
      <c r="P744" s="55"/>
      <c r="Q744" s="55"/>
      <c r="R744" s="49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</row>
    <row r="745" spans="1:41" x14ac:dyDescent="0.25">
      <c r="A745" s="46"/>
      <c r="B745" s="114"/>
      <c r="C745" s="114"/>
      <c r="D745" s="191"/>
      <c r="E745" s="191"/>
      <c r="F745" s="116"/>
      <c r="G745" s="52"/>
      <c r="H745" s="55"/>
      <c r="I745" s="54"/>
      <c r="J745" s="55"/>
      <c r="K745" s="55"/>
      <c r="L745" s="117"/>
      <c r="M745" s="56"/>
      <c r="N745" s="117"/>
      <c r="O745" s="55"/>
      <c r="P745" s="55"/>
      <c r="Q745" s="55"/>
      <c r="R745" s="49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</row>
    <row r="746" spans="1:41" x14ac:dyDescent="0.25">
      <c r="A746" s="46"/>
      <c r="B746" s="114"/>
      <c r="C746" s="114"/>
      <c r="D746" s="191"/>
      <c r="E746" s="191"/>
      <c r="F746" s="116"/>
      <c r="G746" s="52"/>
      <c r="H746" s="55"/>
      <c r="I746" s="54"/>
      <c r="J746" s="55"/>
      <c r="K746" s="55"/>
      <c r="L746" s="117"/>
      <c r="M746" s="56"/>
      <c r="N746" s="117"/>
      <c r="O746" s="55"/>
      <c r="P746" s="55"/>
      <c r="Q746" s="55"/>
      <c r="R746" s="49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</row>
    <row r="747" spans="1:41" x14ac:dyDescent="0.25">
      <c r="A747" s="46"/>
      <c r="B747" s="114"/>
      <c r="C747" s="114"/>
      <c r="D747" s="191"/>
      <c r="E747" s="191"/>
      <c r="F747" s="116"/>
      <c r="G747" s="52"/>
      <c r="H747" s="55"/>
      <c r="I747" s="54"/>
      <c r="J747" s="55"/>
      <c r="K747" s="55"/>
      <c r="L747" s="117"/>
      <c r="M747" s="56"/>
      <c r="N747" s="117"/>
      <c r="O747" s="55"/>
      <c r="P747" s="55"/>
      <c r="Q747" s="55"/>
      <c r="R747" s="49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</row>
    <row r="748" spans="1:41" x14ac:dyDescent="0.25">
      <c r="A748" s="46"/>
      <c r="B748" s="114"/>
      <c r="C748" s="114"/>
      <c r="D748" s="191"/>
      <c r="E748" s="191"/>
      <c r="F748" s="116"/>
      <c r="G748" s="52"/>
      <c r="H748" s="55"/>
      <c r="I748" s="54"/>
      <c r="J748" s="55"/>
      <c r="K748" s="55"/>
      <c r="L748" s="117"/>
      <c r="M748" s="56"/>
      <c r="N748" s="117"/>
      <c r="O748" s="55"/>
      <c r="P748" s="55"/>
      <c r="Q748" s="55"/>
      <c r="R748" s="49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</row>
    <row r="749" spans="1:41" x14ac:dyDescent="0.25">
      <c r="A749" s="46"/>
      <c r="B749" s="114"/>
      <c r="C749" s="114"/>
      <c r="D749" s="191"/>
      <c r="E749" s="191"/>
      <c r="F749" s="116"/>
      <c r="G749" s="52"/>
      <c r="H749" s="55"/>
      <c r="I749" s="54"/>
      <c r="J749" s="55"/>
      <c r="K749" s="55"/>
      <c r="L749" s="117"/>
      <c r="M749" s="56"/>
      <c r="N749" s="117"/>
      <c r="O749" s="55"/>
      <c r="P749" s="55"/>
      <c r="Q749" s="55"/>
      <c r="R749" s="49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</row>
    <row r="750" spans="1:41" x14ac:dyDescent="0.25">
      <c r="A750" s="46"/>
      <c r="B750" s="114"/>
      <c r="C750" s="114"/>
      <c r="D750" s="191"/>
      <c r="E750" s="191"/>
      <c r="F750" s="116"/>
      <c r="G750" s="52"/>
      <c r="H750" s="55"/>
      <c r="I750" s="54"/>
      <c r="J750" s="55"/>
      <c r="K750" s="55"/>
      <c r="L750" s="117"/>
      <c r="M750" s="56"/>
      <c r="N750" s="117"/>
      <c r="O750" s="55"/>
      <c r="P750" s="55"/>
      <c r="Q750" s="55"/>
      <c r="R750" s="49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</row>
    <row r="751" spans="1:41" x14ac:dyDescent="0.25">
      <c r="A751" s="46"/>
      <c r="B751" s="114"/>
      <c r="C751" s="114"/>
      <c r="D751" s="191"/>
      <c r="E751" s="191"/>
      <c r="F751" s="116"/>
      <c r="G751" s="52"/>
      <c r="H751" s="55"/>
      <c r="I751" s="54"/>
      <c r="J751" s="55"/>
      <c r="K751" s="55"/>
      <c r="L751" s="117"/>
      <c r="M751" s="56"/>
      <c r="N751" s="117"/>
      <c r="O751" s="55"/>
      <c r="P751" s="55"/>
      <c r="Q751" s="55"/>
      <c r="R751" s="49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</row>
    <row r="752" spans="1:41" x14ac:dyDescent="0.25">
      <c r="A752" s="46"/>
      <c r="B752" s="114"/>
      <c r="C752" s="114"/>
      <c r="D752" s="191"/>
      <c r="E752" s="191"/>
      <c r="F752" s="116"/>
      <c r="G752" s="52"/>
      <c r="H752" s="55"/>
      <c r="I752" s="54"/>
      <c r="J752" s="55"/>
      <c r="K752" s="55"/>
      <c r="L752" s="117"/>
      <c r="M752" s="56"/>
      <c r="N752" s="117"/>
      <c r="O752" s="55"/>
      <c r="P752" s="55"/>
      <c r="Q752" s="55"/>
      <c r="R752" s="49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</row>
    <row r="753" spans="1:41" x14ac:dyDescent="0.25">
      <c r="A753" s="46"/>
      <c r="B753" s="114"/>
      <c r="C753" s="114"/>
      <c r="D753" s="191"/>
      <c r="E753" s="191"/>
      <c r="F753" s="116"/>
      <c r="G753" s="52"/>
      <c r="H753" s="55"/>
      <c r="I753" s="54"/>
      <c r="J753" s="55"/>
      <c r="K753" s="55"/>
      <c r="L753" s="117"/>
      <c r="M753" s="56"/>
      <c r="N753" s="117"/>
      <c r="O753" s="55"/>
      <c r="P753" s="55"/>
      <c r="Q753" s="55"/>
      <c r="R753" s="49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</row>
    <row r="754" spans="1:41" x14ac:dyDescent="0.25">
      <c r="A754" s="46"/>
      <c r="B754" s="114"/>
      <c r="C754" s="114"/>
      <c r="D754" s="191"/>
      <c r="E754" s="191"/>
      <c r="F754" s="116"/>
      <c r="G754" s="52"/>
      <c r="H754" s="55"/>
      <c r="I754" s="54"/>
      <c r="J754" s="55"/>
      <c r="K754" s="55"/>
      <c r="L754" s="117"/>
      <c r="M754" s="56"/>
      <c r="N754" s="117"/>
      <c r="O754" s="55"/>
      <c r="P754" s="55"/>
      <c r="Q754" s="55"/>
      <c r="R754" s="49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</row>
    <row r="755" spans="1:41" x14ac:dyDescent="0.25">
      <c r="A755" s="46"/>
      <c r="B755" s="114"/>
      <c r="C755" s="114"/>
      <c r="D755" s="191"/>
      <c r="E755" s="191"/>
      <c r="F755" s="116"/>
      <c r="G755" s="52"/>
      <c r="H755" s="55"/>
      <c r="I755" s="54"/>
      <c r="J755" s="55"/>
      <c r="K755" s="55"/>
      <c r="L755" s="117"/>
      <c r="M755" s="56"/>
      <c r="N755" s="117"/>
      <c r="O755" s="55"/>
      <c r="P755" s="55"/>
      <c r="Q755" s="55"/>
      <c r="R755" s="49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</row>
    <row r="756" spans="1:41" x14ac:dyDescent="0.25">
      <c r="A756" s="46"/>
      <c r="B756" s="114"/>
      <c r="C756" s="114"/>
      <c r="D756" s="191"/>
      <c r="E756" s="191"/>
      <c r="F756" s="116"/>
      <c r="G756" s="52"/>
      <c r="H756" s="55"/>
      <c r="I756" s="54"/>
      <c r="J756" s="55"/>
      <c r="K756" s="55"/>
      <c r="L756" s="117"/>
      <c r="M756" s="56"/>
      <c r="N756" s="117"/>
      <c r="O756" s="55"/>
      <c r="P756" s="55"/>
      <c r="Q756" s="55"/>
      <c r="R756" s="49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</row>
    <row r="757" spans="1:41" x14ac:dyDescent="0.25">
      <c r="A757" s="46"/>
      <c r="B757" s="114"/>
      <c r="C757" s="114"/>
      <c r="D757" s="191"/>
      <c r="E757" s="191"/>
      <c r="F757" s="116"/>
      <c r="G757" s="52"/>
      <c r="H757" s="55"/>
      <c r="I757" s="54"/>
      <c r="J757" s="55"/>
      <c r="K757" s="55"/>
      <c r="L757" s="117"/>
      <c r="M757" s="56"/>
      <c r="N757" s="117"/>
      <c r="O757" s="55"/>
      <c r="P757" s="55"/>
      <c r="Q757" s="55"/>
      <c r="R757" s="49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</row>
    <row r="758" spans="1:41" x14ac:dyDescent="0.25">
      <c r="A758" s="46"/>
      <c r="B758" s="114"/>
      <c r="C758" s="114"/>
      <c r="D758" s="191"/>
      <c r="E758" s="191"/>
      <c r="F758" s="116"/>
      <c r="G758" s="52"/>
      <c r="H758" s="55"/>
      <c r="I758" s="54"/>
      <c r="J758" s="55"/>
      <c r="K758" s="55"/>
      <c r="L758" s="117"/>
      <c r="M758" s="56"/>
      <c r="N758" s="117"/>
      <c r="O758" s="55"/>
      <c r="P758" s="55"/>
      <c r="Q758" s="55"/>
      <c r="R758" s="49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</row>
    <row r="759" spans="1:41" x14ac:dyDescent="0.25">
      <c r="A759" s="46"/>
      <c r="B759" s="114"/>
      <c r="C759" s="114"/>
      <c r="D759" s="191"/>
      <c r="E759" s="191"/>
      <c r="F759" s="116"/>
      <c r="G759" s="52"/>
      <c r="H759" s="55"/>
      <c r="I759" s="54"/>
      <c r="J759" s="55"/>
      <c r="K759" s="55"/>
      <c r="L759" s="117"/>
      <c r="M759" s="56"/>
      <c r="N759" s="117"/>
      <c r="O759" s="55"/>
      <c r="P759" s="55"/>
      <c r="Q759" s="55"/>
      <c r="R759" s="49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</row>
    <row r="760" spans="1:41" x14ac:dyDescent="0.25">
      <c r="A760" s="46"/>
      <c r="B760" s="114"/>
      <c r="C760" s="114"/>
      <c r="D760" s="191"/>
      <c r="E760" s="191"/>
      <c r="F760" s="116"/>
      <c r="G760" s="52"/>
      <c r="H760" s="55"/>
      <c r="I760" s="54"/>
      <c r="J760" s="55"/>
      <c r="K760" s="55"/>
      <c r="L760" s="117"/>
      <c r="M760" s="56"/>
      <c r="N760" s="117"/>
      <c r="O760" s="55"/>
      <c r="P760" s="55"/>
      <c r="Q760" s="55"/>
      <c r="R760" s="49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</row>
    <row r="761" spans="1:41" x14ac:dyDescent="0.25">
      <c r="A761" s="46"/>
      <c r="B761" s="114"/>
      <c r="C761" s="114"/>
      <c r="D761" s="191"/>
      <c r="E761" s="191"/>
      <c r="F761" s="116"/>
      <c r="G761" s="52"/>
      <c r="H761" s="55"/>
      <c r="I761" s="54"/>
      <c r="J761" s="55"/>
      <c r="K761" s="55"/>
      <c r="L761" s="117"/>
      <c r="M761" s="56"/>
      <c r="N761" s="117"/>
      <c r="O761" s="55"/>
      <c r="P761" s="55"/>
      <c r="Q761" s="55"/>
      <c r="R761" s="49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</row>
    <row r="762" spans="1:41" x14ac:dyDescent="0.25">
      <c r="A762" s="46"/>
      <c r="B762" s="114"/>
      <c r="C762" s="114"/>
      <c r="D762" s="191"/>
      <c r="E762" s="191"/>
      <c r="F762" s="116"/>
      <c r="G762" s="52"/>
      <c r="H762" s="55"/>
      <c r="I762" s="54"/>
      <c r="J762" s="55"/>
      <c r="K762" s="55"/>
      <c r="L762" s="117"/>
      <c r="M762" s="56"/>
      <c r="N762" s="117"/>
      <c r="O762" s="55"/>
      <c r="P762" s="55"/>
      <c r="Q762" s="55"/>
      <c r="R762" s="49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</row>
    <row r="763" spans="1:41" x14ac:dyDescent="0.25">
      <c r="A763" s="46"/>
      <c r="B763" s="114"/>
      <c r="C763" s="114"/>
      <c r="D763" s="191"/>
      <c r="E763" s="191"/>
      <c r="F763" s="116"/>
      <c r="G763" s="52"/>
      <c r="H763" s="55"/>
      <c r="I763" s="54"/>
      <c r="J763" s="55"/>
      <c r="K763" s="55"/>
      <c r="L763" s="117"/>
      <c r="M763" s="56"/>
      <c r="N763" s="117"/>
      <c r="O763" s="55"/>
      <c r="P763" s="55"/>
      <c r="Q763" s="55"/>
      <c r="R763" s="49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</row>
    <row r="764" spans="1:41" x14ac:dyDescent="0.25">
      <c r="A764" s="46"/>
      <c r="B764" s="114"/>
      <c r="C764" s="114"/>
      <c r="D764" s="191"/>
      <c r="E764" s="191"/>
      <c r="F764" s="116"/>
      <c r="G764" s="52"/>
      <c r="H764" s="55"/>
      <c r="I764" s="54"/>
      <c r="J764" s="55"/>
      <c r="K764" s="55"/>
      <c r="L764" s="117"/>
      <c r="M764" s="56"/>
      <c r="N764" s="117"/>
      <c r="O764" s="55"/>
      <c r="P764" s="55"/>
      <c r="Q764" s="55"/>
      <c r="R764" s="49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</row>
    <row r="765" spans="1:41" x14ac:dyDescent="0.25">
      <c r="A765" s="46"/>
      <c r="B765" s="114"/>
      <c r="C765" s="114"/>
      <c r="D765" s="191"/>
      <c r="E765" s="191"/>
      <c r="F765" s="116"/>
      <c r="G765" s="52"/>
      <c r="H765" s="55"/>
      <c r="I765" s="54"/>
      <c r="J765" s="55"/>
      <c r="K765" s="55"/>
      <c r="L765" s="117"/>
      <c r="M765" s="56"/>
      <c r="N765" s="117"/>
      <c r="O765" s="55"/>
      <c r="P765" s="55"/>
      <c r="Q765" s="55"/>
      <c r="R765" s="49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</row>
    <row r="766" spans="1:41" x14ac:dyDescent="0.25">
      <c r="A766" s="46"/>
      <c r="B766" s="114"/>
      <c r="C766" s="114"/>
      <c r="D766" s="191"/>
      <c r="E766" s="191"/>
      <c r="F766" s="116"/>
      <c r="G766" s="52"/>
      <c r="H766" s="55"/>
      <c r="I766" s="54"/>
      <c r="J766" s="55"/>
      <c r="K766" s="55"/>
      <c r="L766" s="117"/>
      <c r="M766" s="56"/>
      <c r="N766" s="117"/>
      <c r="O766" s="55"/>
      <c r="P766" s="55"/>
      <c r="Q766" s="55"/>
      <c r="R766" s="49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</row>
    <row r="767" spans="1:41" x14ac:dyDescent="0.25">
      <c r="A767" s="46"/>
      <c r="B767" s="114"/>
      <c r="C767" s="114"/>
      <c r="D767" s="191"/>
      <c r="E767" s="191"/>
      <c r="F767" s="116"/>
      <c r="G767" s="52"/>
      <c r="H767" s="55"/>
      <c r="I767" s="54"/>
      <c r="J767" s="55"/>
      <c r="K767" s="55"/>
      <c r="L767" s="117"/>
      <c r="M767" s="56"/>
      <c r="N767" s="117"/>
      <c r="O767" s="55"/>
      <c r="P767" s="55"/>
      <c r="Q767" s="55"/>
      <c r="R767" s="49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</row>
    <row r="768" spans="1:41" x14ac:dyDescent="0.25">
      <c r="A768" s="46"/>
      <c r="B768" s="114"/>
      <c r="C768" s="114"/>
      <c r="D768" s="191"/>
      <c r="E768" s="191"/>
      <c r="F768" s="116"/>
      <c r="G768" s="52"/>
      <c r="H768" s="55"/>
      <c r="I768" s="54"/>
      <c r="J768" s="55"/>
      <c r="K768" s="55"/>
      <c r="L768" s="117"/>
      <c r="M768" s="56"/>
      <c r="N768" s="117"/>
      <c r="O768" s="55"/>
      <c r="P768" s="55"/>
      <c r="Q768" s="55"/>
      <c r="R768" s="49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</row>
    <row r="769" spans="1:41" x14ac:dyDescent="0.25">
      <c r="A769" s="46"/>
      <c r="B769" s="114"/>
      <c r="C769" s="114"/>
      <c r="D769" s="191"/>
      <c r="E769" s="191"/>
      <c r="F769" s="116"/>
      <c r="G769" s="52"/>
      <c r="H769" s="55"/>
      <c r="I769" s="54"/>
      <c r="J769" s="55"/>
      <c r="K769" s="55"/>
      <c r="L769" s="117"/>
      <c r="M769" s="56"/>
      <c r="N769" s="117"/>
      <c r="O769" s="55"/>
      <c r="P769" s="55"/>
      <c r="Q769" s="55"/>
      <c r="R769" s="49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</row>
    <row r="770" spans="1:41" x14ac:dyDescent="0.25">
      <c r="A770" s="46"/>
      <c r="B770" s="114"/>
      <c r="C770" s="114"/>
      <c r="D770" s="191"/>
      <c r="E770" s="191"/>
      <c r="F770" s="116"/>
      <c r="G770" s="52"/>
      <c r="H770" s="55"/>
      <c r="I770" s="54"/>
      <c r="J770" s="55"/>
      <c r="K770" s="55"/>
      <c r="L770" s="117"/>
      <c r="M770" s="56"/>
      <c r="N770" s="117"/>
      <c r="O770" s="55"/>
      <c r="P770" s="55"/>
      <c r="Q770" s="55"/>
      <c r="R770" s="49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</row>
    <row r="771" spans="1:41" x14ac:dyDescent="0.25">
      <c r="A771" s="46"/>
      <c r="B771" s="114"/>
      <c r="C771" s="114"/>
      <c r="D771" s="191"/>
      <c r="E771" s="191"/>
      <c r="F771" s="116"/>
      <c r="G771" s="52"/>
      <c r="H771" s="55"/>
      <c r="I771" s="54"/>
      <c r="J771" s="55"/>
      <c r="K771" s="55"/>
      <c r="L771" s="117"/>
      <c r="M771" s="56"/>
      <c r="N771" s="117"/>
      <c r="O771" s="55"/>
      <c r="P771" s="55"/>
      <c r="Q771" s="55"/>
      <c r="R771" s="49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</row>
    <row r="772" spans="1:41" x14ac:dyDescent="0.25">
      <c r="A772" s="46"/>
      <c r="B772" s="114"/>
      <c r="C772" s="114"/>
      <c r="D772" s="191"/>
      <c r="E772" s="191"/>
      <c r="F772" s="116"/>
      <c r="G772" s="52"/>
      <c r="H772" s="55"/>
      <c r="I772" s="54"/>
      <c r="J772" s="55"/>
      <c r="K772" s="55"/>
      <c r="L772" s="117"/>
      <c r="M772" s="56"/>
      <c r="N772" s="117"/>
      <c r="O772" s="55"/>
      <c r="P772" s="55"/>
      <c r="Q772" s="55"/>
      <c r="R772" s="49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</row>
    <row r="773" spans="1:41" x14ac:dyDescent="0.25">
      <c r="A773" s="46"/>
      <c r="B773" s="114"/>
      <c r="C773" s="114"/>
      <c r="D773" s="191"/>
      <c r="E773" s="191"/>
      <c r="F773" s="116"/>
      <c r="G773" s="52"/>
      <c r="H773" s="55"/>
      <c r="I773" s="54"/>
      <c r="J773" s="55"/>
      <c r="K773" s="55"/>
      <c r="L773" s="117"/>
      <c r="M773" s="56"/>
      <c r="N773" s="117"/>
      <c r="O773" s="55"/>
      <c r="P773" s="55"/>
      <c r="Q773" s="55"/>
      <c r="R773" s="49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</row>
    <row r="774" spans="1:41" x14ac:dyDescent="0.25">
      <c r="A774" s="46"/>
      <c r="B774" s="114"/>
      <c r="C774" s="114"/>
      <c r="D774" s="191"/>
      <c r="E774" s="191"/>
      <c r="F774" s="116"/>
      <c r="G774" s="52"/>
      <c r="H774" s="55"/>
      <c r="I774" s="54"/>
      <c r="J774" s="55"/>
      <c r="K774" s="55"/>
      <c r="L774" s="117"/>
      <c r="M774" s="56"/>
      <c r="N774" s="117"/>
      <c r="O774" s="55"/>
      <c r="P774" s="55"/>
      <c r="Q774" s="55"/>
      <c r="R774" s="49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</row>
    <row r="775" spans="1:41" x14ac:dyDescent="0.25">
      <c r="A775" s="46"/>
      <c r="B775" s="114"/>
      <c r="C775" s="114"/>
      <c r="D775" s="191"/>
      <c r="E775" s="191"/>
      <c r="F775" s="116"/>
      <c r="G775" s="52"/>
      <c r="H775" s="55"/>
      <c r="I775" s="54"/>
      <c r="J775" s="55"/>
      <c r="K775" s="55"/>
      <c r="L775" s="117"/>
      <c r="M775" s="56"/>
      <c r="N775" s="117"/>
      <c r="O775" s="55"/>
      <c r="P775" s="55"/>
      <c r="Q775" s="55"/>
      <c r="R775" s="49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</row>
    <row r="776" spans="1:41" x14ac:dyDescent="0.25">
      <c r="A776" s="46"/>
      <c r="B776" s="114"/>
      <c r="C776" s="114"/>
      <c r="D776" s="191"/>
      <c r="E776" s="191"/>
      <c r="F776" s="116"/>
      <c r="G776" s="52"/>
      <c r="H776" s="55"/>
      <c r="I776" s="54"/>
      <c r="J776" s="55"/>
      <c r="K776" s="55"/>
      <c r="L776" s="117"/>
      <c r="M776" s="56"/>
      <c r="N776" s="117"/>
      <c r="O776" s="55"/>
      <c r="P776" s="55"/>
      <c r="Q776" s="55"/>
      <c r="R776" s="49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</row>
    <row r="777" spans="1:41" x14ac:dyDescent="0.25">
      <c r="A777" s="46"/>
      <c r="B777" s="114"/>
      <c r="C777" s="114"/>
      <c r="D777" s="191"/>
      <c r="E777" s="191"/>
      <c r="F777" s="116"/>
      <c r="G777" s="52"/>
      <c r="H777" s="55"/>
      <c r="I777" s="54"/>
      <c r="J777" s="55"/>
      <c r="K777" s="55"/>
      <c r="L777" s="117"/>
      <c r="M777" s="56"/>
      <c r="N777" s="117"/>
      <c r="O777" s="55"/>
      <c r="P777" s="55"/>
      <c r="Q777" s="55"/>
      <c r="R777" s="49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</row>
    <row r="778" spans="1:41" x14ac:dyDescent="0.25">
      <c r="A778" s="46"/>
      <c r="B778" s="114"/>
      <c r="C778" s="114"/>
      <c r="D778" s="191"/>
      <c r="E778" s="191"/>
      <c r="F778" s="116"/>
      <c r="G778" s="52"/>
      <c r="H778" s="55"/>
      <c r="I778" s="54"/>
      <c r="J778" s="55"/>
      <c r="K778" s="55"/>
      <c r="L778" s="117"/>
      <c r="M778" s="56"/>
      <c r="N778" s="117"/>
      <c r="O778" s="55"/>
      <c r="P778" s="55"/>
      <c r="Q778" s="55"/>
      <c r="R778" s="49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</row>
    <row r="779" spans="1:41" x14ac:dyDescent="0.25">
      <c r="A779" s="46"/>
      <c r="B779" s="114"/>
      <c r="C779" s="114"/>
      <c r="D779" s="191"/>
      <c r="E779" s="191"/>
      <c r="F779" s="116"/>
      <c r="G779" s="52"/>
      <c r="H779" s="55"/>
      <c r="I779" s="54"/>
      <c r="J779" s="55"/>
      <c r="K779" s="55"/>
      <c r="L779" s="117"/>
      <c r="M779" s="56"/>
      <c r="N779" s="117"/>
      <c r="O779" s="55"/>
      <c r="P779" s="55"/>
      <c r="Q779" s="55"/>
      <c r="R779" s="49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</row>
    <row r="780" spans="1:41" x14ac:dyDescent="0.25">
      <c r="A780" s="46"/>
      <c r="B780" s="114"/>
      <c r="C780" s="114"/>
      <c r="D780" s="191"/>
      <c r="E780" s="191"/>
      <c r="F780" s="116"/>
      <c r="G780" s="52"/>
      <c r="H780" s="55"/>
      <c r="I780" s="54"/>
      <c r="J780" s="55"/>
      <c r="K780" s="55"/>
      <c r="L780" s="117"/>
      <c r="M780" s="56"/>
      <c r="N780" s="117"/>
      <c r="O780" s="55"/>
      <c r="P780" s="55"/>
      <c r="Q780" s="55"/>
      <c r="R780" s="49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</row>
    <row r="781" spans="1:41" x14ac:dyDescent="0.25">
      <c r="A781" s="46"/>
      <c r="B781" s="114"/>
      <c r="C781" s="114"/>
      <c r="D781" s="191"/>
      <c r="E781" s="191"/>
      <c r="F781" s="116"/>
      <c r="G781" s="52"/>
      <c r="H781" s="55"/>
      <c r="I781" s="54"/>
      <c r="J781" s="55"/>
      <c r="K781" s="55"/>
      <c r="L781" s="117"/>
      <c r="M781" s="56"/>
      <c r="N781" s="117"/>
      <c r="O781" s="55"/>
      <c r="P781" s="55"/>
      <c r="Q781" s="55"/>
      <c r="R781" s="49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</row>
    <row r="782" spans="1:41" x14ac:dyDescent="0.25">
      <c r="A782" s="46"/>
      <c r="B782" s="114"/>
      <c r="C782" s="114"/>
      <c r="D782" s="191"/>
      <c r="E782" s="191"/>
      <c r="F782" s="116"/>
      <c r="G782" s="52"/>
      <c r="H782" s="55"/>
      <c r="I782" s="54"/>
      <c r="J782" s="55"/>
      <c r="K782" s="55"/>
      <c r="L782" s="117"/>
      <c r="M782" s="56"/>
      <c r="N782" s="117"/>
      <c r="O782" s="55"/>
      <c r="P782" s="55"/>
      <c r="Q782" s="55"/>
      <c r="R782" s="49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</row>
    <row r="783" spans="1:41" x14ac:dyDescent="0.25">
      <c r="A783" s="46"/>
      <c r="B783" s="114"/>
      <c r="C783" s="114"/>
      <c r="D783" s="191"/>
      <c r="E783" s="191"/>
      <c r="F783" s="116"/>
      <c r="G783" s="52"/>
      <c r="H783" s="55"/>
      <c r="I783" s="54"/>
      <c r="J783" s="55"/>
      <c r="K783" s="55"/>
      <c r="L783" s="117"/>
      <c r="M783" s="56"/>
      <c r="N783" s="117"/>
      <c r="O783" s="55"/>
      <c r="P783" s="55"/>
      <c r="Q783" s="55"/>
      <c r="R783" s="49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</row>
    <row r="784" spans="1:41" x14ac:dyDescent="0.25">
      <c r="A784" s="46"/>
      <c r="B784" s="114"/>
      <c r="C784" s="114"/>
      <c r="D784" s="191"/>
      <c r="E784" s="191"/>
      <c r="F784" s="116"/>
      <c r="G784" s="52"/>
      <c r="H784" s="55"/>
      <c r="I784" s="54"/>
      <c r="J784" s="55"/>
      <c r="K784" s="55"/>
      <c r="L784" s="117"/>
      <c r="M784" s="56"/>
      <c r="N784" s="117"/>
      <c r="O784" s="55"/>
      <c r="P784" s="55"/>
      <c r="Q784" s="55"/>
      <c r="R784" s="49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</row>
    <row r="785" spans="1:41" x14ac:dyDescent="0.25">
      <c r="A785" s="46"/>
      <c r="B785" s="114"/>
      <c r="C785" s="114"/>
      <c r="D785" s="191"/>
      <c r="E785" s="191"/>
      <c r="F785" s="116"/>
      <c r="G785" s="52"/>
      <c r="H785" s="55"/>
      <c r="I785" s="54"/>
      <c r="J785" s="55"/>
      <c r="K785" s="55"/>
      <c r="L785" s="117"/>
      <c r="M785" s="56"/>
      <c r="N785" s="117"/>
      <c r="O785" s="55"/>
      <c r="P785" s="55"/>
      <c r="Q785" s="55"/>
      <c r="R785" s="49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</row>
    <row r="786" spans="1:41" x14ac:dyDescent="0.25">
      <c r="A786" s="46"/>
      <c r="B786" s="114"/>
      <c r="C786" s="114"/>
      <c r="D786" s="191"/>
      <c r="E786" s="191"/>
      <c r="F786" s="116"/>
      <c r="G786" s="52"/>
      <c r="H786" s="55"/>
      <c r="I786" s="54"/>
      <c r="J786" s="55"/>
      <c r="K786" s="55"/>
      <c r="L786" s="117"/>
      <c r="M786" s="56"/>
      <c r="N786" s="117"/>
      <c r="O786" s="55"/>
      <c r="P786" s="55"/>
      <c r="Q786" s="55"/>
      <c r="R786" s="49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</row>
    <row r="787" spans="1:41" x14ac:dyDescent="0.25">
      <c r="A787" s="46"/>
      <c r="B787" s="114"/>
      <c r="C787" s="114"/>
      <c r="D787" s="191"/>
      <c r="E787" s="191"/>
      <c r="F787" s="116"/>
      <c r="G787" s="52"/>
      <c r="H787" s="55"/>
      <c r="I787" s="54"/>
      <c r="J787" s="55"/>
      <c r="K787" s="55"/>
      <c r="L787" s="117"/>
      <c r="M787" s="56"/>
      <c r="N787" s="117"/>
      <c r="O787" s="55"/>
      <c r="P787" s="55"/>
      <c r="Q787" s="55"/>
      <c r="R787" s="49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</row>
    <row r="788" spans="1:41" x14ac:dyDescent="0.25">
      <c r="A788" s="46"/>
      <c r="B788" s="114"/>
      <c r="C788" s="114"/>
      <c r="D788" s="191"/>
      <c r="E788" s="191"/>
      <c r="F788" s="116"/>
      <c r="G788" s="52"/>
      <c r="H788" s="55"/>
      <c r="I788" s="54"/>
      <c r="J788" s="55"/>
      <c r="K788" s="55"/>
      <c r="L788" s="117"/>
      <c r="M788" s="56"/>
      <c r="N788" s="117"/>
      <c r="O788" s="55"/>
      <c r="P788" s="55"/>
      <c r="Q788" s="55"/>
      <c r="R788" s="49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</row>
    <row r="789" spans="1:41" x14ac:dyDescent="0.25">
      <c r="A789" s="46"/>
      <c r="B789" s="114"/>
      <c r="C789" s="114"/>
      <c r="D789" s="191"/>
      <c r="E789" s="191"/>
      <c r="F789" s="116"/>
      <c r="G789" s="52"/>
      <c r="H789" s="55"/>
      <c r="I789" s="54"/>
      <c r="J789" s="55"/>
      <c r="K789" s="55"/>
      <c r="L789" s="117"/>
      <c r="M789" s="56"/>
      <c r="N789" s="117"/>
      <c r="O789" s="55"/>
      <c r="P789" s="55"/>
      <c r="Q789" s="55"/>
      <c r="R789" s="49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</row>
    <row r="790" spans="1:41" x14ac:dyDescent="0.25">
      <c r="A790" s="46"/>
      <c r="B790" s="114"/>
      <c r="C790" s="114"/>
      <c r="D790" s="191"/>
      <c r="E790" s="191"/>
      <c r="F790" s="116"/>
      <c r="G790" s="52"/>
      <c r="H790" s="55"/>
      <c r="I790" s="54"/>
      <c r="J790" s="55"/>
      <c r="K790" s="55"/>
      <c r="L790" s="117"/>
      <c r="M790" s="56"/>
      <c r="N790" s="117"/>
      <c r="O790" s="55"/>
      <c r="P790" s="55"/>
      <c r="Q790" s="55"/>
      <c r="R790" s="49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</row>
    <row r="791" spans="1:41" x14ac:dyDescent="0.25">
      <c r="A791" s="46"/>
      <c r="B791" s="114"/>
      <c r="C791" s="114"/>
      <c r="D791" s="191"/>
      <c r="E791" s="191"/>
      <c r="F791" s="116"/>
      <c r="G791" s="52"/>
      <c r="H791" s="55"/>
      <c r="I791" s="54"/>
      <c r="J791" s="55"/>
      <c r="K791" s="55"/>
      <c r="L791" s="117"/>
      <c r="M791" s="56"/>
      <c r="N791" s="117"/>
      <c r="O791" s="55"/>
      <c r="P791" s="55"/>
      <c r="Q791" s="55"/>
      <c r="R791" s="49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</row>
    <row r="792" spans="1:41" x14ac:dyDescent="0.25">
      <c r="A792" s="46"/>
      <c r="B792" s="114"/>
      <c r="C792" s="114"/>
      <c r="D792" s="191"/>
      <c r="E792" s="191"/>
      <c r="F792" s="116"/>
      <c r="G792" s="52"/>
      <c r="H792" s="55"/>
      <c r="I792" s="54"/>
      <c r="J792" s="55"/>
      <c r="K792" s="55"/>
      <c r="L792" s="117"/>
      <c r="M792" s="56"/>
      <c r="N792" s="117"/>
      <c r="O792" s="55"/>
      <c r="P792" s="55"/>
      <c r="Q792" s="55"/>
      <c r="R792" s="49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</row>
    <row r="793" spans="1:41" x14ac:dyDescent="0.25">
      <c r="A793" s="46"/>
      <c r="B793" s="114"/>
      <c r="C793" s="114"/>
      <c r="D793" s="191"/>
      <c r="E793" s="191"/>
      <c r="F793" s="116"/>
      <c r="G793" s="52"/>
      <c r="H793" s="55"/>
      <c r="I793" s="54"/>
      <c r="J793" s="55"/>
      <c r="K793" s="55"/>
      <c r="L793" s="117"/>
      <c r="M793" s="56"/>
      <c r="N793" s="117"/>
      <c r="O793" s="55"/>
      <c r="P793" s="55"/>
      <c r="Q793" s="55"/>
      <c r="R793" s="49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</row>
    <row r="794" spans="1:41" x14ac:dyDescent="0.25">
      <c r="A794" s="46"/>
      <c r="B794" s="114"/>
      <c r="C794" s="114"/>
      <c r="D794" s="191"/>
      <c r="E794" s="191"/>
      <c r="F794" s="116"/>
      <c r="G794" s="52"/>
      <c r="H794" s="55"/>
      <c r="I794" s="54"/>
      <c r="J794" s="55"/>
      <c r="K794" s="55"/>
      <c r="L794" s="117"/>
      <c r="M794" s="56"/>
      <c r="N794" s="117"/>
      <c r="O794" s="55"/>
      <c r="P794" s="55"/>
      <c r="Q794" s="55"/>
      <c r="R794" s="49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</row>
    <row r="795" spans="1:41" x14ac:dyDescent="0.25">
      <c r="A795" s="46"/>
      <c r="B795" s="114"/>
      <c r="C795" s="114"/>
      <c r="D795" s="191"/>
      <c r="E795" s="191"/>
      <c r="F795" s="116"/>
      <c r="G795" s="52"/>
      <c r="H795" s="55"/>
      <c r="I795" s="54"/>
      <c r="J795" s="55"/>
      <c r="K795" s="55"/>
      <c r="L795" s="117"/>
      <c r="M795" s="56"/>
      <c r="N795" s="117"/>
      <c r="O795" s="55"/>
      <c r="P795" s="55"/>
      <c r="Q795" s="55"/>
      <c r="R795" s="49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</row>
    <row r="796" spans="1:41" x14ac:dyDescent="0.25">
      <c r="A796" s="46"/>
      <c r="B796" s="114"/>
      <c r="C796" s="114"/>
      <c r="D796" s="191"/>
      <c r="E796" s="191"/>
      <c r="F796" s="116"/>
      <c r="G796" s="52"/>
      <c r="H796" s="55"/>
      <c r="I796" s="54"/>
      <c r="J796" s="55"/>
      <c r="K796" s="55"/>
      <c r="L796" s="117"/>
      <c r="M796" s="56"/>
      <c r="N796" s="117"/>
      <c r="O796" s="55"/>
      <c r="P796" s="55"/>
      <c r="Q796" s="55"/>
      <c r="R796" s="49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</row>
    <row r="797" spans="1:41" x14ac:dyDescent="0.25">
      <c r="A797" s="46"/>
      <c r="B797" s="114"/>
      <c r="C797" s="114"/>
      <c r="D797" s="191"/>
      <c r="E797" s="191"/>
      <c r="F797" s="116"/>
      <c r="G797" s="52"/>
      <c r="H797" s="55"/>
      <c r="I797" s="54"/>
      <c r="J797" s="55"/>
      <c r="K797" s="55"/>
      <c r="L797" s="117"/>
      <c r="M797" s="56"/>
      <c r="N797" s="117"/>
      <c r="O797" s="55"/>
      <c r="P797" s="55"/>
      <c r="Q797" s="55"/>
      <c r="R797" s="49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</row>
    <row r="798" spans="1:41" x14ac:dyDescent="0.25">
      <c r="A798" s="46"/>
      <c r="B798" s="114"/>
      <c r="C798" s="114"/>
      <c r="D798" s="191"/>
      <c r="E798" s="191"/>
      <c r="F798" s="116"/>
      <c r="G798" s="52"/>
      <c r="H798" s="55"/>
      <c r="I798" s="54"/>
      <c r="J798" s="55"/>
      <c r="K798" s="55"/>
      <c r="L798" s="117"/>
      <c r="M798" s="56"/>
      <c r="N798" s="117"/>
      <c r="O798" s="55"/>
      <c r="P798" s="55"/>
      <c r="Q798" s="55"/>
      <c r="R798" s="49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</row>
    <row r="799" spans="1:41" x14ac:dyDescent="0.25">
      <c r="A799" s="46"/>
      <c r="B799" s="114"/>
      <c r="C799" s="114"/>
      <c r="D799" s="191"/>
      <c r="E799" s="191"/>
      <c r="F799" s="116"/>
      <c r="G799" s="52"/>
      <c r="H799" s="55"/>
      <c r="I799" s="54"/>
      <c r="J799" s="55"/>
      <c r="K799" s="55"/>
      <c r="L799" s="117"/>
      <c r="M799" s="56"/>
      <c r="N799" s="117"/>
      <c r="O799" s="55"/>
      <c r="P799" s="55"/>
      <c r="Q799" s="55"/>
      <c r="R799" s="49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</row>
    <row r="800" spans="1:41" x14ac:dyDescent="0.25">
      <c r="A800" s="46"/>
      <c r="B800" s="114"/>
      <c r="C800" s="114"/>
      <c r="D800" s="191"/>
      <c r="E800" s="191"/>
      <c r="F800" s="116"/>
      <c r="G800" s="52"/>
      <c r="H800" s="55"/>
      <c r="I800" s="54"/>
      <c r="J800" s="55"/>
      <c r="K800" s="55"/>
      <c r="L800" s="117"/>
      <c r="M800" s="56"/>
      <c r="N800" s="117"/>
      <c r="O800" s="55"/>
      <c r="P800" s="55"/>
      <c r="Q800" s="55"/>
      <c r="R800" s="49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</row>
    <row r="801" spans="1:41" x14ac:dyDescent="0.25">
      <c r="A801" s="46"/>
      <c r="B801" s="114"/>
      <c r="C801" s="114"/>
      <c r="D801" s="191"/>
      <c r="E801" s="191"/>
      <c r="F801" s="116"/>
      <c r="G801" s="52"/>
      <c r="H801" s="55"/>
      <c r="I801" s="54"/>
      <c r="J801" s="55"/>
      <c r="K801" s="55"/>
      <c r="L801" s="117"/>
      <c r="M801" s="56"/>
      <c r="N801" s="117"/>
      <c r="O801" s="55"/>
      <c r="P801" s="55"/>
      <c r="Q801" s="55"/>
      <c r="R801" s="49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</row>
    <row r="802" spans="1:41" x14ac:dyDescent="0.25">
      <c r="A802" s="46"/>
      <c r="B802" s="114"/>
      <c r="C802" s="114"/>
      <c r="D802" s="191"/>
      <c r="E802" s="191"/>
      <c r="F802" s="116"/>
      <c r="G802" s="52"/>
      <c r="H802" s="55"/>
      <c r="I802" s="54"/>
      <c r="J802" s="55"/>
      <c r="K802" s="55"/>
      <c r="L802" s="117"/>
      <c r="M802" s="56"/>
      <c r="N802" s="117"/>
      <c r="O802" s="55"/>
      <c r="P802" s="55"/>
      <c r="Q802" s="55"/>
      <c r="R802" s="49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</row>
    <row r="803" spans="1:41" x14ac:dyDescent="0.25">
      <c r="A803" s="46"/>
      <c r="B803" s="114"/>
      <c r="C803" s="114"/>
      <c r="D803" s="191"/>
      <c r="E803" s="191"/>
      <c r="F803" s="116"/>
      <c r="G803" s="52"/>
      <c r="H803" s="55"/>
      <c r="I803" s="54"/>
      <c r="J803" s="55"/>
      <c r="K803" s="55"/>
      <c r="L803" s="117"/>
      <c r="M803" s="56"/>
      <c r="N803" s="117"/>
      <c r="O803" s="55"/>
      <c r="P803" s="55"/>
      <c r="Q803" s="55"/>
      <c r="R803" s="49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</row>
    <row r="804" spans="1:41" x14ac:dyDescent="0.25">
      <c r="A804" s="46"/>
      <c r="B804" s="114"/>
      <c r="C804" s="114"/>
      <c r="D804" s="191"/>
      <c r="E804" s="191"/>
      <c r="F804" s="116"/>
      <c r="G804" s="52"/>
      <c r="H804" s="55"/>
      <c r="I804" s="54"/>
      <c r="J804" s="55"/>
      <c r="K804" s="55"/>
      <c r="L804" s="117"/>
      <c r="M804" s="56"/>
      <c r="N804" s="117"/>
      <c r="O804" s="55"/>
      <c r="P804" s="55"/>
      <c r="Q804" s="55"/>
      <c r="R804" s="49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</row>
    <row r="805" spans="1:41" x14ac:dyDescent="0.25">
      <c r="A805" s="46"/>
      <c r="B805" s="114"/>
      <c r="C805" s="114"/>
      <c r="D805" s="191"/>
      <c r="E805" s="191"/>
      <c r="F805" s="116"/>
      <c r="G805" s="52"/>
      <c r="H805" s="55"/>
      <c r="I805" s="54"/>
      <c r="J805" s="55"/>
      <c r="K805" s="55"/>
      <c r="L805" s="117"/>
      <c r="M805" s="56"/>
      <c r="N805" s="117"/>
      <c r="O805" s="55"/>
      <c r="P805" s="55"/>
      <c r="Q805" s="55"/>
      <c r="R805" s="49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</row>
    <row r="806" spans="1:41" x14ac:dyDescent="0.25">
      <c r="A806" s="46"/>
      <c r="B806" s="114"/>
      <c r="C806" s="114"/>
      <c r="D806" s="191"/>
      <c r="E806" s="191"/>
      <c r="F806" s="116"/>
      <c r="G806" s="52"/>
      <c r="H806" s="55"/>
      <c r="I806" s="54"/>
      <c r="J806" s="55"/>
      <c r="K806" s="55"/>
      <c r="L806" s="117"/>
      <c r="M806" s="56"/>
      <c r="N806" s="117"/>
      <c r="O806" s="55"/>
      <c r="P806" s="55"/>
      <c r="Q806" s="55"/>
      <c r="R806" s="49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</row>
    <row r="807" spans="1:41" x14ac:dyDescent="0.25">
      <c r="A807" s="46"/>
      <c r="B807" s="114"/>
      <c r="C807" s="114"/>
      <c r="D807" s="191"/>
      <c r="E807" s="191"/>
      <c r="F807" s="116"/>
      <c r="G807" s="52"/>
      <c r="H807" s="55"/>
      <c r="I807" s="54"/>
      <c r="J807" s="55"/>
      <c r="K807" s="55"/>
      <c r="L807" s="117"/>
      <c r="M807" s="56"/>
      <c r="N807" s="117"/>
      <c r="O807" s="55"/>
      <c r="P807" s="55"/>
      <c r="Q807" s="55"/>
      <c r="R807" s="49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</row>
    <row r="808" spans="1:41" x14ac:dyDescent="0.25">
      <c r="A808" s="46"/>
      <c r="B808" s="114"/>
      <c r="C808" s="114"/>
      <c r="D808" s="191"/>
      <c r="E808" s="191"/>
      <c r="F808" s="116"/>
      <c r="G808" s="52"/>
      <c r="H808" s="55"/>
      <c r="I808" s="54"/>
      <c r="J808" s="55"/>
      <c r="K808" s="55"/>
      <c r="L808" s="117"/>
      <c r="M808" s="56"/>
      <c r="N808" s="117"/>
      <c r="O808" s="55"/>
      <c r="P808" s="55"/>
      <c r="Q808" s="55"/>
      <c r="R808" s="49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</row>
    <row r="809" spans="1:41" x14ac:dyDescent="0.25">
      <c r="A809" s="46"/>
      <c r="B809" s="114"/>
      <c r="C809" s="114"/>
      <c r="D809" s="191"/>
      <c r="E809" s="191"/>
      <c r="F809" s="116"/>
      <c r="G809" s="52"/>
      <c r="H809" s="55"/>
      <c r="I809" s="54"/>
      <c r="J809" s="55"/>
      <c r="K809" s="55"/>
      <c r="L809" s="117"/>
      <c r="M809" s="56"/>
      <c r="N809" s="117"/>
      <c r="O809" s="55"/>
      <c r="P809" s="55"/>
      <c r="Q809" s="55"/>
      <c r="R809" s="49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</row>
    <row r="810" spans="1:41" x14ac:dyDescent="0.25">
      <c r="A810" s="46"/>
      <c r="B810" s="114"/>
      <c r="C810" s="114"/>
      <c r="D810" s="191"/>
      <c r="E810" s="191"/>
      <c r="F810" s="116"/>
      <c r="G810" s="52"/>
      <c r="H810" s="55"/>
      <c r="I810" s="54"/>
      <c r="J810" s="55"/>
      <c r="K810" s="55"/>
      <c r="L810" s="117"/>
      <c r="M810" s="56"/>
      <c r="N810" s="117"/>
      <c r="O810" s="55"/>
      <c r="P810" s="55"/>
      <c r="Q810" s="55"/>
      <c r="R810" s="49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</row>
    <row r="811" spans="1:41" x14ac:dyDescent="0.25">
      <c r="A811" s="46"/>
      <c r="B811" s="114"/>
      <c r="C811" s="114"/>
      <c r="D811" s="191"/>
      <c r="E811" s="191"/>
      <c r="F811" s="116"/>
      <c r="G811" s="52"/>
      <c r="H811" s="55"/>
      <c r="I811" s="54"/>
      <c r="J811" s="55"/>
      <c r="K811" s="55"/>
      <c r="L811" s="117"/>
      <c r="M811" s="56"/>
      <c r="N811" s="117"/>
      <c r="O811" s="55"/>
      <c r="P811" s="55"/>
      <c r="Q811" s="55"/>
      <c r="R811" s="49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</row>
    <row r="812" spans="1:41" x14ac:dyDescent="0.25">
      <c r="A812" s="46"/>
      <c r="B812" s="114"/>
      <c r="C812" s="114"/>
      <c r="D812" s="191"/>
      <c r="E812" s="191"/>
      <c r="F812" s="116"/>
      <c r="G812" s="52"/>
      <c r="H812" s="55"/>
      <c r="I812" s="54"/>
      <c r="J812" s="55"/>
      <c r="K812" s="55"/>
      <c r="L812" s="117"/>
      <c r="M812" s="56"/>
      <c r="N812" s="117"/>
      <c r="O812" s="55"/>
      <c r="P812" s="55"/>
      <c r="Q812" s="55"/>
      <c r="R812" s="49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</row>
    <row r="813" spans="1:41" x14ac:dyDescent="0.25">
      <c r="A813" s="46"/>
      <c r="B813" s="114"/>
      <c r="C813" s="114"/>
      <c r="D813" s="191"/>
      <c r="E813" s="191"/>
      <c r="F813" s="116"/>
      <c r="G813" s="52"/>
      <c r="H813" s="55"/>
      <c r="I813" s="54"/>
      <c r="J813" s="55"/>
      <c r="K813" s="55"/>
      <c r="L813" s="117"/>
      <c r="M813" s="56"/>
      <c r="N813" s="117"/>
      <c r="O813" s="55"/>
      <c r="P813" s="55"/>
      <c r="Q813" s="55"/>
      <c r="R813" s="49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</row>
    <row r="814" spans="1:41" x14ac:dyDescent="0.25">
      <c r="A814" s="46"/>
      <c r="B814" s="114"/>
      <c r="C814" s="114"/>
      <c r="D814" s="191"/>
      <c r="E814" s="191"/>
      <c r="F814" s="116"/>
      <c r="G814" s="52"/>
      <c r="H814" s="55"/>
      <c r="I814" s="54"/>
      <c r="J814" s="55"/>
      <c r="K814" s="55"/>
      <c r="L814" s="117"/>
      <c r="M814" s="56"/>
      <c r="N814" s="117"/>
      <c r="O814" s="55"/>
      <c r="P814" s="55"/>
      <c r="Q814" s="55"/>
      <c r="R814" s="49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</row>
    <row r="815" spans="1:41" x14ac:dyDescent="0.25">
      <c r="A815" s="46"/>
      <c r="B815" s="114"/>
      <c r="C815" s="114"/>
      <c r="D815" s="191"/>
      <c r="E815" s="191"/>
      <c r="F815" s="116"/>
      <c r="G815" s="52"/>
      <c r="H815" s="55"/>
      <c r="I815" s="54"/>
      <c r="J815" s="55"/>
      <c r="K815" s="55"/>
      <c r="L815" s="117"/>
      <c r="M815" s="56"/>
      <c r="N815" s="117"/>
      <c r="O815" s="55"/>
      <c r="P815" s="55"/>
      <c r="Q815" s="55"/>
      <c r="R815" s="49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</row>
    <row r="816" spans="1:41" x14ac:dyDescent="0.25">
      <c r="A816" s="46"/>
      <c r="B816" s="114"/>
      <c r="C816" s="114"/>
      <c r="D816" s="191"/>
      <c r="E816" s="191"/>
      <c r="F816" s="116"/>
      <c r="G816" s="52"/>
      <c r="H816" s="55"/>
      <c r="I816" s="54"/>
      <c r="J816" s="55"/>
      <c r="K816" s="55"/>
      <c r="L816" s="117"/>
      <c r="M816" s="56"/>
      <c r="N816" s="117"/>
      <c r="O816" s="55"/>
      <c r="P816" s="55"/>
      <c r="Q816" s="55"/>
      <c r="R816" s="49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</row>
    <row r="817" spans="1:41" x14ac:dyDescent="0.25">
      <c r="A817" s="46"/>
      <c r="B817" s="114"/>
      <c r="C817" s="114"/>
      <c r="D817" s="191"/>
      <c r="E817" s="191"/>
      <c r="F817" s="116"/>
      <c r="G817" s="52"/>
      <c r="H817" s="55"/>
      <c r="I817" s="54"/>
      <c r="J817" s="55"/>
      <c r="K817" s="55"/>
      <c r="L817" s="117"/>
      <c r="M817" s="56"/>
      <c r="N817" s="117"/>
      <c r="O817" s="55"/>
      <c r="P817" s="55"/>
      <c r="Q817" s="55"/>
      <c r="R817" s="49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</row>
    <row r="818" spans="1:41" x14ac:dyDescent="0.25">
      <c r="A818" s="46"/>
      <c r="B818" s="114"/>
      <c r="C818" s="114"/>
      <c r="D818" s="191"/>
      <c r="E818" s="191"/>
      <c r="F818" s="116"/>
      <c r="G818" s="52"/>
      <c r="H818" s="55"/>
      <c r="I818" s="54"/>
      <c r="J818" s="55"/>
      <c r="K818" s="55"/>
      <c r="L818" s="117"/>
      <c r="M818" s="56"/>
      <c r="N818" s="117"/>
      <c r="O818" s="55"/>
      <c r="P818" s="55"/>
      <c r="Q818" s="55"/>
      <c r="R818" s="49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</row>
    <row r="819" spans="1:41" x14ac:dyDescent="0.25">
      <c r="A819" s="46"/>
      <c r="B819" s="114"/>
      <c r="C819" s="114"/>
      <c r="D819" s="191"/>
      <c r="E819" s="191"/>
      <c r="F819" s="116"/>
      <c r="G819" s="52"/>
      <c r="H819" s="55"/>
      <c r="I819" s="54"/>
      <c r="J819" s="55"/>
      <c r="K819" s="55"/>
      <c r="L819" s="117"/>
      <c r="M819" s="56"/>
      <c r="N819" s="117"/>
      <c r="O819" s="55"/>
      <c r="P819" s="55"/>
      <c r="Q819" s="55"/>
      <c r="R819" s="49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</row>
    <row r="820" spans="1:41" x14ac:dyDescent="0.25">
      <c r="A820" s="46"/>
      <c r="B820" s="114"/>
      <c r="C820" s="114"/>
      <c r="D820" s="191"/>
      <c r="E820" s="191"/>
      <c r="F820" s="116"/>
      <c r="G820" s="52"/>
      <c r="H820" s="55"/>
      <c r="I820" s="54"/>
      <c r="J820" s="55"/>
      <c r="K820" s="55"/>
      <c r="L820" s="117"/>
      <c r="M820" s="56"/>
      <c r="N820" s="117"/>
      <c r="O820" s="55"/>
      <c r="P820" s="55"/>
      <c r="Q820" s="55"/>
      <c r="R820" s="49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</row>
    <row r="821" spans="1:41" x14ac:dyDescent="0.25">
      <c r="A821" s="46"/>
      <c r="B821" s="114"/>
      <c r="C821" s="114"/>
      <c r="D821" s="191"/>
      <c r="E821" s="191"/>
      <c r="F821" s="116"/>
      <c r="G821" s="52"/>
      <c r="H821" s="55"/>
      <c r="I821" s="54"/>
      <c r="J821" s="55"/>
      <c r="K821" s="55"/>
      <c r="L821" s="117"/>
      <c r="M821" s="56"/>
      <c r="N821" s="117"/>
      <c r="O821" s="55"/>
      <c r="P821" s="55"/>
      <c r="Q821" s="55"/>
      <c r="R821" s="49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</row>
    <row r="822" spans="1:41" x14ac:dyDescent="0.25">
      <c r="A822" s="46"/>
      <c r="B822" s="114"/>
      <c r="C822" s="114"/>
      <c r="D822" s="191"/>
      <c r="E822" s="191"/>
      <c r="F822" s="116"/>
      <c r="G822" s="52"/>
      <c r="H822" s="55"/>
      <c r="I822" s="54"/>
      <c r="J822" s="55"/>
      <c r="K822" s="55"/>
      <c r="L822" s="117"/>
      <c r="M822" s="56"/>
      <c r="N822" s="117"/>
      <c r="O822" s="55"/>
      <c r="P822" s="55"/>
      <c r="Q822" s="55"/>
      <c r="R822" s="49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</row>
    <row r="823" spans="1:41" x14ac:dyDescent="0.25">
      <c r="A823" s="46"/>
      <c r="B823" s="114"/>
      <c r="C823" s="114"/>
      <c r="D823" s="191"/>
      <c r="E823" s="191"/>
      <c r="F823" s="116"/>
      <c r="G823" s="52"/>
      <c r="H823" s="55"/>
      <c r="I823" s="54"/>
      <c r="J823" s="55"/>
      <c r="K823" s="55"/>
      <c r="L823" s="117"/>
      <c r="M823" s="56"/>
      <c r="N823" s="117"/>
      <c r="O823" s="55"/>
      <c r="P823" s="55"/>
      <c r="Q823" s="55"/>
      <c r="R823" s="49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</row>
    <row r="824" spans="1:41" x14ac:dyDescent="0.25">
      <c r="A824" s="46"/>
      <c r="B824" s="114"/>
      <c r="C824" s="114"/>
      <c r="D824" s="191"/>
      <c r="E824" s="191"/>
      <c r="F824" s="116"/>
      <c r="G824" s="52"/>
      <c r="H824" s="55"/>
      <c r="I824" s="54"/>
      <c r="J824" s="55"/>
      <c r="K824" s="55"/>
      <c r="L824" s="117"/>
      <c r="M824" s="56"/>
      <c r="N824" s="117"/>
      <c r="O824" s="55"/>
      <c r="P824" s="55"/>
      <c r="Q824" s="55"/>
      <c r="R824" s="49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</row>
    <row r="825" spans="1:41" x14ac:dyDescent="0.25">
      <c r="A825" s="46"/>
      <c r="B825" s="114"/>
      <c r="C825" s="114"/>
      <c r="D825" s="191"/>
      <c r="E825" s="191"/>
      <c r="F825" s="116"/>
      <c r="G825" s="52"/>
      <c r="H825" s="55"/>
      <c r="I825" s="54"/>
      <c r="J825" s="55"/>
      <c r="K825" s="55"/>
      <c r="L825" s="117"/>
      <c r="M825" s="56"/>
      <c r="N825" s="117"/>
      <c r="O825" s="55"/>
      <c r="P825" s="55"/>
      <c r="Q825" s="55"/>
      <c r="R825" s="49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</row>
    <row r="826" spans="1:41" x14ac:dyDescent="0.25">
      <c r="A826" s="46"/>
      <c r="B826" s="114"/>
      <c r="C826" s="114"/>
      <c r="D826" s="191"/>
      <c r="E826" s="191"/>
      <c r="F826" s="116"/>
      <c r="G826" s="52"/>
      <c r="H826" s="55"/>
      <c r="I826" s="54"/>
      <c r="J826" s="55"/>
      <c r="K826" s="55"/>
      <c r="L826" s="117"/>
      <c r="M826" s="56"/>
      <c r="N826" s="117"/>
      <c r="O826" s="55"/>
      <c r="P826" s="55"/>
      <c r="Q826" s="55"/>
      <c r="R826" s="49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</row>
    <row r="827" spans="1:41" x14ac:dyDescent="0.25">
      <c r="A827" s="46"/>
      <c r="B827" s="114"/>
      <c r="C827" s="114"/>
      <c r="D827" s="191"/>
      <c r="E827" s="191"/>
      <c r="F827" s="116"/>
      <c r="G827" s="52"/>
      <c r="H827" s="55"/>
      <c r="I827" s="54"/>
      <c r="J827" s="55"/>
      <c r="K827" s="55"/>
      <c r="L827" s="117"/>
      <c r="M827" s="56"/>
      <c r="N827" s="117"/>
      <c r="O827" s="55"/>
      <c r="P827" s="55"/>
      <c r="Q827" s="55"/>
      <c r="R827" s="49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</row>
    <row r="828" spans="1:41" x14ac:dyDescent="0.25">
      <c r="A828" s="46"/>
      <c r="B828" s="114"/>
      <c r="C828" s="114"/>
      <c r="D828" s="191"/>
      <c r="E828" s="191"/>
      <c r="F828" s="116"/>
      <c r="G828" s="52"/>
      <c r="H828" s="55"/>
      <c r="I828" s="54"/>
      <c r="J828" s="55"/>
      <c r="K828" s="55"/>
      <c r="L828" s="117"/>
      <c r="M828" s="56"/>
      <c r="N828" s="117"/>
      <c r="O828" s="55"/>
      <c r="P828" s="55"/>
      <c r="Q828" s="55"/>
      <c r="R828" s="49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</row>
    <row r="829" spans="1:41" x14ac:dyDescent="0.25">
      <c r="A829" s="46"/>
      <c r="B829" s="114"/>
      <c r="C829" s="114"/>
      <c r="D829" s="191"/>
      <c r="E829" s="191"/>
      <c r="F829" s="116"/>
      <c r="G829" s="52"/>
      <c r="H829" s="55"/>
      <c r="I829" s="54"/>
      <c r="J829" s="55"/>
      <c r="K829" s="55"/>
      <c r="L829" s="117"/>
      <c r="M829" s="56"/>
      <c r="N829" s="117"/>
      <c r="O829" s="55"/>
      <c r="P829" s="55"/>
      <c r="Q829" s="55"/>
      <c r="R829" s="49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</row>
    <row r="830" spans="1:41" x14ac:dyDescent="0.25">
      <c r="A830" s="46"/>
      <c r="B830" s="114"/>
      <c r="C830" s="114"/>
      <c r="D830" s="191"/>
      <c r="E830" s="191"/>
      <c r="F830" s="116"/>
      <c r="G830" s="52"/>
      <c r="H830" s="55"/>
      <c r="I830" s="54"/>
      <c r="J830" s="55"/>
      <c r="K830" s="55"/>
      <c r="L830" s="117"/>
      <c r="M830" s="56"/>
      <c r="N830" s="117"/>
      <c r="O830" s="55"/>
      <c r="P830" s="55"/>
      <c r="Q830" s="55"/>
      <c r="R830" s="49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</row>
    <row r="831" spans="1:41" x14ac:dyDescent="0.25">
      <c r="A831" s="46"/>
      <c r="B831" s="114"/>
      <c r="C831" s="114"/>
      <c r="D831" s="191"/>
      <c r="E831" s="191"/>
      <c r="F831" s="116"/>
      <c r="G831" s="52"/>
      <c r="H831" s="55"/>
      <c r="I831" s="54"/>
      <c r="J831" s="55"/>
      <c r="K831" s="55"/>
      <c r="L831" s="117"/>
      <c r="M831" s="56"/>
      <c r="N831" s="117"/>
      <c r="O831" s="55"/>
      <c r="P831" s="55"/>
      <c r="Q831" s="55"/>
      <c r="R831" s="49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</row>
    <row r="832" spans="1:41" x14ac:dyDescent="0.25">
      <c r="A832" s="46"/>
      <c r="B832" s="114"/>
      <c r="C832" s="114"/>
      <c r="D832" s="191"/>
      <c r="E832" s="191"/>
      <c r="F832" s="116"/>
      <c r="G832" s="52"/>
      <c r="H832" s="55"/>
      <c r="I832" s="54"/>
      <c r="J832" s="55"/>
      <c r="K832" s="55"/>
      <c r="L832" s="117"/>
      <c r="M832" s="56"/>
      <c r="N832" s="117"/>
      <c r="O832" s="55"/>
      <c r="P832" s="55"/>
      <c r="Q832" s="55"/>
      <c r="R832" s="49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</row>
    <row r="833" spans="1:41" x14ac:dyDescent="0.25">
      <c r="A833" s="46"/>
      <c r="B833" s="114"/>
      <c r="C833" s="114"/>
      <c r="D833" s="191"/>
      <c r="E833" s="191"/>
      <c r="F833" s="116"/>
      <c r="G833" s="52"/>
      <c r="H833" s="55"/>
      <c r="I833" s="54"/>
      <c r="J833" s="55"/>
      <c r="K833" s="55"/>
      <c r="L833" s="117"/>
      <c r="M833" s="56"/>
      <c r="N833" s="117"/>
      <c r="O833" s="55"/>
      <c r="P833" s="55"/>
      <c r="Q833" s="55"/>
      <c r="R833" s="49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</row>
    <row r="834" spans="1:41" x14ac:dyDescent="0.25">
      <c r="A834" s="46"/>
      <c r="B834" s="114"/>
      <c r="C834" s="114"/>
      <c r="D834" s="191"/>
      <c r="E834" s="191"/>
      <c r="F834" s="116"/>
      <c r="G834" s="52"/>
      <c r="H834" s="55"/>
      <c r="I834" s="54"/>
      <c r="J834" s="55"/>
      <c r="K834" s="55"/>
      <c r="L834" s="117"/>
      <c r="M834" s="56"/>
      <c r="N834" s="117"/>
      <c r="O834" s="55"/>
      <c r="P834" s="55"/>
      <c r="Q834" s="55"/>
      <c r="R834" s="49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</row>
    <row r="835" spans="1:41" x14ac:dyDescent="0.25">
      <c r="A835" s="46"/>
      <c r="B835" s="114"/>
      <c r="C835" s="114"/>
      <c r="D835" s="191"/>
      <c r="E835" s="191"/>
      <c r="F835" s="116"/>
      <c r="G835" s="52"/>
      <c r="H835" s="55"/>
      <c r="I835" s="54"/>
      <c r="J835" s="55"/>
      <c r="K835" s="55"/>
      <c r="L835" s="117"/>
      <c r="M835" s="56"/>
      <c r="N835" s="117"/>
      <c r="O835" s="55"/>
      <c r="P835" s="55"/>
      <c r="Q835" s="55"/>
      <c r="R835" s="49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</row>
    <row r="836" spans="1:41" x14ac:dyDescent="0.25">
      <c r="A836" s="46"/>
      <c r="B836" s="114"/>
      <c r="C836" s="114"/>
      <c r="D836" s="191"/>
      <c r="E836" s="191"/>
      <c r="F836" s="116"/>
      <c r="G836" s="52"/>
      <c r="H836" s="55"/>
      <c r="I836" s="54"/>
      <c r="J836" s="55"/>
      <c r="K836" s="55"/>
      <c r="L836" s="117"/>
      <c r="M836" s="56"/>
      <c r="N836" s="117"/>
      <c r="O836" s="55"/>
      <c r="P836" s="55"/>
      <c r="Q836" s="55"/>
      <c r="R836" s="49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</row>
    <row r="837" spans="1:41" x14ac:dyDescent="0.25">
      <c r="A837" s="46"/>
      <c r="B837" s="114"/>
      <c r="C837" s="114"/>
      <c r="D837" s="191"/>
      <c r="E837" s="191"/>
      <c r="F837" s="116"/>
      <c r="G837" s="52"/>
      <c r="H837" s="55"/>
      <c r="I837" s="54"/>
      <c r="J837" s="55"/>
      <c r="K837" s="55"/>
      <c r="L837" s="117"/>
      <c r="M837" s="56"/>
      <c r="N837" s="117"/>
      <c r="O837" s="55"/>
      <c r="P837" s="55"/>
      <c r="Q837" s="55"/>
      <c r="R837" s="49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</row>
    <row r="838" spans="1:41" x14ac:dyDescent="0.25">
      <c r="A838" s="46"/>
      <c r="B838" s="114"/>
      <c r="C838" s="114"/>
      <c r="D838" s="191"/>
      <c r="E838" s="191"/>
      <c r="F838" s="116"/>
      <c r="G838" s="52"/>
      <c r="H838" s="55"/>
      <c r="I838" s="54"/>
      <c r="J838" s="55"/>
      <c r="K838" s="55"/>
      <c r="L838" s="117"/>
      <c r="M838" s="56"/>
      <c r="N838" s="117"/>
      <c r="O838" s="55"/>
      <c r="P838" s="55"/>
      <c r="Q838" s="55"/>
      <c r="R838" s="49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</row>
    <row r="839" spans="1:41" x14ac:dyDescent="0.25">
      <c r="A839" s="46"/>
      <c r="B839" s="114"/>
      <c r="C839" s="114"/>
      <c r="D839" s="191"/>
      <c r="E839" s="191"/>
      <c r="F839" s="116"/>
      <c r="G839" s="52"/>
      <c r="H839" s="55"/>
      <c r="I839" s="54"/>
      <c r="J839" s="55"/>
      <c r="K839" s="55"/>
      <c r="L839" s="117"/>
      <c r="M839" s="56"/>
      <c r="N839" s="117"/>
      <c r="O839" s="55"/>
      <c r="P839" s="55"/>
      <c r="Q839" s="55"/>
      <c r="R839" s="49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</row>
    <row r="840" spans="1:41" x14ac:dyDescent="0.25">
      <c r="A840" s="46"/>
      <c r="B840" s="114"/>
      <c r="C840" s="114"/>
      <c r="D840" s="191"/>
      <c r="E840" s="191"/>
      <c r="F840" s="116"/>
      <c r="G840" s="52"/>
      <c r="H840" s="55"/>
      <c r="I840" s="54"/>
      <c r="J840" s="55"/>
      <c r="K840" s="55"/>
      <c r="L840" s="117"/>
      <c r="M840" s="56"/>
      <c r="N840" s="117"/>
      <c r="O840" s="55"/>
      <c r="P840" s="55"/>
      <c r="Q840" s="55"/>
      <c r="R840" s="49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</row>
    <row r="841" spans="1:41" x14ac:dyDescent="0.25">
      <c r="A841" s="46"/>
      <c r="B841" s="114"/>
      <c r="C841" s="114"/>
      <c r="D841" s="191"/>
      <c r="E841" s="191"/>
      <c r="F841" s="116"/>
      <c r="G841" s="52"/>
      <c r="H841" s="55"/>
      <c r="I841" s="54"/>
      <c r="J841" s="55"/>
      <c r="K841" s="55"/>
      <c r="L841" s="117"/>
      <c r="M841" s="56"/>
      <c r="N841" s="117"/>
      <c r="O841" s="55"/>
      <c r="P841" s="55"/>
      <c r="Q841" s="55"/>
      <c r="R841" s="49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</row>
    <row r="842" spans="1:41" x14ac:dyDescent="0.25">
      <c r="A842" s="46"/>
      <c r="B842" s="114"/>
      <c r="C842" s="114"/>
      <c r="D842" s="191"/>
      <c r="E842" s="191"/>
      <c r="F842" s="116"/>
      <c r="G842" s="52"/>
      <c r="H842" s="55"/>
      <c r="I842" s="54"/>
      <c r="J842" s="55"/>
      <c r="K842" s="55"/>
      <c r="L842" s="117"/>
      <c r="M842" s="56"/>
      <c r="N842" s="117"/>
      <c r="O842" s="55"/>
      <c r="P842" s="55"/>
      <c r="Q842" s="55"/>
      <c r="R842" s="49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</row>
    <row r="843" spans="1:41" x14ac:dyDescent="0.25">
      <c r="A843" s="46"/>
      <c r="B843" s="114"/>
      <c r="C843" s="114"/>
      <c r="D843" s="191"/>
      <c r="E843" s="191"/>
      <c r="F843" s="116"/>
      <c r="G843" s="52"/>
      <c r="H843" s="55"/>
      <c r="I843" s="54"/>
      <c r="J843" s="55"/>
      <c r="K843" s="55"/>
      <c r="L843" s="117"/>
      <c r="M843" s="56"/>
      <c r="N843" s="117"/>
      <c r="O843" s="55"/>
      <c r="P843" s="55"/>
      <c r="Q843" s="55"/>
      <c r="R843" s="49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</row>
    <row r="844" spans="1:41" x14ac:dyDescent="0.25">
      <c r="A844" s="46"/>
      <c r="B844" s="114"/>
      <c r="C844" s="114"/>
      <c r="D844" s="191"/>
      <c r="E844" s="191"/>
      <c r="F844" s="116"/>
      <c r="G844" s="52"/>
      <c r="H844" s="55"/>
      <c r="I844" s="54"/>
      <c r="J844" s="55"/>
      <c r="K844" s="55"/>
      <c r="L844" s="117"/>
      <c r="M844" s="56"/>
      <c r="N844" s="117"/>
      <c r="O844" s="55"/>
      <c r="P844" s="55"/>
      <c r="Q844" s="55"/>
      <c r="R844" s="49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</row>
    <row r="845" spans="1:41" x14ac:dyDescent="0.25">
      <c r="A845" s="46"/>
      <c r="B845" s="114"/>
      <c r="C845" s="114"/>
      <c r="D845" s="191"/>
      <c r="E845" s="191"/>
      <c r="F845" s="116"/>
      <c r="G845" s="52"/>
      <c r="H845" s="55"/>
      <c r="I845" s="54"/>
      <c r="J845" s="55"/>
      <c r="K845" s="55"/>
      <c r="L845" s="117"/>
      <c r="M845" s="56"/>
      <c r="N845" s="117"/>
      <c r="O845" s="55"/>
      <c r="P845" s="55"/>
      <c r="Q845" s="55"/>
      <c r="R845" s="49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</row>
    <row r="846" spans="1:41" x14ac:dyDescent="0.25">
      <c r="A846" s="46"/>
      <c r="B846" s="114"/>
      <c r="C846" s="114"/>
      <c r="D846" s="191"/>
      <c r="E846" s="191"/>
      <c r="F846" s="116"/>
      <c r="G846" s="52"/>
      <c r="H846" s="55"/>
      <c r="I846" s="54"/>
      <c r="J846" s="55"/>
      <c r="K846" s="55"/>
      <c r="L846" s="117"/>
      <c r="M846" s="56"/>
      <c r="N846" s="117"/>
      <c r="O846" s="55"/>
      <c r="P846" s="55"/>
      <c r="Q846" s="55"/>
      <c r="R846" s="49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</row>
    <row r="847" spans="1:41" x14ac:dyDescent="0.25">
      <c r="A847" s="46"/>
      <c r="B847" s="114"/>
      <c r="C847" s="114"/>
      <c r="D847" s="191"/>
      <c r="E847" s="191"/>
      <c r="F847" s="116"/>
      <c r="G847" s="52"/>
      <c r="H847" s="55"/>
      <c r="I847" s="54"/>
      <c r="J847" s="55"/>
      <c r="K847" s="55"/>
      <c r="L847" s="117"/>
      <c r="M847" s="56"/>
      <c r="N847" s="117"/>
      <c r="O847" s="55"/>
      <c r="P847" s="55"/>
      <c r="Q847" s="55"/>
      <c r="R847" s="49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</row>
    <row r="848" spans="1:41" x14ac:dyDescent="0.25">
      <c r="A848" s="46"/>
      <c r="B848" s="114"/>
      <c r="C848" s="114"/>
      <c r="D848" s="191"/>
      <c r="E848" s="191"/>
      <c r="F848" s="116"/>
      <c r="G848" s="52"/>
      <c r="H848" s="55"/>
      <c r="I848" s="54"/>
      <c r="J848" s="55"/>
      <c r="K848" s="55"/>
      <c r="L848" s="117"/>
      <c r="M848" s="56"/>
      <c r="N848" s="117"/>
      <c r="O848" s="55"/>
      <c r="P848" s="55"/>
      <c r="Q848" s="55"/>
      <c r="R848" s="49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</row>
    <row r="849" spans="1:41" x14ac:dyDescent="0.25">
      <c r="A849" s="46"/>
      <c r="B849" s="114"/>
      <c r="C849" s="114"/>
      <c r="D849" s="191"/>
      <c r="E849" s="191"/>
      <c r="F849" s="116"/>
      <c r="G849" s="52"/>
      <c r="H849" s="55"/>
      <c r="I849" s="54"/>
      <c r="J849" s="55"/>
      <c r="K849" s="55"/>
      <c r="L849" s="117"/>
      <c r="M849" s="56"/>
      <c r="N849" s="117"/>
      <c r="O849" s="55"/>
      <c r="P849" s="55"/>
      <c r="Q849" s="55"/>
      <c r="R849" s="49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</row>
    <row r="850" spans="1:41" x14ac:dyDescent="0.25">
      <c r="A850" s="46"/>
      <c r="B850" s="114"/>
      <c r="C850" s="114"/>
      <c r="D850" s="191"/>
      <c r="E850" s="191"/>
      <c r="F850" s="116"/>
      <c r="G850" s="52"/>
      <c r="H850" s="55"/>
      <c r="I850" s="54"/>
      <c r="J850" s="55"/>
      <c r="K850" s="55"/>
      <c r="L850" s="117"/>
      <c r="M850" s="56"/>
      <c r="N850" s="117"/>
      <c r="O850" s="55"/>
      <c r="P850" s="55"/>
      <c r="Q850" s="55"/>
      <c r="R850" s="49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</row>
    <row r="851" spans="1:41" x14ac:dyDescent="0.25">
      <c r="A851" s="46"/>
      <c r="B851" s="114"/>
      <c r="C851" s="114"/>
      <c r="D851" s="191"/>
      <c r="E851" s="191"/>
      <c r="F851" s="116"/>
      <c r="G851" s="52"/>
      <c r="H851" s="55"/>
      <c r="I851" s="54"/>
      <c r="J851" s="55"/>
      <c r="K851" s="55"/>
      <c r="L851" s="117"/>
      <c r="M851" s="56"/>
      <c r="N851" s="117"/>
      <c r="O851" s="55"/>
      <c r="P851" s="55"/>
      <c r="Q851" s="55"/>
      <c r="R851" s="49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</row>
    <row r="852" spans="1:41" x14ac:dyDescent="0.25">
      <c r="A852" s="46"/>
      <c r="B852" s="114"/>
      <c r="C852" s="114"/>
      <c r="D852" s="191"/>
      <c r="E852" s="191"/>
      <c r="F852" s="116"/>
      <c r="G852" s="52"/>
      <c r="H852" s="55"/>
      <c r="I852" s="54"/>
      <c r="J852" s="55"/>
      <c r="K852" s="55"/>
      <c r="L852" s="117"/>
      <c r="M852" s="56"/>
      <c r="N852" s="117"/>
      <c r="O852" s="55"/>
      <c r="P852" s="55"/>
      <c r="Q852" s="55"/>
      <c r="R852" s="49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</row>
    <row r="853" spans="1:41" x14ac:dyDescent="0.25">
      <c r="A853" s="46"/>
      <c r="B853" s="114"/>
      <c r="C853" s="114"/>
      <c r="D853" s="191"/>
      <c r="E853" s="191"/>
      <c r="F853" s="116"/>
      <c r="G853" s="52"/>
      <c r="H853" s="55"/>
      <c r="I853" s="54"/>
      <c r="J853" s="55"/>
      <c r="K853" s="55"/>
      <c r="L853" s="117"/>
      <c r="M853" s="56"/>
      <c r="N853" s="117"/>
      <c r="O853" s="55"/>
      <c r="P853" s="55"/>
      <c r="Q853" s="55"/>
      <c r="R853" s="49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</row>
    <row r="854" spans="1:41" x14ac:dyDescent="0.25">
      <c r="A854" s="46"/>
      <c r="B854" s="114"/>
      <c r="C854" s="114"/>
      <c r="D854" s="191"/>
      <c r="E854" s="191"/>
      <c r="F854" s="116"/>
      <c r="G854" s="52"/>
      <c r="H854" s="55"/>
      <c r="I854" s="54"/>
      <c r="J854" s="55"/>
      <c r="K854" s="55"/>
      <c r="L854" s="117"/>
      <c r="M854" s="56"/>
      <c r="N854" s="117"/>
      <c r="O854" s="55"/>
      <c r="P854" s="55"/>
      <c r="Q854" s="55"/>
      <c r="R854" s="49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</row>
    <row r="855" spans="1:41" x14ac:dyDescent="0.25">
      <c r="A855" s="46"/>
      <c r="B855" s="114"/>
      <c r="C855" s="114"/>
      <c r="D855" s="191"/>
      <c r="E855" s="191"/>
      <c r="F855" s="116"/>
      <c r="G855" s="52"/>
      <c r="H855" s="55"/>
      <c r="I855" s="54"/>
      <c r="J855" s="55"/>
      <c r="K855" s="55"/>
      <c r="L855" s="117"/>
      <c r="M855" s="56"/>
      <c r="N855" s="117"/>
      <c r="O855" s="55"/>
      <c r="P855" s="55"/>
      <c r="Q855" s="55"/>
      <c r="R855" s="49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</row>
    <row r="856" spans="1:41" x14ac:dyDescent="0.25">
      <c r="A856" s="46"/>
      <c r="B856" s="114"/>
      <c r="C856" s="114"/>
      <c r="D856" s="191"/>
      <c r="E856" s="191"/>
      <c r="F856" s="116"/>
      <c r="G856" s="52"/>
      <c r="H856" s="55"/>
      <c r="I856" s="54"/>
      <c r="J856" s="55"/>
      <c r="K856" s="55"/>
      <c r="L856" s="117"/>
      <c r="M856" s="56"/>
      <c r="N856" s="117"/>
      <c r="O856" s="55"/>
      <c r="P856" s="55"/>
      <c r="Q856" s="55"/>
      <c r="R856" s="49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</row>
    <row r="857" spans="1:41" x14ac:dyDescent="0.25">
      <c r="A857" s="46"/>
      <c r="B857" s="114"/>
      <c r="C857" s="114"/>
      <c r="D857" s="191"/>
      <c r="E857" s="191"/>
      <c r="F857" s="116"/>
      <c r="G857" s="52"/>
      <c r="H857" s="55"/>
      <c r="I857" s="54"/>
      <c r="J857" s="55"/>
      <c r="K857" s="55"/>
      <c r="L857" s="117"/>
      <c r="M857" s="56"/>
      <c r="N857" s="117"/>
      <c r="O857" s="55"/>
      <c r="P857" s="55"/>
      <c r="Q857" s="55"/>
      <c r="R857" s="49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</row>
    <row r="858" spans="1:41" x14ac:dyDescent="0.25">
      <c r="A858" s="46"/>
      <c r="B858" s="114"/>
      <c r="C858" s="114"/>
      <c r="D858" s="191"/>
      <c r="E858" s="191"/>
      <c r="F858" s="116"/>
      <c r="G858" s="52"/>
      <c r="H858" s="55"/>
      <c r="I858" s="54"/>
      <c r="J858" s="55"/>
      <c r="K858" s="55"/>
      <c r="L858" s="117"/>
      <c r="M858" s="56"/>
      <c r="N858" s="117"/>
      <c r="O858" s="55"/>
      <c r="P858" s="55"/>
      <c r="Q858" s="55"/>
      <c r="R858" s="49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</row>
    <row r="859" spans="1:41" x14ac:dyDescent="0.25">
      <c r="A859" s="46"/>
      <c r="B859" s="114"/>
      <c r="C859" s="114"/>
      <c r="D859" s="191"/>
      <c r="E859" s="191"/>
      <c r="F859" s="116"/>
      <c r="G859" s="52"/>
      <c r="H859" s="55"/>
      <c r="I859" s="54"/>
      <c r="J859" s="55"/>
      <c r="K859" s="55"/>
      <c r="L859" s="117"/>
      <c r="M859" s="56"/>
      <c r="N859" s="117"/>
      <c r="O859" s="55"/>
      <c r="P859" s="55"/>
      <c r="Q859" s="55"/>
      <c r="R859" s="49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</row>
    <row r="860" spans="1:41" x14ac:dyDescent="0.25">
      <c r="A860" s="46"/>
      <c r="B860" s="114"/>
      <c r="C860" s="114"/>
      <c r="D860" s="191"/>
      <c r="E860" s="191"/>
      <c r="F860" s="116"/>
      <c r="G860" s="52"/>
      <c r="H860" s="55"/>
      <c r="I860" s="54"/>
      <c r="J860" s="55"/>
      <c r="K860" s="55"/>
      <c r="L860" s="117"/>
      <c r="M860" s="56"/>
      <c r="N860" s="117"/>
      <c r="O860" s="55"/>
      <c r="P860" s="55"/>
      <c r="Q860" s="55"/>
      <c r="R860" s="49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</row>
    <row r="861" spans="1:41" x14ac:dyDescent="0.25">
      <c r="A861" s="46"/>
      <c r="B861" s="114"/>
      <c r="C861" s="114"/>
      <c r="D861" s="191"/>
      <c r="E861" s="191"/>
      <c r="F861" s="116"/>
      <c r="G861" s="52"/>
      <c r="H861" s="55"/>
      <c r="I861" s="54"/>
      <c r="J861" s="55"/>
      <c r="K861" s="55"/>
      <c r="L861" s="117"/>
      <c r="M861" s="56"/>
      <c r="N861" s="117"/>
      <c r="O861" s="55"/>
      <c r="P861" s="55"/>
      <c r="Q861" s="55"/>
      <c r="R861" s="49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</row>
    <row r="862" spans="1:41" x14ac:dyDescent="0.25">
      <c r="A862" s="46"/>
      <c r="B862" s="114"/>
      <c r="C862" s="114"/>
      <c r="D862" s="191"/>
      <c r="E862" s="191"/>
      <c r="F862" s="116"/>
      <c r="G862" s="52"/>
      <c r="H862" s="55"/>
      <c r="I862" s="54"/>
      <c r="J862" s="55"/>
      <c r="K862" s="55"/>
      <c r="L862" s="117"/>
      <c r="M862" s="56"/>
      <c r="N862" s="117"/>
      <c r="O862" s="55"/>
      <c r="P862" s="55"/>
      <c r="Q862" s="55"/>
      <c r="R862" s="49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</row>
    <row r="863" spans="1:41" x14ac:dyDescent="0.25">
      <c r="A863" s="46"/>
      <c r="B863" s="114"/>
      <c r="C863" s="114"/>
      <c r="D863" s="191"/>
      <c r="E863" s="191"/>
      <c r="F863" s="116"/>
      <c r="G863" s="52"/>
      <c r="H863" s="55"/>
      <c r="I863" s="54"/>
      <c r="J863" s="55"/>
      <c r="K863" s="55"/>
      <c r="L863" s="117"/>
      <c r="M863" s="56"/>
      <c r="N863" s="117"/>
      <c r="O863" s="55"/>
      <c r="P863" s="55"/>
      <c r="Q863" s="55"/>
      <c r="R863" s="49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</row>
    <row r="864" spans="1:41" x14ac:dyDescent="0.25">
      <c r="A864" s="46"/>
      <c r="B864" s="114"/>
      <c r="C864" s="114"/>
      <c r="D864" s="191"/>
      <c r="E864" s="191"/>
      <c r="F864" s="116"/>
      <c r="G864" s="52"/>
      <c r="H864" s="55"/>
      <c r="I864" s="54"/>
      <c r="J864" s="55"/>
      <c r="K864" s="55"/>
      <c r="L864" s="117"/>
      <c r="M864" s="56"/>
      <c r="N864" s="117"/>
      <c r="O864" s="55"/>
      <c r="P864" s="55"/>
      <c r="Q864" s="55"/>
      <c r="R864" s="49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</row>
    <row r="865" spans="1:41" x14ac:dyDescent="0.25">
      <c r="A865" s="46"/>
      <c r="B865" s="114"/>
      <c r="C865" s="114"/>
      <c r="D865" s="191"/>
      <c r="E865" s="191"/>
      <c r="F865" s="116"/>
      <c r="G865" s="52"/>
      <c r="H865" s="55"/>
      <c r="I865" s="54"/>
      <c r="J865" s="55"/>
      <c r="K865" s="55"/>
      <c r="L865" s="117"/>
      <c r="M865" s="56"/>
      <c r="N865" s="117"/>
      <c r="O865" s="55"/>
      <c r="P865" s="55"/>
      <c r="Q865" s="55"/>
      <c r="R865" s="49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</row>
    <row r="866" spans="1:41" x14ac:dyDescent="0.25">
      <c r="A866" s="46"/>
      <c r="B866" s="114"/>
      <c r="C866" s="114"/>
      <c r="D866" s="191"/>
      <c r="E866" s="191"/>
      <c r="F866" s="116"/>
      <c r="G866" s="52"/>
      <c r="H866" s="55"/>
      <c r="I866" s="54"/>
      <c r="J866" s="55"/>
      <c r="K866" s="55"/>
      <c r="L866" s="117"/>
      <c r="M866" s="56"/>
      <c r="N866" s="117"/>
      <c r="O866" s="55"/>
      <c r="P866" s="55"/>
      <c r="Q866" s="55"/>
      <c r="R866" s="49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</row>
    <row r="867" spans="1:41" x14ac:dyDescent="0.25">
      <c r="A867" s="46"/>
      <c r="B867" s="114"/>
      <c r="C867" s="114"/>
      <c r="D867" s="191"/>
      <c r="E867" s="191"/>
      <c r="F867" s="116"/>
      <c r="G867" s="52"/>
      <c r="H867" s="55"/>
      <c r="I867" s="54"/>
      <c r="J867" s="55"/>
      <c r="K867" s="55"/>
      <c r="L867" s="117"/>
      <c r="M867" s="56"/>
      <c r="N867" s="117"/>
      <c r="O867" s="55"/>
      <c r="P867" s="55"/>
      <c r="Q867" s="55"/>
      <c r="R867" s="49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</row>
    <row r="868" spans="1:41" x14ac:dyDescent="0.25">
      <c r="A868" s="46"/>
      <c r="B868" s="114"/>
      <c r="C868" s="114"/>
      <c r="D868" s="191"/>
      <c r="E868" s="191"/>
      <c r="F868" s="116"/>
      <c r="G868" s="52"/>
      <c r="H868" s="55"/>
      <c r="I868" s="54"/>
      <c r="J868" s="55"/>
      <c r="K868" s="55"/>
      <c r="L868" s="117"/>
      <c r="M868" s="56"/>
      <c r="N868" s="117"/>
      <c r="O868" s="55"/>
      <c r="P868" s="55"/>
      <c r="Q868" s="55"/>
      <c r="R868" s="49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</row>
    <row r="869" spans="1:41" x14ac:dyDescent="0.25">
      <c r="A869" s="46"/>
      <c r="B869" s="114"/>
      <c r="C869" s="114"/>
      <c r="D869" s="191"/>
      <c r="E869" s="191"/>
      <c r="F869" s="116"/>
      <c r="G869" s="52"/>
      <c r="H869" s="55"/>
      <c r="I869" s="54"/>
      <c r="J869" s="55"/>
      <c r="K869" s="55"/>
      <c r="L869" s="117"/>
      <c r="M869" s="56"/>
      <c r="N869" s="117"/>
      <c r="O869" s="55"/>
      <c r="P869" s="55"/>
      <c r="Q869" s="55"/>
      <c r="R869" s="49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</row>
    <row r="870" spans="1:41" x14ac:dyDescent="0.25">
      <c r="A870" s="46"/>
      <c r="B870" s="114"/>
      <c r="C870" s="114"/>
      <c r="D870" s="191"/>
      <c r="E870" s="191"/>
      <c r="F870" s="116"/>
      <c r="G870" s="52"/>
      <c r="H870" s="55"/>
      <c r="I870" s="54"/>
      <c r="J870" s="55"/>
      <c r="K870" s="55"/>
      <c r="L870" s="117"/>
      <c r="M870" s="56"/>
      <c r="N870" s="117"/>
      <c r="O870" s="55"/>
      <c r="P870" s="55"/>
      <c r="Q870" s="55"/>
      <c r="R870" s="49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</row>
    <row r="871" spans="1:41" x14ac:dyDescent="0.25">
      <c r="A871" s="46"/>
      <c r="B871" s="114"/>
      <c r="C871" s="114"/>
      <c r="D871" s="191"/>
      <c r="E871" s="191"/>
      <c r="F871" s="116"/>
      <c r="G871" s="52"/>
      <c r="H871" s="55"/>
      <c r="I871" s="54"/>
      <c r="J871" s="55"/>
      <c r="K871" s="55"/>
      <c r="L871" s="117"/>
      <c r="M871" s="56"/>
      <c r="N871" s="117"/>
      <c r="O871" s="55"/>
      <c r="P871" s="55"/>
      <c r="Q871" s="55"/>
      <c r="R871" s="49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</row>
    <row r="872" spans="1:41" x14ac:dyDescent="0.25">
      <c r="A872" s="46"/>
      <c r="B872" s="114"/>
      <c r="C872" s="114"/>
      <c r="D872" s="191"/>
      <c r="E872" s="191"/>
      <c r="F872" s="116"/>
      <c r="G872" s="52"/>
      <c r="H872" s="55"/>
      <c r="I872" s="54"/>
      <c r="J872" s="55"/>
      <c r="K872" s="55"/>
      <c r="L872" s="117"/>
      <c r="M872" s="56"/>
      <c r="N872" s="117"/>
      <c r="O872" s="55"/>
      <c r="P872" s="55"/>
      <c r="Q872" s="55"/>
      <c r="R872" s="49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</row>
    <row r="873" spans="1:41" x14ac:dyDescent="0.25">
      <c r="A873" s="46"/>
      <c r="B873" s="114"/>
      <c r="C873" s="114"/>
      <c r="D873" s="191"/>
      <c r="E873" s="191"/>
      <c r="F873" s="116"/>
      <c r="G873" s="52"/>
      <c r="H873" s="55"/>
      <c r="I873" s="54"/>
      <c r="J873" s="55"/>
      <c r="K873" s="55"/>
      <c r="L873" s="117"/>
      <c r="M873" s="56"/>
      <c r="N873" s="117"/>
      <c r="O873" s="55"/>
      <c r="P873" s="55"/>
      <c r="Q873" s="55"/>
      <c r="R873" s="49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</row>
    <row r="874" spans="1:41" x14ac:dyDescent="0.25">
      <c r="A874" s="46"/>
      <c r="B874" s="114"/>
      <c r="C874" s="114"/>
      <c r="D874" s="191"/>
      <c r="E874" s="191"/>
      <c r="F874" s="116"/>
      <c r="G874" s="52"/>
      <c r="H874" s="55"/>
      <c r="I874" s="54"/>
      <c r="J874" s="55"/>
      <c r="K874" s="55"/>
      <c r="L874" s="117"/>
      <c r="M874" s="56"/>
      <c r="N874" s="117"/>
      <c r="O874" s="55"/>
      <c r="P874" s="55"/>
      <c r="Q874" s="55"/>
      <c r="R874" s="49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</row>
    <row r="875" spans="1:41" x14ac:dyDescent="0.25">
      <c r="A875" s="46"/>
      <c r="B875" s="114"/>
      <c r="C875" s="114"/>
      <c r="D875" s="191"/>
      <c r="E875" s="191"/>
      <c r="F875" s="116"/>
      <c r="G875" s="52"/>
      <c r="H875" s="55"/>
      <c r="I875" s="54"/>
      <c r="J875" s="55"/>
      <c r="K875" s="55"/>
      <c r="L875" s="117"/>
      <c r="M875" s="56"/>
      <c r="N875" s="117"/>
      <c r="O875" s="55"/>
      <c r="P875" s="55"/>
      <c r="Q875" s="55"/>
      <c r="R875" s="49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</row>
    <row r="876" spans="1:41" x14ac:dyDescent="0.25">
      <c r="A876" s="46"/>
      <c r="B876" s="114"/>
      <c r="C876" s="114"/>
      <c r="D876" s="191"/>
      <c r="E876" s="191"/>
      <c r="F876" s="116"/>
      <c r="G876" s="52"/>
      <c r="H876" s="55"/>
      <c r="I876" s="54"/>
      <c r="J876" s="55"/>
      <c r="K876" s="55"/>
      <c r="L876" s="117"/>
      <c r="M876" s="56"/>
      <c r="N876" s="117"/>
      <c r="O876" s="55"/>
      <c r="P876" s="55"/>
      <c r="Q876" s="55"/>
      <c r="R876" s="49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</row>
    <row r="877" spans="1:41" x14ac:dyDescent="0.25">
      <c r="A877" s="46"/>
      <c r="B877" s="114"/>
      <c r="C877" s="114"/>
      <c r="D877" s="191"/>
      <c r="E877" s="191"/>
      <c r="F877" s="116"/>
      <c r="G877" s="52"/>
      <c r="H877" s="55"/>
      <c r="I877" s="54"/>
      <c r="J877" s="55"/>
      <c r="K877" s="55"/>
      <c r="L877" s="117"/>
      <c r="M877" s="56"/>
      <c r="N877" s="117"/>
      <c r="O877" s="55"/>
      <c r="P877" s="55"/>
      <c r="Q877" s="55"/>
      <c r="R877" s="49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</row>
    <row r="878" spans="1:41" x14ac:dyDescent="0.25">
      <c r="A878" s="46"/>
      <c r="B878" s="114"/>
      <c r="C878" s="114"/>
      <c r="D878" s="191"/>
      <c r="E878" s="191"/>
      <c r="F878" s="116"/>
      <c r="G878" s="52"/>
      <c r="H878" s="55"/>
      <c r="I878" s="54"/>
      <c r="J878" s="55"/>
      <c r="K878" s="55"/>
      <c r="L878" s="117"/>
      <c r="M878" s="56"/>
      <c r="N878" s="117"/>
      <c r="O878" s="55"/>
      <c r="P878" s="55"/>
      <c r="Q878" s="55"/>
      <c r="R878" s="49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</row>
    <row r="879" spans="1:41" x14ac:dyDescent="0.25">
      <c r="A879" s="46"/>
      <c r="B879" s="114"/>
      <c r="C879" s="114"/>
      <c r="D879" s="191"/>
      <c r="E879" s="191"/>
      <c r="F879" s="116"/>
      <c r="G879" s="52"/>
      <c r="H879" s="55"/>
      <c r="I879" s="54"/>
      <c r="J879" s="55"/>
      <c r="K879" s="55"/>
      <c r="L879" s="117"/>
      <c r="M879" s="56"/>
      <c r="N879" s="117"/>
      <c r="O879" s="55"/>
      <c r="P879" s="55"/>
      <c r="Q879" s="55"/>
      <c r="R879" s="49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</row>
    <row r="880" spans="1:41" x14ac:dyDescent="0.25">
      <c r="A880" s="46"/>
      <c r="B880" s="114"/>
      <c r="C880" s="114"/>
      <c r="D880" s="191"/>
      <c r="E880" s="191"/>
      <c r="F880" s="116"/>
      <c r="G880" s="52"/>
      <c r="H880" s="55"/>
      <c r="I880" s="54"/>
      <c r="J880" s="55"/>
      <c r="K880" s="55"/>
      <c r="L880" s="117"/>
      <c r="M880" s="56"/>
      <c r="N880" s="117"/>
      <c r="O880" s="55"/>
      <c r="P880" s="55"/>
      <c r="Q880" s="55"/>
      <c r="R880" s="49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</row>
    <row r="881" spans="1:41" x14ac:dyDescent="0.25">
      <c r="A881" s="46"/>
      <c r="B881" s="114"/>
      <c r="C881" s="114"/>
      <c r="D881" s="191"/>
      <c r="E881" s="191"/>
      <c r="F881" s="116"/>
      <c r="G881" s="52"/>
      <c r="H881" s="55"/>
      <c r="I881" s="54"/>
      <c r="J881" s="55"/>
      <c r="K881" s="55"/>
      <c r="L881" s="117"/>
      <c r="M881" s="56"/>
      <c r="N881" s="117"/>
      <c r="O881" s="55"/>
      <c r="P881" s="55"/>
      <c r="Q881" s="55"/>
      <c r="R881" s="49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</row>
    <row r="882" spans="1:41" x14ac:dyDescent="0.25">
      <c r="A882" s="46"/>
      <c r="B882" s="114"/>
      <c r="C882" s="114"/>
      <c r="D882" s="191"/>
      <c r="E882" s="191"/>
      <c r="F882" s="116"/>
      <c r="G882" s="52"/>
      <c r="H882" s="55"/>
      <c r="I882" s="54"/>
      <c r="J882" s="55"/>
      <c r="K882" s="55"/>
      <c r="L882" s="117"/>
      <c r="M882" s="56"/>
      <c r="N882" s="117"/>
      <c r="O882" s="55"/>
      <c r="P882" s="55"/>
      <c r="Q882" s="55"/>
      <c r="R882" s="49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</row>
    <row r="883" spans="1:41" x14ac:dyDescent="0.25">
      <c r="A883" s="46"/>
      <c r="B883" s="114"/>
      <c r="C883" s="114"/>
      <c r="D883" s="191"/>
      <c r="E883" s="191"/>
      <c r="F883" s="116"/>
      <c r="G883" s="52"/>
      <c r="H883" s="55"/>
      <c r="I883" s="54"/>
      <c r="J883" s="55"/>
      <c r="K883" s="55"/>
      <c r="L883" s="117"/>
      <c r="M883" s="56"/>
      <c r="N883" s="117"/>
      <c r="O883" s="55"/>
      <c r="P883" s="55"/>
      <c r="Q883" s="55"/>
      <c r="R883" s="49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</row>
    <row r="884" spans="1:41" x14ac:dyDescent="0.25">
      <c r="A884" s="46"/>
      <c r="B884" s="114"/>
      <c r="C884" s="114"/>
      <c r="D884" s="191"/>
      <c r="E884" s="191"/>
      <c r="F884" s="116"/>
      <c r="G884" s="52"/>
      <c r="H884" s="55"/>
      <c r="I884" s="54"/>
      <c r="J884" s="55"/>
      <c r="K884" s="55"/>
      <c r="L884" s="117"/>
      <c r="M884" s="56"/>
      <c r="N884" s="117"/>
      <c r="O884" s="55"/>
      <c r="P884" s="55"/>
      <c r="Q884" s="55"/>
      <c r="R884" s="49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</row>
    <row r="885" spans="1:41" x14ac:dyDescent="0.25">
      <c r="A885" s="46"/>
      <c r="B885" s="114"/>
      <c r="C885" s="114"/>
      <c r="D885" s="191"/>
      <c r="E885" s="191"/>
      <c r="F885" s="116"/>
      <c r="G885" s="52"/>
      <c r="H885" s="55"/>
      <c r="I885" s="54"/>
      <c r="J885" s="55"/>
      <c r="K885" s="55"/>
      <c r="L885" s="117"/>
      <c r="M885" s="56"/>
      <c r="N885" s="117"/>
      <c r="O885" s="55"/>
      <c r="P885" s="55"/>
      <c r="Q885" s="55"/>
      <c r="R885" s="49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</row>
    <row r="886" spans="1:41" x14ac:dyDescent="0.25">
      <c r="A886" s="46"/>
      <c r="B886" s="114"/>
      <c r="C886" s="114"/>
      <c r="D886" s="191"/>
      <c r="E886" s="191"/>
      <c r="F886" s="116"/>
      <c r="G886" s="52"/>
      <c r="H886" s="55"/>
      <c r="I886" s="54"/>
      <c r="J886" s="55"/>
      <c r="K886" s="55"/>
      <c r="L886" s="117"/>
      <c r="M886" s="56"/>
      <c r="N886" s="117"/>
      <c r="O886" s="55"/>
      <c r="P886" s="55"/>
      <c r="Q886" s="55"/>
      <c r="R886" s="49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</row>
    <row r="887" spans="1:41" x14ac:dyDescent="0.25">
      <c r="A887" s="46"/>
      <c r="B887" s="114"/>
      <c r="C887" s="114"/>
      <c r="D887" s="191"/>
      <c r="E887" s="191"/>
      <c r="F887" s="116"/>
      <c r="G887" s="52"/>
      <c r="H887" s="55"/>
      <c r="I887" s="54"/>
      <c r="J887" s="55"/>
      <c r="K887" s="55"/>
      <c r="L887" s="117"/>
      <c r="M887" s="56"/>
      <c r="N887" s="117"/>
      <c r="O887" s="55"/>
      <c r="P887" s="55"/>
      <c r="Q887" s="55"/>
      <c r="R887" s="49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</row>
    <row r="888" spans="1:41" x14ac:dyDescent="0.25">
      <c r="A888" s="46"/>
      <c r="B888" s="114"/>
      <c r="C888" s="114"/>
      <c r="D888" s="191"/>
      <c r="E888" s="191"/>
      <c r="F888" s="116"/>
      <c r="G888" s="52"/>
      <c r="H888" s="55"/>
      <c r="I888" s="54"/>
      <c r="J888" s="55"/>
      <c r="K888" s="55"/>
      <c r="L888" s="117"/>
      <c r="M888" s="56"/>
      <c r="N888" s="117"/>
      <c r="O888" s="55"/>
      <c r="P888" s="55"/>
      <c r="Q888" s="55"/>
      <c r="R888" s="49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</row>
    <row r="889" spans="1:41" x14ac:dyDescent="0.25">
      <c r="A889" s="46"/>
      <c r="B889" s="114"/>
      <c r="C889" s="114"/>
      <c r="D889" s="191"/>
      <c r="E889" s="191"/>
      <c r="F889" s="116"/>
      <c r="G889" s="52"/>
      <c r="H889" s="55"/>
      <c r="I889" s="54"/>
      <c r="J889" s="55"/>
      <c r="K889" s="55"/>
      <c r="L889" s="117"/>
      <c r="M889" s="56"/>
      <c r="N889" s="117"/>
      <c r="O889" s="55"/>
      <c r="P889" s="55"/>
      <c r="Q889" s="55"/>
      <c r="R889" s="49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</row>
    <row r="890" spans="1:41" x14ac:dyDescent="0.25">
      <c r="A890" s="46"/>
      <c r="B890" s="114"/>
      <c r="C890" s="114"/>
      <c r="D890" s="191"/>
      <c r="E890" s="191"/>
      <c r="F890" s="116"/>
      <c r="G890" s="52"/>
      <c r="H890" s="55"/>
      <c r="I890" s="54"/>
      <c r="J890" s="55"/>
      <c r="K890" s="55"/>
      <c r="L890" s="117"/>
      <c r="M890" s="56"/>
      <c r="N890" s="117"/>
      <c r="O890" s="55"/>
      <c r="P890" s="55"/>
      <c r="Q890" s="55"/>
      <c r="R890" s="49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</row>
    <row r="891" spans="1:41" x14ac:dyDescent="0.25">
      <c r="A891" s="46"/>
      <c r="B891" s="114"/>
      <c r="C891" s="114"/>
      <c r="D891" s="191"/>
      <c r="E891" s="191"/>
      <c r="F891" s="116"/>
      <c r="G891" s="52"/>
      <c r="H891" s="55"/>
      <c r="I891" s="54"/>
      <c r="J891" s="55"/>
      <c r="K891" s="55"/>
      <c r="L891" s="117"/>
      <c r="M891" s="56"/>
      <c r="N891" s="117"/>
      <c r="O891" s="55"/>
      <c r="P891" s="55"/>
      <c r="Q891" s="55"/>
      <c r="R891" s="49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</row>
    <row r="892" spans="1:41" x14ac:dyDescent="0.25">
      <c r="A892" s="46"/>
      <c r="B892" s="114"/>
      <c r="C892" s="114"/>
      <c r="D892" s="191"/>
      <c r="E892" s="191"/>
      <c r="F892" s="116"/>
      <c r="G892" s="52"/>
      <c r="H892" s="55"/>
      <c r="I892" s="54"/>
      <c r="J892" s="55"/>
      <c r="K892" s="55"/>
      <c r="L892" s="117"/>
      <c r="M892" s="56"/>
      <c r="N892" s="117"/>
      <c r="O892" s="55"/>
      <c r="P892" s="55"/>
      <c r="Q892" s="55"/>
      <c r="R892" s="49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</row>
    <row r="893" spans="1:41" x14ac:dyDescent="0.25">
      <c r="A893" s="46"/>
      <c r="B893" s="114"/>
      <c r="C893" s="114"/>
      <c r="D893" s="191"/>
      <c r="E893" s="191"/>
      <c r="F893" s="116"/>
      <c r="G893" s="52"/>
      <c r="H893" s="55"/>
      <c r="I893" s="54"/>
      <c r="J893" s="55"/>
      <c r="K893" s="55"/>
      <c r="L893" s="117"/>
      <c r="M893" s="56"/>
      <c r="N893" s="117"/>
      <c r="O893" s="55"/>
      <c r="P893" s="55"/>
      <c r="Q893" s="55"/>
      <c r="R893" s="49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</row>
    <row r="894" spans="1:41" x14ac:dyDescent="0.25">
      <c r="A894" s="46"/>
      <c r="B894" s="114"/>
      <c r="C894" s="114"/>
      <c r="D894" s="191"/>
      <c r="E894" s="191"/>
      <c r="F894" s="116"/>
      <c r="G894" s="52"/>
      <c r="H894" s="55"/>
      <c r="I894" s="54"/>
      <c r="J894" s="55"/>
      <c r="K894" s="55"/>
      <c r="L894" s="117"/>
      <c r="M894" s="56"/>
      <c r="N894" s="117"/>
      <c r="O894" s="55"/>
      <c r="P894" s="55"/>
      <c r="Q894" s="55"/>
      <c r="R894" s="49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</row>
    <row r="895" spans="1:41" x14ac:dyDescent="0.25">
      <c r="A895" s="46"/>
      <c r="B895" s="114"/>
      <c r="C895" s="114"/>
      <c r="D895" s="191"/>
      <c r="E895" s="191"/>
      <c r="F895" s="116"/>
      <c r="G895" s="52"/>
      <c r="H895" s="55"/>
      <c r="I895" s="54"/>
      <c r="J895" s="55"/>
      <c r="K895" s="55"/>
      <c r="L895" s="117"/>
      <c r="M895" s="56"/>
      <c r="N895" s="117"/>
      <c r="O895" s="55"/>
      <c r="P895" s="55"/>
      <c r="Q895" s="55"/>
      <c r="R895" s="49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</row>
    <row r="896" spans="1:41" x14ac:dyDescent="0.25">
      <c r="A896" s="46"/>
      <c r="B896" s="114"/>
      <c r="C896" s="114"/>
      <c r="D896" s="191"/>
      <c r="E896" s="191"/>
      <c r="F896" s="116"/>
      <c r="G896" s="52"/>
      <c r="H896" s="55"/>
      <c r="I896" s="54"/>
      <c r="J896" s="55"/>
      <c r="K896" s="55"/>
      <c r="L896" s="117"/>
      <c r="M896" s="56"/>
      <c r="N896" s="117"/>
      <c r="O896" s="55"/>
      <c r="P896" s="55"/>
      <c r="Q896" s="55"/>
      <c r="R896" s="49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</row>
    <row r="897" spans="1:41" x14ac:dyDescent="0.25">
      <c r="A897" s="46"/>
      <c r="B897" s="114"/>
      <c r="C897" s="114"/>
      <c r="D897" s="191"/>
      <c r="E897" s="191"/>
      <c r="F897" s="116"/>
      <c r="G897" s="52"/>
      <c r="H897" s="55"/>
      <c r="I897" s="54"/>
      <c r="J897" s="55"/>
      <c r="K897" s="55"/>
      <c r="L897" s="117"/>
      <c r="M897" s="56"/>
      <c r="N897" s="117"/>
      <c r="O897" s="55"/>
      <c r="P897" s="55"/>
      <c r="Q897" s="55"/>
      <c r="R897" s="49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</row>
    <row r="898" spans="1:41" x14ac:dyDescent="0.25">
      <c r="A898" s="46"/>
      <c r="B898" s="114"/>
      <c r="C898" s="114"/>
      <c r="D898" s="191"/>
      <c r="E898" s="191"/>
      <c r="F898" s="116"/>
      <c r="G898" s="52"/>
      <c r="H898" s="55"/>
      <c r="I898" s="54"/>
      <c r="J898" s="55"/>
      <c r="K898" s="55"/>
      <c r="L898" s="117"/>
      <c r="M898" s="56"/>
      <c r="N898" s="117"/>
      <c r="O898" s="55"/>
      <c r="P898" s="55"/>
      <c r="Q898" s="55"/>
      <c r="R898" s="49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</row>
    <row r="899" spans="1:41" x14ac:dyDescent="0.25">
      <c r="A899" s="46"/>
      <c r="B899" s="114"/>
      <c r="C899" s="114"/>
      <c r="D899" s="191"/>
      <c r="E899" s="191"/>
      <c r="F899" s="116"/>
      <c r="G899" s="52"/>
      <c r="H899" s="55"/>
      <c r="I899" s="54"/>
      <c r="J899" s="55"/>
      <c r="K899" s="55"/>
      <c r="L899" s="117"/>
      <c r="M899" s="56"/>
      <c r="N899" s="117"/>
      <c r="O899" s="55"/>
      <c r="P899" s="55"/>
      <c r="Q899" s="55"/>
      <c r="R899" s="49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</row>
    <row r="900" spans="1:41" x14ac:dyDescent="0.25">
      <c r="A900" s="46"/>
      <c r="B900" s="114"/>
      <c r="C900" s="114"/>
      <c r="D900" s="191"/>
      <c r="E900" s="191"/>
      <c r="F900" s="116"/>
      <c r="G900" s="52"/>
      <c r="H900" s="55"/>
      <c r="I900" s="54"/>
      <c r="J900" s="55"/>
      <c r="K900" s="55"/>
      <c r="L900" s="117"/>
      <c r="M900" s="56"/>
      <c r="N900" s="117"/>
      <c r="O900" s="55"/>
      <c r="P900" s="55"/>
      <c r="Q900" s="55"/>
      <c r="R900" s="49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</row>
    <row r="901" spans="1:41" x14ac:dyDescent="0.25">
      <c r="A901" s="46"/>
      <c r="B901" s="114"/>
      <c r="C901" s="114"/>
      <c r="D901" s="191"/>
      <c r="E901" s="191"/>
      <c r="F901" s="116"/>
      <c r="G901" s="52"/>
      <c r="H901" s="55"/>
      <c r="I901" s="54"/>
      <c r="J901" s="55"/>
      <c r="K901" s="55"/>
      <c r="L901" s="117"/>
      <c r="M901" s="56"/>
      <c r="N901" s="117"/>
      <c r="O901" s="55"/>
      <c r="P901" s="55"/>
      <c r="Q901" s="55"/>
      <c r="R901" s="49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</row>
    <row r="902" spans="1:41" x14ac:dyDescent="0.25">
      <c r="A902" s="46"/>
      <c r="B902" s="114"/>
      <c r="C902" s="114"/>
      <c r="D902" s="191"/>
      <c r="E902" s="191"/>
      <c r="F902" s="116"/>
      <c r="G902" s="52"/>
      <c r="H902" s="55"/>
      <c r="I902" s="54"/>
      <c r="J902" s="55"/>
      <c r="K902" s="55"/>
      <c r="L902" s="117"/>
      <c r="M902" s="56"/>
      <c r="N902" s="117"/>
      <c r="O902" s="55"/>
      <c r="P902" s="55"/>
      <c r="Q902" s="55"/>
      <c r="R902" s="49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</row>
    <row r="903" spans="1:41" x14ac:dyDescent="0.25">
      <c r="A903" s="46"/>
      <c r="B903" s="114"/>
      <c r="C903" s="114"/>
      <c r="D903" s="191"/>
      <c r="E903" s="191"/>
      <c r="F903" s="116"/>
      <c r="G903" s="52"/>
      <c r="H903" s="55"/>
      <c r="I903" s="54"/>
      <c r="J903" s="55"/>
      <c r="K903" s="55"/>
      <c r="L903" s="117"/>
      <c r="M903" s="56"/>
      <c r="N903" s="117"/>
      <c r="O903" s="55"/>
      <c r="P903" s="55"/>
      <c r="Q903" s="55"/>
      <c r="R903" s="49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</row>
    <row r="904" spans="1:41" x14ac:dyDescent="0.25">
      <c r="A904" s="46"/>
      <c r="B904" s="114"/>
      <c r="C904" s="114"/>
      <c r="D904" s="191"/>
      <c r="E904" s="191"/>
      <c r="F904" s="116"/>
      <c r="G904" s="52"/>
      <c r="H904" s="55"/>
      <c r="I904" s="54"/>
      <c r="J904" s="55"/>
      <c r="K904" s="55"/>
      <c r="L904" s="117"/>
      <c r="M904" s="56"/>
      <c r="N904" s="117"/>
      <c r="O904" s="55"/>
      <c r="P904" s="55"/>
      <c r="Q904" s="55"/>
      <c r="R904" s="49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</row>
    <row r="905" spans="1:41" x14ac:dyDescent="0.25">
      <c r="A905" s="46"/>
      <c r="B905" s="114"/>
      <c r="C905" s="114"/>
      <c r="D905" s="191"/>
      <c r="E905" s="191"/>
      <c r="F905" s="116"/>
      <c r="G905" s="52"/>
      <c r="H905" s="55"/>
      <c r="I905" s="54"/>
      <c r="J905" s="55"/>
      <c r="K905" s="55"/>
      <c r="L905" s="117"/>
      <c r="M905" s="56"/>
      <c r="N905" s="117"/>
      <c r="O905" s="55"/>
      <c r="P905" s="55"/>
      <c r="Q905" s="55"/>
      <c r="R905" s="49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</row>
    <row r="906" spans="1:41" x14ac:dyDescent="0.25">
      <c r="A906" s="46"/>
      <c r="B906" s="114"/>
      <c r="C906" s="114"/>
      <c r="D906" s="191"/>
      <c r="E906" s="191"/>
      <c r="F906" s="116"/>
      <c r="G906" s="52"/>
      <c r="H906" s="55"/>
      <c r="I906" s="54"/>
      <c r="J906" s="55"/>
      <c r="K906" s="55"/>
      <c r="L906" s="117"/>
      <c r="M906" s="56"/>
      <c r="N906" s="117"/>
      <c r="O906" s="55"/>
      <c r="P906" s="55"/>
      <c r="Q906" s="55"/>
      <c r="R906" s="49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</row>
    <row r="907" spans="1:41" x14ac:dyDescent="0.25">
      <c r="A907" s="46"/>
      <c r="B907" s="114"/>
      <c r="C907" s="114"/>
      <c r="D907" s="191"/>
      <c r="E907" s="191"/>
      <c r="F907" s="116"/>
      <c r="G907" s="52"/>
      <c r="H907" s="55"/>
      <c r="I907" s="54"/>
      <c r="J907" s="55"/>
      <c r="K907" s="55"/>
      <c r="L907" s="117"/>
      <c r="M907" s="56"/>
      <c r="N907" s="117"/>
      <c r="O907" s="55"/>
      <c r="P907" s="55"/>
      <c r="Q907" s="55"/>
      <c r="R907" s="49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</row>
    <row r="908" spans="1:41" x14ac:dyDescent="0.25">
      <c r="A908" s="46"/>
      <c r="B908" s="114"/>
      <c r="C908" s="114"/>
      <c r="D908" s="191"/>
      <c r="E908" s="191"/>
      <c r="F908" s="116"/>
      <c r="G908" s="52"/>
      <c r="H908" s="55"/>
      <c r="I908" s="54"/>
      <c r="J908" s="55"/>
      <c r="K908" s="55"/>
      <c r="L908" s="117"/>
      <c r="M908" s="56"/>
      <c r="N908" s="117"/>
      <c r="O908" s="55"/>
      <c r="P908" s="55"/>
      <c r="Q908" s="55"/>
      <c r="R908" s="49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</row>
    <row r="909" spans="1:41" x14ac:dyDescent="0.25">
      <c r="A909" s="46"/>
      <c r="B909" s="114"/>
      <c r="C909" s="114"/>
      <c r="D909" s="191"/>
      <c r="E909" s="191"/>
      <c r="F909" s="116"/>
      <c r="G909" s="52"/>
      <c r="H909" s="55"/>
      <c r="I909" s="54"/>
      <c r="J909" s="55"/>
      <c r="K909" s="55"/>
      <c r="L909" s="117"/>
      <c r="M909" s="56"/>
      <c r="N909" s="117"/>
      <c r="O909" s="55"/>
      <c r="P909" s="55"/>
      <c r="Q909" s="55"/>
      <c r="R909" s="49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</row>
    <row r="910" spans="1:41" x14ac:dyDescent="0.25">
      <c r="A910" s="46"/>
      <c r="B910" s="114"/>
      <c r="C910" s="114"/>
      <c r="D910" s="191"/>
      <c r="E910" s="191"/>
      <c r="F910" s="116"/>
      <c r="G910" s="52"/>
      <c r="H910" s="55"/>
      <c r="I910" s="54"/>
      <c r="J910" s="55"/>
      <c r="K910" s="55"/>
      <c r="L910" s="117"/>
      <c r="M910" s="56"/>
      <c r="N910" s="117"/>
      <c r="O910" s="55"/>
      <c r="P910" s="55"/>
      <c r="Q910" s="55"/>
      <c r="R910" s="49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</row>
    <row r="911" spans="1:41" x14ac:dyDescent="0.25">
      <c r="A911" s="46"/>
      <c r="B911" s="114"/>
      <c r="C911" s="114"/>
      <c r="D911" s="191"/>
      <c r="E911" s="191"/>
      <c r="F911" s="116"/>
      <c r="G911" s="52"/>
      <c r="H911" s="55"/>
      <c r="I911" s="54"/>
      <c r="J911" s="55"/>
      <c r="K911" s="55"/>
      <c r="L911" s="117"/>
      <c r="M911" s="56"/>
      <c r="N911" s="117"/>
      <c r="O911" s="55"/>
      <c r="P911" s="55"/>
      <c r="Q911" s="55"/>
      <c r="R911" s="49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</row>
    <row r="912" spans="1:41" x14ac:dyDescent="0.25">
      <c r="A912" s="46"/>
      <c r="B912" s="114"/>
      <c r="C912" s="114"/>
      <c r="D912" s="191"/>
      <c r="E912" s="191"/>
      <c r="F912" s="116"/>
      <c r="G912" s="52"/>
      <c r="H912" s="55"/>
      <c r="I912" s="54"/>
      <c r="J912" s="55"/>
      <c r="K912" s="55"/>
      <c r="L912" s="117"/>
      <c r="M912" s="56"/>
      <c r="N912" s="117"/>
      <c r="O912" s="55"/>
      <c r="P912" s="55"/>
      <c r="Q912" s="55"/>
      <c r="R912" s="49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</row>
    <row r="913" spans="1:41" x14ac:dyDescent="0.25">
      <c r="A913" s="46"/>
      <c r="B913" s="114"/>
      <c r="C913" s="114"/>
      <c r="D913" s="191"/>
      <c r="E913" s="191"/>
      <c r="F913" s="116"/>
      <c r="G913" s="52"/>
      <c r="H913" s="55"/>
      <c r="I913" s="54"/>
      <c r="J913" s="55"/>
      <c r="K913" s="55"/>
      <c r="L913" s="117"/>
      <c r="M913" s="56"/>
      <c r="N913" s="117"/>
      <c r="O913" s="55"/>
      <c r="P913" s="55"/>
      <c r="Q913" s="55"/>
      <c r="R913" s="49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</row>
    <row r="914" spans="1:41" x14ac:dyDescent="0.25">
      <c r="A914" s="46"/>
      <c r="B914" s="114"/>
      <c r="C914" s="114"/>
      <c r="D914" s="191"/>
      <c r="E914" s="191"/>
      <c r="F914" s="116"/>
      <c r="G914" s="52"/>
      <c r="H914" s="55"/>
      <c r="I914" s="54"/>
      <c r="J914" s="55"/>
      <c r="K914" s="55"/>
      <c r="L914" s="117"/>
      <c r="M914" s="56"/>
      <c r="N914" s="117"/>
      <c r="O914" s="55"/>
      <c r="P914" s="55"/>
      <c r="Q914" s="55"/>
      <c r="R914" s="49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</row>
    <row r="915" spans="1:41" x14ac:dyDescent="0.25">
      <c r="A915" s="46"/>
      <c r="B915" s="114"/>
      <c r="C915" s="114"/>
      <c r="D915" s="191"/>
      <c r="E915" s="191"/>
      <c r="F915" s="116"/>
      <c r="G915" s="52"/>
      <c r="H915" s="55"/>
      <c r="I915" s="54"/>
      <c r="J915" s="55"/>
      <c r="K915" s="55"/>
      <c r="L915" s="117"/>
      <c r="M915" s="56"/>
      <c r="N915" s="117"/>
      <c r="O915" s="55"/>
      <c r="P915" s="55"/>
      <c r="Q915" s="55"/>
      <c r="R915" s="49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</row>
    <row r="916" spans="1:41" x14ac:dyDescent="0.25">
      <c r="A916" s="46"/>
      <c r="B916" s="114"/>
      <c r="C916" s="114"/>
      <c r="D916" s="191"/>
      <c r="E916" s="191"/>
      <c r="F916" s="116"/>
      <c r="G916" s="52"/>
      <c r="H916" s="55"/>
      <c r="I916" s="54"/>
      <c r="J916" s="55"/>
      <c r="K916" s="55"/>
      <c r="L916" s="117"/>
      <c r="M916" s="56"/>
      <c r="N916" s="117"/>
      <c r="O916" s="55"/>
      <c r="P916" s="55"/>
      <c r="Q916" s="55"/>
      <c r="R916" s="49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</row>
    <row r="917" spans="1:41" x14ac:dyDescent="0.25">
      <c r="A917" s="46"/>
      <c r="B917" s="114"/>
      <c r="C917" s="114"/>
      <c r="D917" s="191"/>
      <c r="E917" s="191"/>
      <c r="F917" s="116"/>
      <c r="G917" s="52"/>
      <c r="H917" s="55"/>
      <c r="I917" s="54"/>
      <c r="J917" s="55"/>
      <c r="K917" s="55"/>
      <c r="L917" s="117"/>
      <c r="M917" s="56"/>
      <c r="N917" s="117"/>
      <c r="O917" s="55"/>
      <c r="P917" s="55"/>
      <c r="Q917" s="55"/>
      <c r="R917" s="49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</row>
    <row r="918" spans="1:41" x14ac:dyDescent="0.25">
      <c r="A918" s="46"/>
      <c r="B918" s="114"/>
      <c r="C918" s="114"/>
      <c r="D918" s="191"/>
      <c r="E918" s="191"/>
      <c r="F918" s="116"/>
      <c r="G918" s="52"/>
      <c r="H918" s="55"/>
      <c r="I918" s="54"/>
      <c r="J918" s="55"/>
      <c r="K918" s="55"/>
      <c r="L918" s="117"/>
      <c r="M918" s="56"/>
      <c r="N918" s="117"/>
      <c r="O918" s="55"/>
      <c r="P918" s="55"/>
      <c r="Q918" s="55"/>
      <c r="R918" s="49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</row>
    <row r="919" spans="1:41" x14ac:dyDescent="0.25">
      <c r="A919" s="46"/>
      <c r="B919" s="114"/>
      <c r="C919" s="114"/>
      <c r="D919" s="191"/>
      <c r="E919" s="191"/>
      <c r="F919" s="116"/>
      <c r="G919" s="52"/>
      <c r="H919" s="55"/>
      <c r="I919" s="54"/>
      <c r="J919" s="55"/>
      <c r="K919" s="55"/>
      <c r="L919" s="117"/>
      <c r="M919" s="56"/>
      <c r="N919" s="117"/>
      <c r="O919" s="55"/>
      <c r="P919" s="55"/>
      <c r="Q919" s="55"/>
      <c r="R919" s="49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</row>
    <row r="920" spans="1:41" x14ac:dyDescent="0.25">
      <c r="A920" s="46"/>
      <c r="B920" s="114"/>
      <c r="C920" s="114"/>
      <c r="D920" s="191"/>
      <c r="E920" s="191"/>
      <c r="F920" s="116"/>
      <c r="G920" s="52"/>
      <c r="H920" s="55"/>
      <c r="I920" s="54"/>
      <c r="J920" s="55"/>
      <c r="K920" s="55"/>
      <c r="L920" s="117"/>
      <c r="M920" s="56"/>
      <c r="N920" s="117"/>
      <c r="O920" s="55"/>
      <c r="P920" s="55"/>
      <c r="Q920" s="55"/>
      <c r="R920" s="49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</row>
    <row r="921" spans="1:41" x14ac:dyDescent="0.25">
      <c r="A921" s="46"/>
      <c r="B921" s="114"/>
      <c r="C921" s="114"/>
      <c r="D921" s="191"/>
      <c r="E921" s="191"/>
      <c r="F921" s="116"/>
      <c r="G921" s="52"/>
      <c r="H921" s="55"/>
      <c r="I921" s="54"/>
      <c r="J921" s="55"/>
      <c r="K921" s="55"/>
      <c r="L921" s="117"/>
      <c r="M921" s="56"/>
      <c r="N921" s="117"/>
      <c r="O921" s="55"/>
      <c r="P921" s="55"/>
      <c r="Q921" s="55"/>
      <c r="R921" s="49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</row>
    <row r="922" spans="1:41" x14ac:dyDescent="0.25">
      <c r="A922" s="46"/>
      <c r="B922" s="114"/>
      <c r="C922" s="114"/>
      <c r="D922" s="191"/>
      <c r="E922" s="191"/>
      <c r="F922" s="116"/>
      <c r="G922" s="52"/>
      <c r="H922" s="55"/>
      <c r="I922" s="54"/>
      <c r="J922" s="55"/>
      <c r="K922" s="55"/>
      <c r="L922" s="117"/>
      <c r="M922" s="56"/>
      <c r="N922" s="117"/>
      <c r="O922" s="55"/>
      <c r="P922" s="55"/>
      <c r="Q922" s="55"/>
      <c r="R922" s="49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</row>
    <row r="923" spans="1:41" x14ac:dyDescent="0.25">
      <c r="A923" s="46"/>
      <c r="B923" s="114"/>
      <c r="C923" s="114"/>
      <c r="D923" s="191"/>
      <c r="E923" s="191"/>
      <c r="F923" s="116"/>
      <c r="G923" s="52"/>
      <c r="H923" s="55"/>
      <c r="I923" s="54"/>
      <c r="J923" s="55"/>
      <c r="K923" s="55"/>
      <c r="L923" s="117"/>
      <c r="M923" s="56"/>
      <c r="N923" s="117"/>
      <c r="O923" s="55"/>
      <c r="P923" s="55"/>
      <c r="Q923" s="55"/>
      <c r="R923" s="49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</row>
    <row r="924" spans="1:41" x14ac:dyDescent="0.25">
      <c r="A924" s="46"/>
      <c r="B924" s="114"/>
      <c r="C924" s="114"/>
      <c r="D924" s="191"/>
      <c r="E924" s="191"/>
      <c r="F924" s="116"/>
      <c r="G924" s="52"/>
      <c r="H924" s="55"/>
      <c r="I924" s="54"/>
      <c r="J924" s="55"/>
      <c r="K924" s="55"/>
      <c r="L924" s="117"/>
      <c r="M924" s="56"/>
      <c r="N924" s="117"/>
      <c r="O924" s="55"/>
      <c r="P924" s="55"/>
      <c r="Q924" s="55"/>
      <c r="R924" s="49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</row>
    <row r="925" spans="1:41" x14ac:dyDescent="0.25">
      <c r="A925" s="46"/>
      <c r="B925" s="114"/>
      <c r="C925" s="114"/>
      <c r="D925" s="191"/>
      <c r="E925" s="191"/>
      <c r="F925" s="116"/>
      <c r="G925" s="52"/>
      <c r="H925" s="55"/>
      <c r="I925" s="54"/>
      <c r="J925" s="55"/>
      <c r="K925" s="55"/>
      <c r="L925" s="117"/>
      <c r="M925" s="56"/>
      <c r="N925" s="117"/>
      <c r="O925" s="55"/>
      <c r="P925" s="55"/>
      <c r="Q925" s="55"/>
      <c r="R925" s="49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</row>
    <row r="926" spans="1:41" x14ac:dyDescent="0.25">
      <c r="A926" s="46"/>
      <c r="B926" s="114"/>
      <c r="C926" s="114"/>
      <c r="D926" s="191"/>
      <c r="E926" s="191"/>
      <c r="F926" s="116"/>
      <c r="G926" s="52"/>
      <c r="H926" s="55"/>
      <c r="I926" s="54"/>
      <c r="J926" s="55"/>
      <c r="K926" s="55"/>
      <c r="L926" s="117"/>
      <c r="M926" s="56"/>
      <c r="N926" s="117"/>
      <c r="O926" s="55"/>
      <c r="P926" s="55"/>
      <c r="Q926" s="55"/>
      <c r="R926" s="49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</row>
    <row r="927" spans="1:41" x14ac:dyDescent="0.25">
      <c r="A927" s="46"/>
      <c r="B927" s="114"/>
      <c r="C927" s="114"/>
      <c r="D927" s="191"/>
      <c r="E927" s="191"/>
      <c r="F927" s="116"/>
      <c r="G927" s="52"/>
      <c r="H927" s="55"/>
      <c r="I927" s="54"/>
      <c r="J927" s="55"/>
      <c r="K927" s="55"/>
      <c r="L927" s="117"/>
      <c r="M927" s="56"/>
      <c r="N927" s="117"/>
      <c r="O927" s="55"/>
      <c r="P927" s="55"/>
      <c r="Q927" s="55"/>
      <c r="R927" s="49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</row>
    <row r="928" spans="1:41" x14ac:dyDescent="0.25">
      <c r="A928" s="46"/>
      <c r="B928" s="114"/>
      <c r="C928" s="114"/>
      <c r="D928" s="191"/>
      <c r="E928" s="191"/>
      <c r="F928" s="116"/>
      <c r="G928" s="52"/>
      <c r="H928" s="55"/>
      <c r="I928" s="54"/>
      <c r="J928" s="55"/>
      <c r="K928" s="55"/>
      <c r="L928" s="117"/>
      <c r="M928" s="56"/>
      <c r="N928" s="117"/>
      <c r="O928" s="55"/>
      <c r="P928" s="55"/>
      <c r="Q928" s="55"/>
      <c r="R928" s="49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</row>
    <row r="929" spans="1:41" x14ac:dyDescent="0.25">
      <c r="A929" s="46"/>
      <c r="B929" s="114"/>
      <c r="C929" s="114"/>
      <c r="D929" s="191"/>
      <c r="E929" s="191"/>
      <c r="F929" s="116"/>
      <c r="G929" s="52"/>
      <c r="H929" s="55"/>
      <c r="I929" s="54"/>
      <c r="J929" s="55"/>
      <c r="K929" s="55"/>
      <c r="L929" s="117"/>
      <c r="M929" s="56"/>
      <c r="N929" s="117"/>
      <c r="O929" s="55"/>
      <c r="P929" s="55"/>
      <c r="Q929" s="55"/>
      <c r="R929" s="49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</row>
    <row r="930" spans="1:41" x14ac:dyDescent="0.25">
      <c r="A930" s="46"/>
      <c r="B930" s="114"/>
      <c r="C930" s="114"/>
      <c r="D930" s="191"/>
      <c r="E930" s="191"/>
      <c r="F930" s="116"/>
      <c r="G930" s="52"/>
      <c r="H930" s="55"/>
      <c r="I930" s="54"/>
      <c r="J930" s="55"/>
      <c r="K930" s="55"/>
      <c r="L930" s="117"/>
      <c r="M930" s="56"/>
      <c r="N930" s="117"/>
      <c r="O930" s="55"/>
      <c r="P930" s="55"/>
      <c r="Q930" s="55"/>
      <c r="R930" s="49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</row>
    <row r="931" spans="1:41" x14ac:dyDescent="0.25">
      <c r="A931" s="46"/>
      <c r="B931" s="114"/>
      <c r="C931" s="114"/>
      <c r="D931" s="191"/>
      <c r="E931" s="191"/>
      <c r="F931" s="116"/>
      <c r="G931" s="52"/>
      <c r="H931" s="55"/>
      <c r="I931" s="54"/>
      <c r="J931" s="55"/>
      <c r="K931" s="55"/>
      <c r="L931" s="117"/>
      <c r="M931" s="56"/>
      <c r="N931" s="117"/>
      <c r="O931" s="55"/>
      <c r="P931" s="55"/>
      <c r="Q931" s="55"/>
      <c r="R931" s="49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</row>
    <row r="932" spans="1:41" x14ac:dyDescent="0.25">
      <c r="A932" s="46"/>
      <c r="B932" s="114"/>
      <c r="C932" s="114"/>
      <c r="D932" s="191"/>
      <c r="E932" s="191"/>
      <c r="F932" s="116"/>
      <c r="G932" s="52"/>
      <c r="H932" s="55"/>
      <c r="I932" s="54"/>
      <c r="J932" s="55"/>
      <c r="K932" s="55"/>
      <c r="L932" s="117"/>
      <c r="M932" s="56"/>
      <c r="N932" s="117"/>
      <c r="O932" s="55"/>
      <c r="P932" s="55"/>
      <c r="Q932" s="55"/>
      <c r="R932" s="49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</row>
    <row r="933" spans="1:41" x14ac:dyDescent="0.25">
      <c r="A933" s="46"/>
      <c r="B933" s="114"/>
      <c r="C933" s="114"/>
      <c r="D933" s="191"/>
      <c r="E933" s="191"/>
      <c r="F933" s="116"/>
      <c r="G933" s="52"/>
      <c r="H933" s="55"/>
      <c r="I933" s="54"/>
      <c r="J933" s="55"/>
      <c r="K933" s="55"/>
      <c r="L933" s="117"/>
      <c r="M933" s="56"/>
      <c r="N933" s="117"/>
      <c r="O933" s="55"/>
      <c r="P933" s="55"/>
      <c r="Q933" s="55"/>
      <c r="R933" s="49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</row>
    <row r="934" spans="1:41" x14ac:dyDescent="0.25">
      <c r="A934" s="46"/>
      <c r="B934" s="114"/>
      <c r="C934" s="114"/>
      <c r="D934" s="191"/>
      <c r="E934" s="191"/>
      <c r="F934" s="116"/>
      <c r="G934" s="52"/>
      <c r="H934" s="55"/>
      <c r="I934" s="54"/>
      <c r="J934" s="55"/>
      <c r="K934" s="55"/>
      <c r="L934" s="117"/>
      <c r="M934" s="56"/>
      <c r="N934" s="117"/>
      <c r="O934" s="55"/>
      <c r="P934" s="55"/>
      <c r="Q934" s="55"/>
      <c r="R934" s="49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</row>
    <row r="935" spans="1:41" x14ac:dyDescent="0.25">
      <c r="A935" s="46"/>
      <c r="B935" s="114"/>
      <c r="C935" s="114"/>
      <c r="D935" s="191"/>
      <c r="E935" s="191"/>
      <c r="F935" s="116"/>
      <c r="G935" s="52"/>
      <c r="H935" s="55"/>
      <c r="I935" s="54"/>
      <c r="J935" s="55"/>
      <c r="K935" s="55"/>
      <c r="L935" s="117"/>
      <c r="M935" s="56"/>
      <c r="N935" s="117"/>
      <c r="O935" s="55"/>
      <c r="P935" s="55"/>
      <c r="Q935" s="55"/>
      <c r="R935" s="49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</row>
    <row r="936" spans="1:41" x14ac:dyDescent="0.25">
      <c r="A936" s="46"/>
      <c r="B936" s="114"/>
      <c r="C936" s="114"/>
      <c r="D936" s="191"/>
      <c r="E936" s="191"/>
      <c r="F936" s="116"/>
      <c r="G936" s="52"/>
      <c r="H936" s="55"/>
      <c r="I936" s="54"/>
      <c r="J936" s="55"/>
      <c r="K936" s="55"/>
      <c r="L936" s="117"/>
      <c r="M936" s="56"/>
      <c r="N936" s="117"/>
      <c r="O936" s="55"/>
      <c r="P936" s="55"/>
      <c r="Q936" s="55"/>
      <c r="R936" s="49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</row>
    <row r="937" spans="1:41" x14ac:dyDescent="0.25">
      <c r="A937" s="46"/>
      <c r="B937" s="114"/>
      <c r="C937" s="114"/>
      <c r="D937" s="191"/>
      <c r="E937" s="191"/>
      <c r="F937" s="116"/>
      <c r="G937" s="52"/>
      <c r="H937" s="55"/>
      <c r="I937" s="54"/>
      <c r="J937" s="55"/>
      <c r="K937" s="55"/>
      <c r="L937" s="117"/>
      <c r="M937" s="56"/>
      <c r="N937" s="117"/>
      <c r="O937" s="55"/>
      <c r="P937" s="55"/>
      <c r="Q937" s="55"/>
      <c r="R937" s="49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</row>
    <row r="938" spans="1:41" x14ac:dyDescent="0.25">
      <c r="A938" s="46"/>
      <c r="B938" s="114"/>
      <c r="C938" s="114"/>
      <c r="D938" s="191"/>
      <c r="E938" s="191"/>
      <c r="F938" s="116"/>
      <c r="G938" s="52"/>
      <c r="H938" s="55"/>
      <c r="I938" s="54"/>
      <c r="J938" s="55"/>
      <c r="K938" s="55"/>
      <c r="L938" s="117"/>
      <c r="M938" s="56"/>
      <c r="N938" s="117"/>
      <c r="O938" s="55"/>
      <c r="P938" s="55"/>
      <c r="Q938" s="55"/>
      <c r="R938" s="49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</row>
    <row r="939" spans="1:41" x14ac:dyDescent="0.25">
      <c r="A939" s="46"/>
      <c r="B939" s="114"/>
      <c r="C939" s="114"/>
      <c r="D939" s="191"/>
      <c r="E939" s="191"/>
      <c r="F939" s="116"/>
      <c r="G939" s="52"/>
      <c r="H939" s="55"/>
      <c r="I939" s="54"/>
      <c r="J939" s="55"/>
      <c r="K939" s="55"/>
      <c r="L939" s="117"/>
      <c r="M939" s="56"/>
      <c r="N939" s="117"/>
      <c r="O939" s="55"/>
      <c r="P939" s="55"/>
      <c r="Q939" s="55"/>
      <c r="R939" s="49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</row>
    <row r="940" spans="1:41" x14ac:dyDescent="0.25">
      <c r="A940" s="46"/>
      <c r="B940" s="114"/>
      <c r="C940" s="114"/>
      <c r="D940" s="191"/>
      <c r="E940" s="191"/>
      <c r="F940" s="116"/>
      <c r="G940" s="52"/>
      <c r="H940" s="55"/>
      <c r="I940" s="54"/>
      <c r="J940" s="55"/>
      <c r="K940" s="55"/>
      <c r="L940" s="117"/>
      <c r="M940" s="56"/>
      <c r="N940" s="117"/>
      <c r="O940" s="55"/>
      <c r="P940" s="55"/>
      <c r="Q940" s="55"/>
      <c r="R940" s="49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</row>
    <row r="941" spans="1:41" x14ac:dyDescent="0.25">
      <c r="A941" s="46"/>
      <c r="B941" s="114"/>
      <c r="C941" s="114"/>
      <c r="D941" s="191"/>
      <c r="E941" s="191"/>
      <c r="F941" s="116"/>
      <c r="G941" s="52"/>
      <c r="H941" s="55"/>
      <c r="I941" s="54"/>
      <c r="J941" s="55"/>
      <c r="K941" s="55"/>
      <c r="L941" s="117"/>
      <c r="M941" s="56"/>
      <c r="N941" s="117"/>
      <c r="O941" s="55"/>
      <c r="P941" s="55"/>
      <c r="Q941" s="55"/>
      <c r="R941" s="49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</row>
    <row r="942" spans="1:41" x14ac:dyDescent="0.25">
      <c r="A942" s="46"/>
      <c r="B942" s="114"/>
      <c r="C942" s="114"/>
      <c r="D942" s="191"/>
      <c r="E942" s="191"/>
      <c r="F942" s="116"/>
      <c r="G942" s="52"/>
      <c r="H942" s="55"/>
      <c r="I942" s="54"/>
      <c r="J942" s="55"/>
      <c r="K942" s="55"/>
      <c r="L942" s="117"/>
      <c r="M942" s="56"/>
      <c r="N942" s="117"/>
      <c r="O942" s="55"/>
      <c r="P942" s="55"/>
      <c r="Q942" s="55"/>
      <c r="R942" s="49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</row>
    <row r="943" spans="1:41" x14ac:dyDescent="0.25">
      <c r="A943" s="46"/>
      <c r="B943" s="114"/>
      <c r="C943" s="114"/>
      <c r="D943" s="191"/>
      <c r="E943" s="191"/>
      <c r="F943" s="116"/>
      <c r="G943" s="52"/>
      <c r="H943" s="55"/>
      <c r="I943" s="54"/>
      <c r="J943" s="55"/>
      <c r="K943" s="55"/>
      <c r="L943" s="117"/>
      <c r="M943" s="56"/>
      <c r="N943" s="117"/>
      <c r="O943" s="55"/>
      <c r="P943" s="55"/>
      <c r="Q943" s="55"/>
      <c r="R943" s="49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</row>
    <row r="944" spans="1:41" x14ac:dyDescent="0.25">
      <c r="A944" s="46"/>
      <c r="B944" s="114"/>
      <c r="C944" s="114"/>
      <c r="D944" s="191"/>
      <c r="E944" s="191"/>
      <c r="F944" s="116"/>
      <c r="G944" s="52"/>
      <c r="H944" s="55"/>
      <c r="I944" s="54"/>
      <c r="J944" s="55"/>
      <c r="K944" s="55"/>
      <c r="L944" s="117"/>
      <c r="M944" s="56"/>
      <c r="N944" s="117"/>
      <c r="O944" s="55"/>
      <c r="P944" s="55"/>
      <c r="Q944" s="55"/>
      <c r="R944" s="49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</row>
    <row r="945" spans="1:41" x14ac:dyDescent="0.25">
      <c r="A945" s="46"/>
      <c r="B945" s="114"/>
      <c r="C945" s="114"/>
      <c r="D945" s="191"/>
      <c r="E945" s="191"/>
      <c r="F945" s="116"/>
      <c r="G945" s="52"/>
      <c r="H945" s="55"/>
      <c r="I945" s="54"/>
      <c r="J945" s="55"/>
      <c r="K945" s="55"/>
      <c r="L945" s="117"/>
      <c r="M945" s="56"/>
      <c r="N945" s="117"/>
      <c r="O945" s="55"/>
      <c r="P945" s="55"/>
      <c r="Q945" s="55"/>
      <c r="R945" s="49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</row>
    <row r="946" spans="1:41" x14ac:dyDescent="0.25">
      <c r="A946" s="46"/>
      <c r="B946" s="114"/>
      <c r="C946" s="114"/>
      <c r="D946" s="191"/>
      <c r="E946" s="191"/>
      <c r="F946" s="116"/>
      <c r="G946" s="52"/>
      <c r="H946" s="55"/>
      <c r="I946" s="54"/>
      <c r="J946" s="55"/>
      <c r="K946" s="55"/>
      <c r="L946" s="117"/>
      <c r="M946" s="56"/>
      <c r="N946" s="117"/>
      <c r="O946" s="55"/>
      <c r="P946" s="55"/>
      <c r="Q946" s="55"/>
      <c r="R946" s="49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</row>
    <row r="947" spans="1:41" x14ac:dyDescent="0.25">
      <c r="A947" s="46"/>
      <c r="B947" s="114"/>
      <c r="C947" s="114"/>
      <c r="D947" s="191"/>
      <c r="E947" s="191"/>
      <c r="F947" s="116"/>
      <c r="G947" s="52"/>
      <c r="H947" s="55"/>
      <c r="I947" s="54"/>
      <c r="J947" s="55"/>
      <c r="K947" s="55"/>
      <c r="L947" s="117"/>
      <c r="M947" s="56"/>
      <c r="N947" s="117"/>
      <c r="O947" s="55"/>
      <c r="P947" s="55"/>
      <c r="Q947" s="55"/>
      <c r="R947" s="49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</row>
    <row r="948" spans="1:41" x14ac:dyDescent="0.25">
      <c r="A948" s="46"/>
      <c r="B948" s="114"/>
      <c r="C948" s="114"/>
      <c r="D948" s="191"/>
      <c r="E948" s="191"/>
      <c r="F948" s="116"/>
      <c r="G948" s="52"/>
      <c r="H948" s="55"/>
      <c r="I948" s="54"/>
      <c r="J948" s="55"/>
      <c r="K948" s="55"/>
      <c r="L948" s="117"/>
      <c r="M948" s="56"/>
      <c r="N948" s="117"/>
      <c r="O948" s="55"/>
      <c r="P948" s="55"/>
      <c r="Q948" s="55"/>
      <c r="R948" s="49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</row>
    <row r="949" spans="1:41" x14ac:dyDescent="0.25">
      <c r="A949" s="46"/>
      <c r="B949" s="114"/>
      <c r="C949" s="114"/>
      <c r="D949" s="191"/>
      <c r="E949" s="191"/>
      <c r="F949" s="116"/>
      <c r="G949" s="52"/>
      <c r="H949" s="55"/>
      <c r="I949" s="54"/>
      <c r="J949" s="55"/>
      <c r="K949" s="55"/>
      <c r="L949" s="117"/>
      <c r="M949" s="56"/>
      <c r="N949" s="117"/>
      <c r="O949" s="55"/>
      <c r="P949" s="55"/>
      <c r="Q949" s="55"/>
      <c r="R949" s="49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</row>
    <row r="950" spans="1:41" x14ac:dyDescent="0.25">
      <c r="A950" s="46"/>
      <c r="B950" s="114"/>
      <c r="C950" s="114"/>
      <c r="D950" s="191"/>
      <c r="E950" s="191"/>
      <c r="F950" s="116"/>
      <c r="G950" s="52"/>
      <c r="H950" s="55"/>
      <c r="I950" s="54"/>
      <c r="J950" s="55"/>
      <c r="K950" s="55"/>
      <c r="L950" s="117"/>
      <c r="M950" s="56"/>
      <c r="N950" s="117"/>
      <c r="O950" s="55"/>
      <c r="P950" s="55"/>
      <c r="Q950" s="55"/>
      <c r="R950" s="49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</row>
    <row r="951" spans="1:41" x14ac:dyDescent="0.25">
      <c r="A951" s="46"/>
      <c r="B951" s="114"/>
      <c r="C951" s="114"/>
      <c r="D951" s="191"/>
      <c r="E951" s="191"/>
      <c r="F951" s="116"/>
      <c r="G951" s="52"/>
      <c r="H951" s="55"/>
      <c r="I951" s="54"/>
      <c r="J951" s="55"/>
      <c r="K951" s="55"/>
      <c r="L951" s="117"/>
      <c r="M951" s="56"/>
      <c r="N951" s="117"/>
      <c r="O951" s="55"/>
      <c r="P951" s="55"/>
      <c r="Q951" s="55"/>
      <c r="R951" s="49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</row>
    <row r="952" spans="1:41" x14ac:dyDescent="0.25">
      <c r="A952" s="46"/>
      <c r="B952" s="114"/>
      <c r="C952" s="114"/>
      <c r="D952" s="191"/>
      <c r="E952" s="191"/>
      <c r="F952" s="116"/>
      <c r="G952" s="52"/>
      <c r="H952" s="55"/>
      <c r="I952" s="54"/>
      <c r="J952" s="55"/>
      <c r="K952" s="55"/>
      <c r="L952" s="117"/>
      <c r="M952" s="56"/>
      <c r="N952" s="117"/>
      <c r="O952" s="55"/>
      <c r="P952" s="55"/>
      <c r="Q952" s="55"/>
      <c r="R952" s="49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</row>
    <row r="953" spans="1:41" x14ac:dyDescent="0.25">
      <c r="A953" s="46"/>
      <c r="B953" s="114"/>
      <c r="C953" s="114"/>
      <c r="D953" s="191"/>
      <c r="E953" s="191"/>
      <c r="F953" s="116"/>
      <c r="G953" s="52"/>
      <c r="H953" s="55"/>
      <c r="I953" s="54"/>
      <c r="J953" s="55"/>
      <c r="K953" s="55"/>
      <c r="L953" s="117"/>
      <c r="M953" s="56"/>
      <c r="N953" s="117"/>
      <c r="O953" s="55"/>
      <c r="P953" s="55"/>
      <c r="Q953" s="55"/>
      <c r="R953" s="49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</row>
    <row r="954" spans="1:41" x14ac:dyDescent="0.25">
      <c r="A954" s="46"/>
      <c r="B954" s="114"/>
      <c r="C954" s="114"/>
      <c r="D954" s="191"/>
      <c r="E954" s="191"/>
      <c r="F954" s="116"/>
      <c r="G954" s="52"/>
      <c r="H954" s="55"/>
      <c r="I954" s="54"/>
      <c r="J954" s="55"/>
      <c r="K954" s="55"/>
      <c r="L954" s="117"/>
      <c r="M954" s="56"/>
      <c r="N954" s="117"/>
      <c r="O954" s="55"/>
      <c r="P954" s="55"/>
      <c r="Q954" s="55"/>
      <c r="R954" s="49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</row>
    <row r="955" spans="1:41" x14ac:dyDescent="0.25">
      <c r="A955" s="46"/>
      <c r="B955" s="114"/>
      <c r="C955" s="114"/>
      <c r="D955" s="191"/>
      <c r="E955" s="191"/>
      <c r="F955" s="116"/>
      <c r="G955" s="52"/>
      <c r="H955" s="55"/>
      <c r="I955" s="54"/>
      <c r="J955" s="55"/>
      <c r="K955" s="55"/>
      <c r="L955" s="117"/>
      <c r="M955" s="56"/>
      <c r="N955" s="117"/>
      <c r="O955" s="55"/>
      <c r="P955" s="55"/>
      <c r="Q955" s="55"/>
      <c r="R955" s="49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</row>
    <row r="956" spans="1:41" x14ac:dyDescent="0.25">
      <c r="A956" s="46"/>
      <c r="B956" s="114"/>
      <c r="C956" s="114"/>
      <c r="D956" s="191"/>
      <c r="E956" s="191"/>
      <c r="F956" s="116"/>
      <c r="G956" s="52"/>
      <c r="H956" s="55"/>
      <c r="I956" s="54"/>
      <c r="J956" s="55"/>
      <c r="K956" s="55"/>
      <c r="L956" s="117"/>
      <c r="M956" s="56"/>
      <c r="N956" s="117"/>
      <c r="O956" s="55"/>
      <c r="P956" s="55"/>
      <c r="Q956" s="55"/>
      <c r="R956" s="49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</row>
    <row r="957" spans="1:41" x14ac:dyDescent="0.25">
      <c r="A957" s="46"/>
      <c r="B957" s="114"/>
      <c r="C957" s="114"/>
      <c r="D957" s="191"/>
      <c r="E957" s="191"/>
      <c r="F957" s="116"/>
      <c r="G957" s="52"/>
      <c r="H957" s="55"/>
      <c r="I957" s="54"/>
      <c r="J957" s="55"/>
      <c r="K957" s="55"/>
      <c r="L957" s="117"/>
      <c r="M957" s="56"/>
      <c r="N957" s="117"/>
      <c r="O957" s="55"/>
      <c r="P957" s="55"/>
      <c r="Q957" s="55"/>
      <c r="R957" s="49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</row>
    <row r="958" spans="1:41" x14ac:dyDescent="0.25">
      <c r="A958" s="46"/>
      <c r="B958" s="114"/>
      <c r="C958" s="114"/>
      <c r="D958" s="191"/>
      <c r="E958" s="191"/>
      <c r="F958" s="116"/>
      <c r="G958" s="52"/>
      <c r="H958" s="55"/>
      <c r="I958" s="54"/>
      <c r="J958" s="55"/>
      <c r="K958" s="55"/>
      <c r="L958" s="117"/>
      <c r="M958" s="56"/>
      <c r="N958" s="117"/>
      <c r="O958" s="55"/>
      <c r="P958" s="55"/>
      <c r="Q958" s="55"/>
      <c r="R958" s="49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</row>
    <row r="959" spans="1:41" x14ac:dyDescent="0.25">
      <c r="A959" s="46"/>
      <c r="B959" s="114"/>
      <c r="C959" s="114"/>
      <c r="D959" s="191"/>
      <c r="E959" s="191"/>
      <c r="F959" s="116"/>
      <c r="G959" s="52"/>
      <c r="H959" s="55"/>
      <c r="I959" s="54"/>
      <c r="J959" s="55"/>
      <c r="K959" s="55"/>
      <c r="L959" s="117"/>
      <c r="M959" s="56"/>
      <c r="N959" s="117"/>
      <c r="O959" s="55"/>
      <c r="P959" s="55"/>
      <c r="Q959" s="55"/>
      <c r="R959" s="49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</row>
    <row r="960" spans="1:41" x14ac:dyDescent="0.25">
      <c r="A960" s="46"/>
      <c r="B960" s="114"/>
      <c r="C960" s="114"/>
      <c r="D960" s="191"/>
      <c r="E960" s="191"/>
      <c r="F960" s="116"/>
      <c r="G960" s="52"/>
      <c r="H960" s="55"/>
      <c r="I960" s="54"/>
      <c r="J960" s="55"/>
      <c r="K960" s="55"/>
      <c r="L960" s="117"/>
      <c r="M960" s="56"/>
      <c r="N960" s="117"/>
      <c r="O960" s="55"/>
      <c r="P960" s="55"/>
      <c r="Q960" s="55"/>
      <c r="R960" s="49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</row>
    <row r="961" spans="1:41" x14ac:dyDescent="0.25">
      <c r="A961" s="46"/>
      <c r="B961" s="114"/>
      <c r="C961" s="114"/>
      <c r="D961" s="191"/>
      <c r="E961" s="191"/>
      <c r="F961" s="116"/>
      <c r="G961" s="52"/>
      <c r="H961" s="55"/>
      <c r="I961" s="54"/>
      <c r="J961" s="55"/>
      <c r="K961" s="55"/>
      <c r="L961" s="117"/>
      <c r="M961" s="56"/>
      <c r="N961" s="117"/>
      <c r="O961" s="55"/>
      <c r="P961" s="55"/>
      <c r="Q961" s="55"/>
      <c r="R961" s="49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</row>
    <row r="962" spans="1:41" x14ac:dyDescent="0.25">
      <c r="A962" s="46"/>
      <c r="B962" s="114"/>
      <c r="C962" s="114"/>
      <c r="D962" s="191"/>
      <c r="E962" s="191"/>
      <c r="F962" s="116"/>
      <c r="G962" s="52"/>
      <c r="H962" s="55"/>
      <c r="I962" s="54"/>
      <c r="J962" s="55"/>
      <c r="K962" s="55"/>
      <c r="L962" s="117"/>
      <c r="M962" s="56"/>
      <c r="N962" s="117"/>
      <c r="O962" s="55"/>
      <c r="P962" s="55"/>
      <c r="Q962" s="55"/>
      <c r="R962" s="49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</row>
    <row r="963" spans="1:41" x14ac:dyDescent="0.25">
      <c r="A963" s="46"/>
      <c r="B963" s="114"/>
      <c r="C963" s="114"/>
      <c r="D963" s="191"/>
      <c r="E963" s="191"/>
      <c r="F963" s="116"/>
      <c r="G963" s="52"/>
      <c r="H963" s="55"/>
      <c r="I963" s="54"/>
      <c r="J963" s="55"/>
      <c r="K963" s="55"/>
      <c r="L963" s="117"/>
      <c r="M963" s="56"/>
      <c r="N963" s="117"/>
      <c r="O963" s="55"/>
      <c r="P963" s="55"/>
      <c r="Q963" s="55"/>
      <c r="R963" s="49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</row>
    <row r="964" spans="1:41" x14ac:dyDescent="0.25">
      <c r="A964" s="46"/>
      <c r="B964" s="114"/>
      <c r="C964" s="114"/>
      <c r="D964" s="191"/>
      <c r="E964" s="191"/>
      <c r="F964" s="116"/>
      <c r="G964" s="52"/>
      <c r="H964" s="55"/>
      <c r="I964" s="54"/>
      <c r="J964" s="55"/>
      <c r="K964" s="55"/>
      <c r="L964" s="117"/>
      <c r="M964" s="56"/>
      <c r="N964" s="117"/>
      <c r="O964" s="55"/>
      <c r="P964" s="55"/>
      <c r="Q964" s="55"/>
      <c r="R964" s="49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</row>
    <row r="965" spans="1:41" x14ac:dyDescent="0.25">
      <c r="A965" s="46"/>
      <c r="B965" s="114"/>
      <c r="C965" s="114"/>
      <c r="D965" s="191"/>
      <c r="E965" s="191"/>
      <c r="F965" s="116"/>
      <c r="G965" s="52"/>
      <c r="H965" s="55"/>
      <c r="I965" s="54"/>
      <c r="J965" s="55"/>
      <c r="K965" s="55"/>
      <c r="L965" s="117"/>
      <c r="M965" s="56"/>
      <c r="N965" s="117"/>
      <c r="O965" s="55"/>
      <c r="P965" s="55"/>
      <c r="Q965" s="55"/>
      <c r="R965" s="49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</row>
    <row r="966" spans="1:41" x14ac:dyDescent="0.25">
      <c r="A966" s="46"/>
      <c r="B966" s="114"/>
      <c r="C966" s="114"/>
      <c r="D966" s="191"/>
      <c r="E966" s="191"/>
      <c r="F966" s="116"/>
      <c r="G966" s="52"/>
      <c r="H966" s="55"/>
      <c r="I966" s="54"/>
      <c r="J966" s="55"/>
      <c r="K966" s="55"/>
      <c r="L966" s="117"/>
      <c r="M966" s="56"/>
      <c r="N966" s="117"/>
      <c r="O966" s="55"/>
      <c r="P966" s="55"/>
      <c r="Q966" s="55"/>
      <c r="R966" s="49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</row>
    <row r="967" spans="1:41" x14ac:dyDescent="0.25">
      <c r="A967" s="46"/>
      <c r="B967" s="114"/>
      <c r="C967" s="114"/>
      <c r="D967" s="191"/>
      <c r="E967" s="191"/>
      <c r="F967" s="116"/>
      <c r="G967" s="52"/>
      <c r="H967" s="55"/>
      <c r="I967" s="54"/>
      <c r="J967" s="55"/>
      <c r="K967" s="55"/>
      <c r="L967" s="117"/>
      <c r="M967" s="56"/>
      <c r="N967" s="117"/>
      <c r="O967" s="55"/>
      <c r="P967" s="55"/>
      <c r="Q967" s="55"/>
      <c r="R967" s="49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</row>
    <row r="968" spans="1:41" x14ac:dyDescent="0.25">
      <c r="A968" s="46"/>
      <c r="B968" s="114"/>
      <c r="C968" s="114"/>
      <c r="D968" s="191"/>
      <c r="E968" s="191"/>
      <c r="F968" s="116"/>
      <c r="G968" s="52"/>
      <c r="H968" s="55"/>
      <c r="I968" s="54"/>
      <c r="J968" s="55"/>
      <c r="K968" s="55"/>
      <c r="L968" s="117"/>
      <c r="M968" s="56"/>
      <c r="N968" s="117"/>
      <c r="O968" s="55"/>
      <c r="P968" s="55"/>
      <c r="Q968" s="55"/>
      <c r="R968" s="49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</row>
    <row r="969" spans="1:41" x14ac:dyDescent="0.25">
      <c r="A969" s="46"/>
      <c r="B969" s="114"/>
      <c r="C969" s="114"/>
      <c r="D969" s="191"/>
      <c r="E969" s="191"/>
      <c r="F969" s="116"/>
      <c r="G969" s="52"/>
      <c r="H969" s="55"/>
      <c r="I969" s="54"/>
      <c r="J969" s="55"/>
      <c r="K969" s="55"/>
      <c r="L969" s="117"/>
      <c r="M969" s="56"/>
      <c r="N969" s="117"/>
      <c r="O969" s="55"/>
      <c r="P969" s="55"/>
      <c r="Q969" s="55"/>
      <c r="R969" s="49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</row>
    <row r="970" spans="1:41" x14ac:dyDescent="0.25">
      <c r="A970" s="46"/>
      <c r="B970" s="114"/>
      <c r="C970" s="114"/>
      <c r="D970" s="191"/>
      <c r="E970" s="191"/>
      <c r="F970" s="116"/>
      <c r="G970" s="52"/>
      <c r="H970" s="55"/>
      <c r="I970" s="54"/>
      <c r="J970" s="55"/>
      <c r="K970" s="55"/>
      <c r="L970" s="117"/>
      <c r="M970" s="56"/>
      <c r="N970" s="117"/>
      <c r="O970" s="55"/>
      <c r="P970" s="55"/>
      <c r="Q970" s="55"/>
      <c r="R970" s="49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</row>
    <row r="971" spans="1:41" x14ac:dyDescent="0.25">
      <c r="A971" s="46"/>
      <c r="B971" s="114"/>
      <c r="C971" s="114"/>
      <c r="D971" s="191"/>
      <c r="E971" s="191"/>
      <c r="F971" s="116"/>
      <c r="G971" s="52"/>
      <c r="H971" s="55"/>
      <c r="I971" s="54"/>
      <c r="J971" s="55"/>
      <c r="K971" s="55"/>
      <c r="L971" s="117"/>
      <c r="M971" s="56"/>
      <c r="N971" s="117"/>
      <c r="O971" s="55"/>
      <c r="P971" s="55"/>
      <c r="Q971" s="55"/>
      <c r="R971" s="49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</row>
    <row r="972" spans="1:41" x14ac:dyDescent="0.25">
      <c r="A972" s="46"/>
      <c r="B972" s="114"/>
      <c r="C972" s="114"/>
      <c r="D972" s="191"/>
      <c r="E972" s="191"/>
      <c r="F972" s="116"/>
      <c r="G972" s="52"/>
      <c r="H972" s="55"/>
      <c r="I972" s="54"/>
      <c r="J972" s="55"/>
      <c r="K972" s="55"/>
      <c r="L972" s="117"/>
      <c r="M972" s="56"/>
      <c r="N972" s="117"/>
      <c r="O972" s="55"/>
      <c r="P972" s="55"/>
      <c r="Q972" s="55"/>
      <c r="R972" s="49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</row>
    <row r="973" spans="1:41" x14ac:dyDescent="0.25">
      <c r="A973" s="46"/>
      <c r="B973" s="114"/>
      <c r="C973" s="114"/>
      <c r="D973" s="191"/>
      <c r="E973" s="191"/>
      <c r="F973" s="116"/>
      <c r="G973" s="52"/>
      <c r="H973" s="55"/>
      <c r="I973" s="54"/>
      <c r="J973" s="55"/>
      <c r="K973" s="55"/>
      <c r="L973" s="117"/>
      <c r="M973" s="56"/>
      <c r="N973" s="117"/>
      <c r="O973" s="55"/>
      <c r="P973" s="55"/>
      <c r="Q973" s="55"/>
      <c r="R973" s="49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</row>
    <row r="974" spans="1:41" x14ac:dyDescent="0.25">
      <c r="A974" s="46"/>
      <c r="B974" s="114"/>
      <c r="C974" s="114"/>
      <c r="D974" s="191"/>
      <c r="E974" s="191"/>
      <c r="F974" s="116"/>
      <c r="G974" s="52"/>
      <c r="H974" s="55"/>
      <c r="I974" s="54"/>
      <c r="J974" s="55"/>
      <c r="K974" s="55"/>
      <c r="L974" s="117"/>
      <c r="M974" s="56"/>
      <c r="N974" s="117"/>
      <c r="O974" s="55"/>
      <c r="P974" s="55"/>
      <c r="Q974" s="55"/>
      <c r="R974" s="49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</row>
    <row r="975" spans="1:41" x14ac:dyDescent="0.25">
      <c r="A975" s="46"/>
      <c r="B975" s="114"/>
      <c r="C975" s="114"/>
      <c r="D975" s="191"/>
      <c r="E975" s="191"/>
      <c r="F975" s="116"/>
      <c r="G975" s="52"/>
      <c r="H975" s="55"/>
      <c r="I975" s="54"/>
      <c r="J975" s="55"/>
      <c r="K975" s="55"/>
      <c r="L975" s="117"/>
      <c r="M975" s="56"/>
      <c r="N975" s="117"/>
      <c r="O975" s="55"/>
      <c r="P975" s="55"/>
      <c r="Q975" s="55"/>
      <c r="R975" s="49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</row>
    <row r="976" spans="1:41" x14ac:dyDescent="0.25">
      <c r="A976" s="46"/>
      <c r="B976" s="114"/>
      <c r="C976" s="114"/>
      <c r="D976" s="191"/>
      <c r="E976" s="191"/>
      <c r="F976" s="116"/>
      <c r="G976" s="52"/>
      <c r="H976" s="55"/>
      <c r="I976" s="54"/>
      <c r="J976" s="55"/>
      <c r="K976" s="55"/>
      <c r="L976" s="117"/>
      <c r="M976" s="56"/>
      <c r="N976" s="117"/>
      <c r="O976" s="55"/>
      <c r="P976" s="55"/>
      <c r="Q976" s="55"/>
      <c r="R976" s="49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</row>
    <row r="977" spans="1:41" x14ac:dyDescent="0.25">
      <c r="A977" s="46"/>
      <c r="B977" s="114"/>
      <c r="C977" s="114"/>
      <c r="D977" s="191"/>
      <c r="E977" s="191"/>
      <c r="F977" s="116"/>
      <c r="G977" s="52"/>
      <c r="H977" s="55"/>
      <c r="I977" s="54"/>
      <c r="J977" s="55"/>
      <c r="K977" s="55"/>
      <c r="L977" s="117"/>
      <c r="M977" s="56"/>
      <c r="N977" s="117"/>
      <c r="O977" s="55"/>
      <c r="P977" s="55"/>
      <c r="Q977" s="55"/>
      <c r="R977" s="49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</row>
    <row r="978" spans="1:41" x14ac:dyDescent="0.25">
      <c r="A978" s="46"/>
      <c r="B978" s="114"/>
      <c r="C978" s="114"/>
      <c r="D978" s="191"/>
      <c r="E978" s="191"/>
      <c r="F978" s="116"/>
      <c r="G978" s="52"/>
      <c r="H978" s="55"/>
      <c r="I978" s="54"/>
      <c r="J978" s="55"/>
      <c r="K978" s="55"/>
      <c r="L978" s="117"/>
      <c r="M978" s="56"/>
      <c r="N978" s="117"/>
      <c r="O978" s="55"/>
      <c r="P978" s="55"/>
      <c r="Q978" s="55"/>
      <c r="R978" s="49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</row>
    <row r="979" spans="1:41" x14ac:dyDescent="0.25">
      <c r="A979" s="46"/>
      <c r="B979" s="114"/>
      <c r="C979" s="114"/>
      <c r="D979" s="191"/>
      <c r="E979" s="191"/>
      <c r="F979" s="116"/>
      <c r="G979" s="52"/>
      <c r="H979" s="55"/>
      <c r="I979" s="54"/>
      <c r="J979" s="55"/>
      <c r="K979" s="55"/>
      <c r="L979" s="117"/>
      <c r="M979" s="56"/>
      <c r="N979" s="117"/>
      <c r="O979" s="55"/>
      <c r="P979" s="55"/>
      <c r="Q979" s="55"/>
      <c r="R979" s="49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</row>
    <row r="980" spans="1:41" x14ac:dyDescent="0.25">
      <c r="A980" s="46"/>
      <c r="B980" s="114"/>
      <c r="C980" s="114"/>
      <c r="D980" s="191"/>
      <c r="E980" s="191"/>
      <c r="F980" s="116"/>
      <c r="G980" s="52"/>
      <c r="H980" s="55"/>
      <c r="I980" s="54"/>
      <c r="J980" s="55"/>
      <c r="K980" s="55"/>
      <c r="L980" s="117"/>
      <c r="M980" s="56"/>
      <c r="N980" s="117"/>
      <c r="O980" s="55"/>
      <c r="P980" s="55"/>
      <c r="Q980" s="55"/>
      <c r="R980" s="49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</row>
    <row r="981" spans="1:41" x14ac:dyDescent="0.25">
      <c r="A981" s="46"/>
      <c r="B981" s="114"/>
      <c r="C981" s="114"/>
      <c r="D981" s="191"/>
      <c r="E981" s="191"/>
      <c r="F981" s="116"/>
      <c r="G981" s="52"/>
      <c r="H981" s="55"/>
      <c r="I981" s="54"/>
      <c r="J981" s="55"/>
      <c r="K981" s="55"/>
      <c r="L981" s="117"/>
      <c r="M981" s="56"/>
      <c r="N981" s="117"/>
      <c r="O981" s="55"/>
      <c r="P981" s="55"/>
      <c r="Q981" s="55"/>
      <c r="R981" s="49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</row>
    <row r="982" spans="1:41" x14ac:dyDescent="0.25">
      <c r="A982" s="46"/>
      <c r="B982" s="114"/>
      <c r="C982" s="114"/>
      <c r="D982" s="191"/>
      <c r="E982" s="191"/>
      <c r="F982" s="116"/>
      <c r="G982" s="52"/>
      <c r="H982" s="55"/>
      <c r="I982" s="54"/>
      <c r="J982" s="55"/>
      <c r="K982" s="55"/>
      <c r="L982" s="117"/>
      <c r="M982" s="56"/>
      <c r="N982" s="117"/>
      <c r="O982" s="55"/>
      <c r="P982" s="55"/>
      <c r="Q982" s="55"/>
      <c r="R982" s="49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</row>
    <row r="983" spans="1:41" x14ac:dyDescent="0.25">
      <c r="A983" s="46"/>
      <c r="B983" s="114"/>
      <c r="C983" s="114"/>
      <c r="D983" s="191"/>
      <c r="E983" s="191"/>
      <c r="F983" s="116"/>
      <c r="G983" s="52"/>
      <c r="H983" s="55"/>
      <c r="I983" s="54"/>
      <c r="J983" s="55"/>
      <c r="K983" s="55"/>
      <c r="L983" s="117"/>
      <c r="M983" s="56"/>
      <c r="N983" s="117"/>
      <c r="O983" s="55"/>
      <c r="P983" s="55"/>
      <c r="Q983" s="55"/>
      <c r="R983" s="49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</row>
    <row r="984" spans="1:41" x14ac:dyDescent="0.25">
      <c r="A984" s="46"/>
      <c r="B984" s="114"/>
      <c r="C984" s="114"/>
      <c r="D984" s="191"/>
      <c r="E984" s="191"/>
      <c r="F984" s="116"/>
      <c r="G984" s="52"/>
      <c r="H984" s="55"/>
      <c r="I984" s="54"/>
      <c r="J984" s="55"/>
      <c r="K984" s="55"/>
      <c r="L984" s="117"/>
      <c r="M984" s="56"/>
      <c r="N984" s="117"/>
      <c r="O984" s="55"/>
      <c r="P984" s="55"/>
      <c r="Q984" s="55"/>
      <c r="R984" s="49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</row>
    <row r="985" spans="1:41" x14ac:dyDescent="0.25">
      <c r="A985" s="46"/>
      <c r="B985" s="114"/>
      <c r="C985" s="114"/>
      <c r="D985" s="191"/>
      <c r="E985" s="191"/>
      <c r="F985" s="116"/>
      <c r="G985" s="52"/>
      <c r="H985" s="55"/>
      <c r="I985" s="54"/>
      <c r="J985" s="55"/>
      <c r="K985" s="55"/>
      <c r="L985" s="117"/>
      <c r="M985" s="56"/>
      <c r="N985" s="117"/>
      <c r="O985" s="55"/>
      <c r="P985" s="55"/>
      <c r="Q985" s="55"/>
      <c r="R985" s="49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</row>
    <row r="986" spans="1:41" x14ac:dyDescent="0.25">
      <c r="A986" s="46"/>
      <c r="B986" s="114"/>
      <c r="C986" s="114"/>
      <c r="D986" s="191"/>
      <c r="E986" s="191"/>
      <c r="F986" s="116"/>
      <c r="G986" s="52"/>
      <c r="H986" s="55"/>
      <c r="I986" s="54"/>
      <c r="J986" s="55"/>
      <c r="K986" s="55"/>
      <c r="L986" s="117"/>
      <c r="M986" s="56"/>
      <c r="N986" s="117"/>
      <c r="O986" s="55"/>
      <c r="P986" s="55"/>
      <c r="Q986" s="55"/>
      <c r="R986" s="49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</row>
    <row r="987" spans="1:41" x14ac:dyDescent="0.25">
      <c r="A987" s="46"/>
      <c r="B987" s="114"/>
      <c r="C987" s="114"/>
      <c r="D987" s="191"/>
      <c r="E987" s="191"/>
      <c r="F987" s="116"/>
      <c r="G987" s="52"/>
      <c r="H987" s="55"/>
      <c r="I987" s="54"/>
      <c r="J987" s="55"/>
      <c r="K987" s="55"/>
      <c r="L987" s="117"/>
      <c r="M987" s="56"/>
      <c r="N987" s="117"/>
      <c r="O987" s="55"/>
      <c r="P987" s="55"/>
      <c r="Q987" s="55"/>
      <c r="R987" s="49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</row>
    <row r="988" spans="1:41" x14ac:dyDescent="0.25">
      <c r="A988" s="46"/>
      <c r="B988" s="114"/>
      <c r="C988" s="114"/>
      <c r="D988" s="191"/>
      <c r="E988" s="191"/>
      <c r="F988" s="116"/>
      <c r="G988" s="52"/>
      <c r="H988" s="55"/>
      <c r="I988" s="54"/>
      <c r="J988" s="55"/>
      <c r="K988" s="55"/>
      <c r="L988" s="117"/>
      <c r="M988" s="56"/>
      <c r="N988" s="117"/>
      <c r="O988" s="55"/>
      <c r="P988" s="55"/>
      <c r="Q988" s="55"/>
      <c r="R988" s="49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</row>
    <row r="989" spans="1:41" x14ac:dyDescent="0.25">
      <c r="A989" s="46"/>
      <c r="B989" s="114"/>
      <c r="C989" s="114"/>
      <c r="D989" s="191"/>
      <c r="E989" s="191"/>
      <c r="F989" s="116"/>
      <c r="G989" s="52"/>
      <c r="H989" s="55"/>
      <c r="I989" s="54"/>
      <c r="J989" s="55"/>
      <c r="K989" s="55"/>
      <c r="L989" s="117"/>
      <c r="M989" s="56"/>
      <c r="N989" s="117"/>
      <c r="O989" s="55"/>
      <c r="P989" s="55"/>
      <c r="Q989" s="55"/>
      <c r="R989" s="49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</row>
    <row r="990" spans="1:41" x14ac:dyDescent="0.25">
      <c r="A990" s="46"/>
      <c r="B990" s="114"/>
      <c r="C990" s="114"/>
      <c r="D990" s="191"/>
      <c r="E990" s="191"/>
      <c r="F990" s="116"/>
      <c r="G990" s="52"/>
      <c r="H990" s="55"/>
      <c r="I990" s="54"/>
      <c r="J990" s="55"/>
      <c r="K990" s="55"/>
      <c r="L990" s="117"/>
      <c r="M990" s="56"/>
      <c r="N990" s="117"/>
      <c r="O990" s="55"/>
      <c r="P990" s="55"/>
      <c r="Q990" s="55"/>
      <c r="R990" s="49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</row>
    <row r="991" spans="1:41" x14ac:dyDescent="0.25">
      <c r="A991" s="46"/>
      <c r="B991" s="114"/>
      <c r="C991" s="114"/>
      <c r="D991" s="191"/>
      <c r="E991" s="191"/>
      <c r="F991" s="116"/>
      <c r="G991" s="52"/>
      <c r="H991" s="55"/>
      <c r="I991" s="54"/>
      <c r="J991" s="55"/>
      <c r="K991" s="55"/>
      <c r="L991" s="117"/>
      <c r="M991" s="56"/>
      <c r="N991" s="117"/>
      <c r="O991" s="55"/>
      <c r="P991" s="55"/>
      <c r="Q991" s="55"/>
      <c r="R991" s="49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</row>
    <row r="992" spans="1:41" x14ac:dyDescent="0.25">
      <c r="A992" s="46"/>
      <c r="B992" s="114"/>
      <c r="C992" s="114"/>
      <c r="D992" s="191"/>
      <c r="E992" s="191"/>
      <c r="F992" s="116"/>
      <c r="G992" s="52"/>
      <c r="H992" s="55"/>
      <c r="I992" s="54"/>
      <c r="J992" s="55"/>
      <c r="K992" s="55"/>
      <c r="L992" s="117"/>
      <c r="M992" s="56"/>
      <c r="N992" s="117"/>
      <c r="O992" s="55"/>
      <c r="P992" s="55"/>
      <c r="Q992" s="55"/>
      <c r="R992" s="49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</row>
    <row r="993" spans="1:41" x14ac:dyDescent="0.25">
      <c r="A993" s="46"/>
      <c r="B993" s="114"/>
      <c r="C993" s="114"/>
      <c r="D993" s="191"/>
      <c r="E993" s="191"/>
      <c r="F993" s="116"/>
      <c r="G993" s="52"/>
      <c r="H993" s="55"/>
      <c r="I993" s="54"/>
      <c r="J993" s="55"/>
      <c r="K993" s="55"/>
      <c r="L993" s="117"/>
      <c r="M993" s="56"/>
      <c r="N993" s="117"/>
      <c r="O993" s="55"/>
      <c r="P993" s="55"/>
      <c r="Q993" s="55"/>
      <c r="R993" s="49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</row>
    <row r="994" spans="1:41" x14ac:dyDescent="0.25">
      <c r="A994" s="46"/>
      <c r="B994" s="114"/>
      <c r="C994" s="114"/>
      <c r="D994" s="191"/>
      <c r="E994" s="191"/>
      <c r="F994" s="116"/>
      <c r="G994" s="52"/>
      <c r="H994" s="55"/>
      <c r="I994" s="54"/>
      <c r="J994" s="55"/>
      <c r="K994" s="55"/>
      <c r="L994" s="117"/>
      <c r="M994" s="56"/>
      <c r="N994" s="117"/>
      <c r="O994" s="55"/>
      <c r="P994" s="55"/>
      <c r="Q994" s="55"/>
      <c r="R994" s="49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</row>
    <row r="995" spans="1:41" x14ac:dyDescent="0.25">
      <c r="A995" s="46"/>
      <c r="B995" s="114"/>
      <c r="C995" s="114"/>
      <c r="D995" s="191"/>
      <c r="E995" s="191"/>
      <c r="F995" s="116"/>
      <c r="G995" s="52"/>
      <c r="H995" s="55"/>
      <c r="I995" s="54"/>
      <c r="J995" s="55"/>
      <c r="K995" s="55"/>
      <c r="L995" s="117"/>
      <c r="M995" s="56"/>
      <c r="N995" s="117"/>
      <c r="O995" s="55"/>
      <c r="P995" s="55"/>
      <c r="Q995" s="55"/>
      <c r="R995" s="49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</row>
    <row r="996" spans="1:41" x14ac:dyDescent="0.25">
      <c r="A996" s="46"/>
      <c r="B996" s="114"/>
      <c r="C996" s="114"/>
      <c r="D996" s="191"/>
      <c r="E996" s="191"/>
      <c r="F996" s="116"/>
      <c r="G996" s="52"/>
      <c r="H996" s="55"/>
      <c r="I996" s="54"/>
      <c r="J996" s="55"/>
      <c r="K996" s="55"/>
      <c r="L996" s="117"/>
      <c r="M996" s="56"/>
      <c r="N996" s="117"/>
      <c r="O996" s="55"/>
      <c r="P996" s="55"/>
      <c r="Q996" s="55"/>
      <c r="R996" s="49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</row>
    <row r="997" spans="1:41" x14ac:dyDescent="0.25">
      <c r="A997" s="46"/>
      <c r="B997" s="114"/>
      <c r="C997" s="114"/>
      <c r="D997" s="191"/>
      <c r="E997" s="191"/>
      <c r="F997" s="116"/>
      <c r="G997" s="52"/>
      <c r="H997" s="55"/>
      <c r="I997" s="54"/>
      <c r="J997" s="55"/>
      <c r="K997" s="55"/>
      <c r="L997" s="117"/>
      <c r="M997" s="56"/>
      <c r="N997" s="117"/>
      <c r="O997" s="55"/>
      <c r="P997" s="55"/>
      <c r="Q997" s="55"/>
      <c r="R997" s="49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</row>
    <row r="998" spans="1:41" x14ac:dyDescent="0.25">
      <c r="A998" s="46"/>
      <c r="B998" s="114"/>
      <c r="C998" s="114"/>
      <c r="D998" s="191"/>
      <c r="E998" s="191"/>
      <c r="F998" s="116"/>
      <c r="G998" s="52"/>
      <c r="H998" s="55"/>
      <c r="I998" s="54"/>
      <c r="J998" s="55"/>
      <c r="K998" s="55"/>
      <c r="L998" s="117"/>
      <c r="M998" s="56"/>
      <c r="N998" s="117"/>
      <c r="O998" s="55"/>
      <c r="P998" s="55"/>
      <c r="Q998" s="55"/>
      <c r="R998" s="49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</row>
    <row r="999" spans="1:41" x14ac:dyDescent="0.25">
      <c r="A999" s="46"/>
      <c r="B999" s="114"/>
      <c r="C999" s="114"/>
      <c r="D999" s="191"/>
      <c r="E999" s="191"/>
      <c r="F999" s="116"/>
      <c r="G999" s="52"/>
      <c r="H999" s="55"/>
      <c r="I999" s="54"/>
      <c r="J999" s="55"/>
      <c r="K999" s="55"/>
      <c r="L999" s="117"/>
      <c r="M999" s="56"/>
      <c r="N999" s="117"/>
      <c r="O999" s="55"/>
      <c r="P999" s="55"/>
      <c r="Q999" s="55"/>
      <c r="R999" s="49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</row>
  </sheetData>
  <autoFilter ref="A3:AO72"/>
  <dataValidations count="1">
    <dataValidation type="list" allowBlank="1" sqref="M4:M999">
      <formula1>"Done,Progressing,Unpaid,Cancel"</formula1>
    </dataValidation>
  </dataValidations>
  <pageMargins left="0.25" right="0.25" top="0.75" bottom="0.75" header="0" footer="0"/>
  <pageSetup paperSize="9" scale="5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LONG - TERM</vt:lpstr>
      <vt:lpstr>DATA SHORT - TERM</vt:lpstr>
      <vt:lpstr>DATA FEE SERVICE</vt:lpstr>
      <vt:lpstr>LT 2025</vt:lpstr>
      <vt:lpstr>ST 2025</vt:lpstr>
      <vt:lpstr>OR 2025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Huỳnh Mỹ Hạnh</cp:lastModifiedBy>
  <dcterms:modified xsi:type="dcterms:W3CDTF">2026-07-24T06:24:42Z</dcterms:modified>
</cp:coreProperties>
</file>